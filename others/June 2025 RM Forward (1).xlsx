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_Purchase_YTD" sheetId="1" r:id="rId4"/>
    <sheet state="visible" name="RM_InboundProd_YTD" sheetId="2" r:id="rId5"/>
    <sheet state="visible" name="RM_Outbound_YTD" sheetId="3" r:id="rId6"/>
    <sheet state="visible" name="RM Rollforward" sheetId="4" r:id="rId7"/>
    <sheet state="visible" name="Inbound Form" sheetId="5" r:id="rId8"/>
    <sheet state="visible" name="High-Low Inv" sheetId="6" r:id="rId9"/>
    <sheet state="visible" name="High Low Inv New" sheetId="7" r:id="rId10"/>
    <sheet state="visible" name="0-3months" sheetId="8" r:id="rId11"/>
    <sheet state="hidden" name="ROLLS" sheetId="9" r:id="rId12"/>
    <sheet state="hidden" name="PACKAGING" sheetId="10" r:id="rId13"/>
    <sheet state="hidden" name="Sacks" sheetId="11" r:id="rId14"/>
  </sheets>
  <definedNames>
    <definedName hidden="1" localSheetId="0" name="_xlnm._FilterDatabase">RM_Purchase_YTD!$A$5:$K$461</definedName>
    <definedName hidden="1" localSheetId="3" name="_xlnm._FilterDatabase">'RM Rollforward'!$A$5:$M$675</definedName>
    <definedName hidden="1" localSheetId="6" name="_xlnm._FilterDatabase">'High Low Inv New'!$A$3:$O$62</definedName>
  </definedNames>
  <calcPr/>
</workbook>
</file>

<file path=xl/sharedStrings.xml><?xml version="1.0" encoding="utf-8"?>
<sst xmlns="http://schemas.openxmlformats.org/spreadsheetml/2006/main" count="9357" uniqueCount="2448">
  <si>
    <t xml:space="preserve"> </t>
  </si>
  <si>
    <t>Legend:</t>
  </si>
  <si>
    <t>complete</t>
  </si>
  <si>
    <t>Partial</t>
  </si>
  <si>
    <t>Date of Receipt</t>
  </si>
  <si>
    <t>PO Number</t>
  </si>
  <si>
    <t>SKU Code</t>
  </si>
  <si>
    <t>SKU Description</t>
  </si>
  <si>
    <t>In 
QTY</t>
  </si>
  <si>
    <t>UOM</t>
  </si>
  <si>
    <t>Supplier</t>
  </si>
  <si>
    <t>Van #</t>
  </si>
  <si>
    <t>DR #</t>
  </si>
  <si>
    <t>PO #</t>
  </si>
  <si>
    <t>RR #</t>
  </si>
  <si>
    <t>PURCHASE</t>
  </si>
  <si>
    <t>AC106</t>
  </si>
  <si>
    <t>Packaging Tape 2"</t>
  </si>
  <si>
    <t>Synergy</t>
  </si>
  <si>
    <t>PO-25-00257</t>
  </si>
  <si>
    <t>RR-25-00560</t>
  </si>
  <si>
    <t>AC107</t>
  </si>
  <si>
    <t>Packaging Tape 1/2"</t>
  </si>
  <si>
    <t>PO-25-00356</t>
  </si>
  <si>
    <t>RR-25-00561</t>
  </si>
  <si>
    <t>R001</t>
  </si>
  <si>
    <t>HDPE Blue</t>
  </si>
  <si>
    <t>Polyprime</t>
  </si>
  <si>
    <t>IPXU 3764907</t>
  </si>
  <si>
    <t>PO-25-00363</t>
  </si>
  <si>
    <t>RR-25-00568</t>
  </si>
  <si>
    <t>R002</t>
  </si>
  <si>
    <t>HDPE Red</t>
  </si>
  <si>
    <t>R019</t>
  </si>
  <si>
    <t>PP Recycle Transparent</t>
  </si>
  <si>
    <t>WPJ</t>
  </si>
  <si>
    <t>DRYU 2647278</t>
  </si>
  <si>
    <t>PO-25-00355-1</t>
  </si>
  <si>
    <t>RR-25-00567</t>
  </si>
  <si>
    <t>R005</t>
  </si>
  <si>
    <t>HDPE White</t>
  </si>
  <si>
    <t>R009</t>
  </si>
  <si>
    <t xml:space="preserve">HDPE Film Virgin </t>
  </si>
  <si>
    <t>JP</t>
  </si>
  <si>
    <t>MSLU 2122159</t>
  </si>
  <si>
    <t>PO-25-00332</t>
  </si>
  <si>
    <t>RR-25-00562</t>
  </si>
  <si>
    <t>R018</t>
  </si>
  <si>
    <t xml:space="preserve">PP Film Virgin </t>
  </si>
  <si>
    <t>DRYU 2746455</t>
  </si>
  <si>
    <t>PO-25-00335</t>
  </si>
  <si>
    <t>RR-25-00565</t>
  </si>
  <si>
    <t>RR-25-00563</t>
  </si>
  <si>
    <t>R012</t>
  </si>
  <si>
    <t xml:space="preserve">LLDPE Virgin </t>
  </si>
  <si>
    <t>DRYU 3079803</t>
  </si>
  <si>
    <t>PO-25-00334</t>
  </si>
  <si>
    <t>RR-25-00566</t>
  </si>
  <si>
    <t>MAOU 2080789</t>
  </si>
  <si>
    <t>RR-25-00564</t>
  </si>
  <si>
    <t>RR-25-00570</t>
  </si>
  <si>
    <t>R008</t>
  </si>
  <si>
    <t>HDPE Blow Virgin</t>
  </si>
  <si>
    <t>DRYU 3082469</t>
  </si>
  <si>
    <t>PO-25-00342</t>
  </si>
  <si>
    <t>RR-25-00571</t>
  </si>
  <si>
    <t>IPXU 3989436</t>
  </si>
  <si>
    <t>PO-25-00375</t>
  </si>
  <si>
    <t>RR-25-00583</t>
  </si>
  <si>
    <t>AC021</t>
  </si>
  <si>
    <t>Peanut Jar Cap 50mm (Small)</t>
  </si>
  <si>
    <t>Michael</t>
  </si>
  <si>
    <t>PO-25-00163</t>
  </si>
  <si>
    <t>RR-25-00573</t>
  </si>
  <si>
    <t>AC022</t>
  </si>
  <si>
    <t>Peanut Jar Cap 67mm (Medium)</t>
  </si>
  <si>
    <t>PO-25-00164</t>
  </si>
  <si>
    <t>RR-25-00572</t>
  </si>
  <si>
    <t>DRYU 2904416</t>
  </si>
  <si>
    <t>PO-25-00164/380</t>
  </si>
  <si>
    <t>RR-25-00576/RR-25-00595/634</t>
  </si>
  <si>
    <t>1st 41600</t>
  </si>
  <si>
    <t>2nd 48400</t>
  </si>
  <si>
    <t>3rd 35600</t>
  </si>
  <si>
    <t>COL005</t>
  </si>
  <si>
    <t xml:space="preserve">SB Colorant 116 White </t>
  </si>
  <si>
    <t>PO-25-00304</t>
  </si>
  <si>
    <t>RR-25-00584</t>
  </si>
  <si>
    <t>COL007</t>
  </si>
  <si>
    <t xml:space="preserve">Colorant Black 0025 </t>
  </si>
  <si>
    <t>Jp</t>
  </si>
  <si>
    <t>AC004</t>
  </si>
  <si>
    <t xml:space="preserve">Water Container Faucet  </t>
  </si>
  <si>
    <t>Cai</t>
  </si>
  <si>
    <t>PO-25-00341</t>
  </si>
  <si>
    <t>RR-25-00585</t>
  </si>
  <si>
    <t>R016</t>
  </si>
  <si>
    <t xml:space="preserve">PP Yarn Virgin </t>
  </si>
  <si>
    <t>DRYU 3079927</t>
  </si>
  <si>
    <t>PO-25-00239/PO-25-00333</t>
  </si>
  <si>
    <t>RR-25-00580/RR-25-00581</t>
  </si>
  <si>
    <t>R004</t>
  </si>
  <si>
    <t>HDPE Black</t>
  </si>
  <si>
    <t>MJDT</t>
  </si>
  <si>
    <t>BL(DRYU 2746305</t>
  </si>
  <si>
    <t>PO-25-00165</t>
  </si>
  <si>
    <t>RR-25-00600</t>
  </si>
  <si>
    <t>DRYU 2645486</t>
  </si>
  <si>
    <t>RR-25-00576</t>
  </si>
  <si>
    <t>R103</t>
  </si>
  <si>
    <t>PET Bottle Pre-Formed 12g (30mm)</t>
  </si>
  <si>
    <t>PO-25-00155</t>
  </si>
  <si>
    <t>RR-25-00577</t>
  </si>
  <si>
    <t>AC003</t>
  </si>
  <si>
    <t>Container Inner Cap</t>
  </si>
  <si>
    <t>PO-25-00122/PO-25-00157</t>
  </si>
  <si>
    <t>RR-25-00578/RR-25-00579</t>
  </si>
  <si>
    <t>PO-25-00163/380</t>
  </si>
  <si>
    <t>RR-25-00598/RR-25-00633</t>
  </si>
  <si>
    <t>1st 301000</t>
  </si>
  <si>
    <t>2nd 44000</t>
  </si>
  <si>
    <t>DRYU 2152366</t>
  </si>
  <si>
    <t>PO-25-00369</t>
  </si>
  <si>
    <t>RR-25-00586</t>
  </si>
  <si>
    <t>R003</t>
  </si>
  <si>
    <t>HDPE Green</t>
  </si>
  <si>
    <t>R006</t>
  </si>
  <si>
    <t>HDPE Yellow</t>
  </si>
  <si>
    <t>SDDU 2020532</t>
  </si>
  <si>
    <t>PO-25-00365</t>
  </si>
  <si>
    <t>RR-25-00608</t>
  </si>
  <si>
    <t>DRYU2633905</t>
  </si>
  <si>
    <t>RR-25-00601</t>
  </si>
  <si>
    <t>PO-25-00375/379/401/406</t>
  </si>
  <si>
    <t>RR-25-00604/RR-25-00613/614/624</t>
  </si>
  <si>
    <t>1st 1170</t>
  </si>
  <si>
    <t>2nd 630</t>
  </si>
  <si>
    <t>3rd 1500</t>
  </si>
  <si>
    <t>4th 1470</t>
  </si>
  <si>
    <t>RR-25-00604</t>
  </si>
  <si>
    <t>IPXU 3955020</t>
  </si>
  <si>
    <t>RR-25-00612</t>
  </si>
  <si>
    <t>PO-25-00379</t>
  </si>
  <si>
    <t>RR-25-00615</t>
  </si>
  <si>
    <t>R029</t>
  </si>
  <si>
    <t xml:space="preserve">PP Injection Virgin </t>
  </si>
  <si>
    <t>PO-25-00277</t>
  </si>
  <si>
    <t>RR-25-00610</t>
  </si>
  <si>
    <t>AC103</t>
  </si>
  <si>
    <t xml:space="preserve">Plastic Strapping </t>
  </si>
  <si>
    <t>PO-25-00358</t>
  </si>
  <si>
    <t>RR-25-00611</t>
  </si>
  <si>
    <t>1st 100</t>
  </si>
  <si>
    <t>MSLI 860048</t>
  </si>
  <si>
    <t>RR-25-00606</t>
  </si>
  <si>
    <t>IRNU 2027344</t>
  </si>
  <si>
    <t>RR-25-00616</t>
  </si>
  <si>
    <t>COL001</t>
  </si>
  <si>
    <t xml:space="preserve">SB Colorant D6 Blue </t>
  </si>
  <si>
    <t>RR-25-00617</t>
  </si>
  <si>
    <t>COL002</t>
  </si>
  <si>
    <t xml:space="preserve">SB Colorant D4 Green </t>
  </si>
  <si>
    <t>COL003</t>
  </si>
  <si>
    <t xml:space="preserve">SB Colorant D5 Orange </t>
  </si>
  <si>
    <t>1st 25</t>
  </si>
  <si>
    <t>COL004</t>
  </si>
  <si>
    <t xml:space="preserve">SB Colorant D8 Red </t>
  </si>
  <si>
    <t>COL006</t>
  </si>
  <si>
    <t xml:space="preserve">SB Colorant D7 Yellow </t>
  </si>
  <si>
    <t>PO-25-00380</t>
  </si>
  <si>
    <t>Akira</t>
  </si>
  <si>
    <t>RR-25-00602</t>
  </si>
  <si>
    <t>IPXU 3819086</t>
  </si>
  <si>
    <t>PO-25-00378</t>
  </si>
  <si>
    <t>RR-25-00632</t>
  </si>
  <si>
    <t xml:space="preserve">JP </t>
  </si>
  <si>
    <t>DRYU 2634054</t>
  </si>
  <si>
    <t>PO-25-00406</t>
  </si>
  <si>
    <t>RR-25-00625</t>
  </si>
  <si>
    <t>RR-25-00626</t>
  </si>
  <si>
    <t>PO-25-00406/PO-25-00379</t>
  </si>
  <si>
    <t>1st 810</t>
  </si>
  <si>
    <t>2nd 3600</t>
  </si>
  <si>
    <t>R032</t>
  </si>
  <si>
    <t xml:space="preserve">HDPE Injection </t>
  </si>
  <si>
    <t>AC101</t>
  </si>
  <si>
    <t xml:space="preserve">Plastic Twine </t>
  </si>
  <si>
    <t>BL</t>
  </si>
  <si>
    <t>PO-25-00396</t>
  </si>
  <si>
    <t>RR-25-00628</t>
  </si>
  <si>
    <t>synergy</t>
  </si>
  <si>
    <t>PO-25-00397</t>
  </si>
  <si>
    <t>RR-25-00631</t>
  </si>
  <si>
    <t>Inbound Document</t>
  </si>
  <si>
    <t>Location/Area</t>
  </si>
  <si>
    <t>Received in the Whse by</t>
  </si>
  <si>
    <t>Remarks</t>
  </si>
  <si>
    <t>PELLETIZER</t>
  </si>
  <si>
    <t>encoded</t>
  </si>
  <si>
    <t>R007</t>
  </si>
  <si>
    <t>HDPE Orange</t>
  </si>
  <si>
    <t>R021</t>
  </si>
  <si>
    <t>HDV Blue</t>
  </si>
  <si>
    <t>R026</t>
  </si>
  <si>
    <t xml:space="preserve">HDV Transparent </t>
  </si>
  <si>
    <t>R027</t>
  </si>
  <si>
    <t xml:space="preserve">HDV White </t>
  </si>
  <si>
    <t>R025</t>
  </si>
  <si>
    <t xml:space="preserve">HDV Red </t>
  </si>
  <si>
    <t>R023</t>
  </si>
  <si>
    <t xml:space="preserve">HDV Orange </t>
  </si>
  <si>
    <t>R028</t>
  </si>
  <si>
    <t xml:space="preserve">HDV Yellow </t>
  </si>
  <si>
    <t>INJECTION</t>
  </si>
  <si>
    <t>AC002</t>
  </si>
  <si>
    <t>Container Outer Cap w/inner lock  (RGMC)</t>
  </si>
  <si>
    <t>STRAW</t>
  </si>
  <si>
    <t>PST003</t>
  </si>
  <si>
    <t>Straw Plain-Orange 9mm</t>
  </si>
  <si>
    <t>PST005</t>
  </si>
  <si>
    <t>Straw Plain-Yellow 9mm</t>
  </si>
  <si>
    <t>PST007</t>
  </si>
  <si>
    <t>Straw Plain-Green 9mm</t>
  </si>
  <si>
    <t>PST006</t>
  </si>
  <si>
    <t>Straw Plain-Yellow 10mm</t>
  </si>
  <si>
    <t>PST009</t>
  </si>
  <si>
    <t>Straw Plain-Blue 9mm</t>
  </si>
  <si>
    <t>PST001</t>
  </si>
  <si>
    <t>Straw Plain-Red 9mm</t>
  </si>
  <si>
    <t>PST008</t>
  </si>
  <si>
    <t>Straw Plain-Green 10mm</t>
  </si>
  <si>
    <t>PST113</t>
  </si>
  <si>
    <t>Straw Sago-Black</t>
  </si>
  <si>
    <t>PST004</t>
  </si>
  <si>
    <t>Straw Plain-Orange 10mm</t>
  </si>
  <si>
    <t>PST002</t>
  </si>
  <si>
    <t>Straw Plain-Red 10mm</t>
  </si>
  <si>
    <t>PST010</t>
  </si>
  <si>
    <t>Straw Plain-Blue 10mm</t>
  </si>
  <si>
    <t>PE/PP</t>
  </si>
  <si>
    <t>PPR005</t>
  </si>
  <si>
    <t>PP Roll 6x001</t>
  </si>
  <si>
    <t>PPR011</t>
  </si>
  <si>
    <t>PP Roll 9x001</t>
  </si>
  <si>
    <t>PEPK024</t>
  </si>
  <si>
    <t>Packaging 24X36 (Pcs)</t>
  </si>
  <si>
    <t>PPR013</t>
  </si>
  <si>
    <t>PP Roll 11x001</t>
  </si>
  <si>
    <t>PPR015</t>
  </si>
  <si>
    <t>PP Roll 13x001</t>
  </si>
  <si>
    <t>PEPK014</t>
  </si>
  <si>
    <t>Packaging 18x36 (Pcs)</t>
  </si>
  <si>
    <t>PPR003</t>
  </si>
  <si>
    <t>PP Roll 5x001</t>
  </si>
  <si>
    <t>PPR008</t>
  </si>
  <si>
    <t>PP Roll 71/2x001</t>
  </si>
  <si>
    <t>PEPK019</t>
  </si>
  <si>
    <t>Packaging 22x36 (Pcs)</t>
  </si>
  <si>
    <t>PPR007</t>
  </si>
  <si>
    <t>PP Roll 7x001</t>
  </si>
  <si>
    <t>PEPK043</t>
  </si>
  <si>
    <t>Packaging 40x50 (Pcs)</t>
  </si>
  <si>
    <t>PEPK030</t>
  </si>
  <si>
    <t>Packaging 24x50 (Pcs)</t>
  </si>
  <si>
    <t>PPR016</t>
  </si>
  <si>
    <t>PP Roll 15x001</t>
  </si>
  <si>
    <t>PPR012</t>
  </si>
  <si>
    <t>PP Roll 10x001</t>
  </si>
  <si>
    <t>PPR004</t>
  </si>
  <si>
    <t>PP Roll 5 1/2x001</t>
  </si>
  <si>
    <t>PPR018</t>
  </si>
  <si>
    <t>PP Roll 16x001</t>
  </si>
  <si>
    <t>PEPK040</t>
  </si>
  <si>
    <t>Packaging 40X40 (Pcs)</t>
  </si>
  <si>
    <t>PRINTING</t>
  </si>
  <si>
    <t>PPKR091</t>
  </si>
  <si>
    <t>PP-Roll PB Pitbull Tiny (Kgs)</t>
  </si>
  <si>
    <t>PPPK049</t>
  </si>
  <si>
    <t>PR-Packaging PB Liberty Tiny (Pcs)</t>
  </si>
  <si>
    <t>PPPK205</t>
  </si>
  <si>
    <t>PR-Packaging Disposable Cups 6oz</t>
  </si>
  <si>
    <t>PPPK124</t>
  </si>
  <si>
    <t>PR-Packaging PB Pitbull Tiny (Pcs)</t>
  </si>
  <si>
    <t>PPPK183</t>
  </si>
  <si>
    <t>PP-Packaging Plain 7 1/2X14 (Pcs)</t>
  </si>
  <si>
    <t>PPPK209</t>
  </si>
  <si>
    <t>PR-Packaging Disposable Cups 12oz</t>
  </si>
  <si>
    <t>PPPK005</t>
  </si>
  <si>
    <t>PR-Packaging PB Aloha XL (Pcs)</t>
  </si>
  <si>
    <t>PPKR002</t>
  </si>
  <si>
    <t>PR-Roll PB Aloha Tiny (Kgs)</t>
  </si>
  <si>
    <t>PPKR071</t>
  </si>
  <si>
    <t>PP-Roll PB Liberty Tiny (Kgs)</t>
  </si>
  <si>
    <t>PPKR162</t>
  </si>
  <si>
    <t>PR-Roll Aloha Disposable Cups 6oz</t>
  </si>
  <si>
    <t>PPPK196</t>
  </si>
  <si>
    <t>PR-Packaging ST Aloha King (Pcs)</t>
  </si>
  <si>
    <t>PPPK145</t>
  </si>
  <si>
    <t>PR-Packaging Spring Blue 6x10 (500s)</t>
  </si>
  <si>
    <t>PPPK197</t>
  </si>
  <si>
    <t>PR-Packaging ST Liberty King (Pcs)</t>
  </si>
  <si>
    <t>PPPK002</t>
  </si>
  <si>
    <t>PR-Packaging PB Aloha Tiny (Pcs)</t>
  </si>
  <si>
    <t>PPKR090</t>
  </si>
  <si>
    <t>PP-Roll PB Pitbull Mini (Kgs)</t>
  </si>
  <si>
    <t>PPPK018</t>
  </si>
  <si>
    <t>PR-Packaging PB Bucks Mini Black (Pcs)</t>
  </si>
  <si>
    <t>PPPK123</t>
  </si>
  <si>
    <t>PR-Packaging PB Pitbull Mini (Pcs)</t>
  </si>
  <si>
    <t>PPPK217</t>
  </si>
  <si>
    <t>PR-Packaging Metro Disposable Cups 12oz</t>
  </si>
  <si>
    <t>PPPK100</t>
  </si>
  <si>
    <t>PR-Packaging PB Polar Bear Medium (Pcs)</t>
  </si>
  <si>
    <t>PPPK125</t>
  </si>
  <si>
    <t>PR-Packaging PB Pitbull Medium (Pcs)</t>
  </si>
  <si>
    <t>PPKR024</t>
  </si>
  <si>
    <t>PP-Roll PB Bucks Mini Black (Kgs)</t>
  </si>
  <si>
    <t>PPKR058</t>
  </si>
  <si>
    <t>PP-Roll PB Kobe Mini (Kgs)</t>
  </si>
  <si>
    <t>PPKR174</t>
  </si>
  <si>
    <t>PR-Roll Metro Disposable Cups 12oz</t>
  </si>
  <si>
    <t>PPPK048</t>
  </si>
  <si>
    <t>PR-Packaging PB Liberty Mini (Pcs)</t>
  </si>
  <si>
    <t>PPPK142</t>
  </si>
  <si>
    <t>PR-Packaging Spring Blue 5x10 (500s)</t>
  </si>
  <si>
    <t>PPKR152</t>
  </si>
  <si>
    <t>PP-Roll ST Aloha Jumbo (Kgs)</t>
  </si>
  <si>
    <t>PPPK195</t>
  </si>
  <si>
    <t>PR-Packaging ST Aloha Jumbo (Pcs)</t>
  </si>
  <si>
    <t>PPPK040</t>
  </si>
  <si>
    <t>PR-Packaging PB Kobe Mini (Pcs)</t>
  </si>
  <si>
    <t>PPPK050</t>
  </si>
  <si>
    <t>PR-Packaging PB Liberty Medium (Pcs)</t>
  </si>
  <si>
    <t>PPPK216</t>
  </si>
  <si>
    <t>PR-Packaging Metro Disposable Cups 10oz</t>
  </si>
  <si>
    <t>PPPK004</t>
  </si>
  <si>
    <t>PR-Packaging PB Aloha Large (Pcs)</t>
  </si>
  <si>
    <t>PPPK051</t>
  </si>
  <si>
    <t>PR-Packaging PB Liberty Large (Pcs)</t>
  </si>
  <si>
    <t>PPPK003</t>
  </si>
  <si>
    <t>PR-Packaging PB Aloha Medium (Pcs)</t>
  </si>
  <si>
    <t>PPPK135</t>
  </si>
  <si>
    <t>PR-Packaging PB Rivson Mini (Pcs)</t>
  </si>
  <si>
    <t>PPKR070</t>
  </si>
  <si>
    <t>PP-Roll PB Liberty Mini (Kgs)</t>
  </si>
  <si>
    <t>PPKR069</t>
  </si>
  <si>
    <t>PP-Roll PB Latest Large (Kgs)</t>
  </si>
  <si>
    <t>PPKR101</t>
  </si>
  <si>
    <t>PP-Roll PB Rivson Large (Kgs)</t>
  </si>
  <si>
    <t>PPKR173</t>
  </si>
  <si>
    <t>PR-Roll Metro Disposable Cups 10oz</t>
  </si>
  <si>
    <t>PPPK208</t>
  </si>
  <si>
    <t>PR-Packaging Disposable Cups 10oz</t>
  </si>
  <si>
    <t>PPKR078</t>
  </si>
  <si>
    <t>PP-Roll PB Lucky Mini (Kgs)</t>
  </si>
  <si>
    <t>PPKR079</t>
  </si>
  <si>
    <t>PP-Roll PB Lucky Tiny (Kgs)</t>
  </si>
  <si>
    <t>PPKR165</t>
  </si>
  <si>
    <t>PR-Roll Aloha Disposable Cups 10oz</t>
  </si>
  <si>
    <t>PPPK042</t>
  </si>
  <si>
    <t>PR-Packaging PB Kobe Medium (Pcs)</t>
  </si>
  <si>
    <t>PPPK175</t>
  </si>
  <si>
    <t>PR-Packaging Swerte 10x13</t>
  </si>
  <si>
    <t>PPKR072</t>
  </si>
  <si>
    <t>PP-Roll PB Liberty Medium (Kgs)</t>
  </si>
  <si>
    <t>PPKR092</t>
  </si>
  <si>
    <t>PP-Roll PB Pitbull Medium (Kgs)</t>
  </si>
  <si>
    <t>PPPK052</t>
  </si>
  <si>
    <t>PR-Packaging PB Lucky Mini (Pcs)</t>
  </si>
  <si>
    <t>PPPK053</t>
  </si>
  <si>
    <t>PR-Packaging PB Lucky Tiny (Pcs)</t>
  </si>
  <si>
    <t>PPPK020</t>
  </si>
  <si>
    <t>PR-Packaging PB Bucks Medium Black (Pcs)</t>
  </si>
  <si>
    <t>PPKR108</t>
  </si>
  <si>
    <t>PP-Roll PB Smile Mini (Kgs)</t>
  </si>
  <si>
    <t>PPKR153</t>
  </si>
  <si>
    <t>PP-Roll ST ALoha King (Kgs)</t>
  </si>
  <si>
    <t>PPPK107</t>
  </si>
  <si>
    <t>PR-Packaging PB Smile Mini (Pcs)</t>
  </si>
  <si>
    <t>PPPK207</t>
  </si>
  <si>
    <t>PR-Packaging Disposable Cups 8oz</t>
  </si>
  <si>
    <t>PPKR073</t>
  </si>
  <si>
    <t>PP-Roll PB Liberty Large (Kgs)</t>
  </si>
  <si>
    <t>PPPK019</t>
  </si>
  <si>
    <t>PR-Packaging PB Bucks Tiny Black (Pcs)</t>
  </si>
  <si>
    <t>PPPK151</t>
  </si>
  <si>
    <t>PR-Packaging Spring Blue 7x12 (500s)</t>
  </si>
  <si>
    <t>PPPK001</t>
  </si>
  <si>
    <t>PR-Packaging PB Aloha Mini (Pcs)</t>
  </si>
  <si>
    <t>PPPK137</t>
  </si>
  <si>
    <t>PR-Packaging PB Rivson Medium (Pcs)</t>
  </si>
  <si>
    <t>PPKR004</t>
  </si>
  <si>
    <t>PR-Roll PB Aloha Large (Kgs)</t>
  </si>
  <si>
    <t>PPPK099</t>
  </si>
  <si>
    <t>PR-Packaging PB Polar Bear Tiny (Pcs)</t>
  </si>
  <si>
    <t>PPPK108</t>
  </si>
  <si>
    <t>PR-Packaging PB Smile Tiny (Pcs)</t>
  </si>
  <si>
    <t>PPKR005</t>
  </si>
  <si>
    <t>PR-Roll PB Aloha XL (Kgs)</t>
  </si>
  <si>
    <t>PPKR109</t>
  </si>
  <si>
    <t>PP-Roll PB Smile Tiny (Kgs)</t>
  </si>
  <si>
    <t>PPKR099</t>
  </si>
  <si>
    <t>PP-Roll PB Rivson Tiny(Kgs)</t>
  </si>
  <si>
    <t>PPPK136</t>
  </si>
  <si>
    <t>PR-Packaging PB Rivson Tiny(Pcs)</t>
  </si>
  <si>
    <t>PPKR098</t>
  </si>
  <si>
    <t>PP-Roll PB Rivson Mini (Kgs)</t>
  </si>
  <si>
    <t>PPPK109</t>
  </si>
  <si>
    <t>PR-Packaging PB Smile Medium (Pcs)</t>
  </si>
  <si>
    <t>PPPK007</t>
  </si>
  <si>
    <t>PR-Packaging PB Boston Tiny Black (Pcs)</t>
  </si>
  <si>
    <t>PPKR025</t>
  </si>
  <si>
    <t>PP-Roll PB Bucks Tiny Black (Kgs)</t>
  </si>
  <si>
    <t>PPKR060</t>
  </si>
  <si>
    <t>PP-Roll PB Kobe Medium (Kgs)</t>
  </si>
  <si>
    <t>PPKR150</t>
  </si>
  <si>
    <t>PP-Roll Swerte 10 inch</t>
  </si>
  <si>
    <t>PPPK184</t>
  </si>
  <si>
    <t>PP-Packaging Plain 7 1/2X16 (Pcs)</t>
  </si>
  <si>
    <t>PPKR129</t>
  </si>
  <si>
    <t>PP-Roll Spring Blue 5 inch</t>
  </si>
  <si>
    <t>PPKR154</t>
  </si>
  <si>
    <t>PR-Roll ST Liberty King (Kgs)</t>
  </si>
  <si>
    <t>PPPK189</t>
  </si>
  <si>
    <t>PP-Packaging Plain 9X11 (Pcs)</t>
  </si>
  <si>
    <t>PPPK210</t>
  </si>
  <si>
    <t>PR-Packaging Disposable Cups 16oz</t>
  </si>
  <si>
    <t>PPKR151</t>
  </si>
  <si>
    <t>PP-Roll ST Greatwall (Kgs)</t>
  </si>
  <si>
    <t>PPKR164</t>
  </si>
  <si>
    <t>PR-Roll Aloha Disposable Cups 8oz</t>
  </si>
  <si>
    <t>PPPK194</t>
  </si>
  <si>
    <t>PR-Packaging ST Greatwall (Pcs)</t>
  </si>
  <si>
    <t>EXTRUDER</t>
  </si>
  <si>
    <t>RR003-13</t>
  </si>
  <si>
    <t>Recycled Roll D Tiny Red (Kgs)</t>
  </si>
  <si>
    <t>RR003-14</t>
  </si>
  <si>
    <t>Recycled Roll D Tiny Yellow (Kgs)</t>
  </si>
  <si>
    <t>RR003-16</t>
  </si>
  <si>
    <t>Recycled Roll D Tiny Orange (Kgs)</t>
  </si>
  <si>
    <t>VR019</t>
  </si>
  <si>
    <t>Virgin Roll Medium White</t>
  </si>
  <si>
    <t>RR003-19</t>
  </si>
  <si>
    <t>Recycled Roll D Medium White (Kgs)</t>
  </si>
  <si>
    <t>RR003-27</t>
  </si>
  <si>
    <t>Recycled Roll D Large White (Kgs)</t>
  </si>
  <si>
    <t>RBR002</t>
  </si>
  <si>
    <t>PB- Roll Bag 8 inch 001</t>
  </si>
  <si>
    <t>RR003-11</t>
  </si>
  <si>
    <t>Recycled Roll D Tiny White (Kgs)</t>
  </si>
  <si>
    <t>RR001-14</t>
  </si>
  <si>
    <t>Recycled Roll B Tiny Orange (Kgs)</t>
  </si>
  <si>
    <t>RR001-12</t>
  </si>
  <si>
    <t>Recycled Roll B Tiny Yellow (Kgs)</t>
  </si>
  <si>
    <t>RR001-11</t>
  </si>
  <si>
    <t>Recycled Roll B Tiny Red (Kgs)</t>
  </si>
  <si>
    <t>RR001-13</t>
  </si>
  <si>
    <t>Recycled Roll B Tiny Green (Kgs)</t>
  </si>
  <si>
    <t>RR001-10</t>
  </si>
  <si>
    <t>Recycled Roll B Tiny Blue (Kgs)</t>
  </si>
  <si>
    <t>RR003-15</t>
  </si>
  <si>
    <t>Recycled Roll D Tiny Green (Kgs)</t>
  </si>
  <si>
    <t>VR027</t>
  </si>
  <si>
    <t>Virgin Roll Large White</t>
  </si>
  <si>
    <t>RR001-01</t>
  </si>
  <si>
    <t>Recycled Roll B Mini Black (Kgs)</t>
  </si>
  <si>
    <t>RR001-08</t>
  </si>
  <si>
    <t>Recycled Roll B Tiny Black (Kgs)</t>
  </si>
  <si>
    <t>RR001-15</t>
  </si>
  <si>
    <t>Recycled Roll B Medium Black (Kgs)</t>
  </si>
  <si>
    <t>SVR17</t>
  </si>
  <si>
    <t>Semi-Virgin Roll Medium Transparent</t>
  </si>
  <si>
    <t>SVR25</t>
  </si>
  <si>
    <t>Semi-Virgin Roll Large Transparent (Kgs)</t>
  </si>
  <si>
    <t>SVR09</t>
  </si>
  <si>
    <t>Semi-Virgin Roll Tiny Transparent</t>
  </si>
  <si>
    <t>SVR01</t>
  </si>
  <si>
    <t>Semi-Virgin Roll Mini Transparent</t>
  </si>
  <si>
    <t>RBR008</t>
  </si>
  <si>
    <t>PB- Roll Bag 8 inch 002</t>
  </si>
  <si>
    <t>VR011</t>
  </si>
  <si>
    <t>Virgin Roll Tiny White</t>
  </si>
  <si>
    <t>VR009</t>
  </si>
  <si>
    <t>Virgin Roll Tiny Transparent</t>
  </si>
  <si>
    <t>VR017</t>
  </si>
  <si>
    <t>Virgin Roll Medium Transparent</t>
  </si>
  <si>
    <t>SVR36</t>
  </si>
  <si>
    <t>Semi-Virgin Roll XL Blue (Kgs)</t>
  </si>
  <si>
    <t>SVR14</t>
  </si>
  <si>
    <t>Semi-Virgin Roll Tiny Red</t>
  </si>
  <si>
    <t>RBR006</t>
  </si>
  <si>
    <t>PB- Roll Bag 20 inch 001</t>
  </si>
  <si>
    <t>RR001-26</t>
  </si>
  <si>
    <t>Recycled Roll B Large Yellow (Kgs)</t>
  </si>
  <si>
    <t>RR003-12</t>
  </si>
  <si>
    <t>Recycled Roll D Tiny Blue (Kgs)</t>
  </si>
  <si>
    <t>VR001</t>
  </si>
  <si>
    <t>Virgin Roll Mini Transparent</t>
  </si>
  <si>
    <t>VR003</t>
  </si>
  <si>
    <t>Virgin Roll Mini White</t>
  </si>
  <si>
    <t>SVR16</t>
  </si>
  <si>
    <t>Semi-Virgin Roll Tiny Green</t>
  </si>
  <si>
    <t>RR001-24</t>
  </si>
  <si>
    <t>Recycled Roll B Large Blue (Kgs)</t>
  </si>
  <si>
    <t>SVR28</t>
  </si>
  <si>
    <t>Semi-Virgin Roll Large Blue (Kgs)</t>
  </si>
  <si>
    <t>SVR20</t>
  </si>
  <si>
    <t>Semi-Virgin Roll Medium Blue (Kgs)</t>
  </si>
  <si>
    <t>RR003-29</t>
  </si>
  <si>
    <t>Recycled Roll D Large Red (Kgs)</t>
  </si>
  <si>
    <t>RR001-25</t>
  </si>
  <si>
    <t>Recycled Roll B Large Red (Kgs)</t>
  </si>
  <si>
    <t>SVR30</t>
  </si>
  <si>
    <t>Semi-Virgin Roll Large Red (Kgs)</t>
  </si>
  <si>
    <t>RR003-04</t>
  </si>
  <si>
    <t>Recycled Roll D Mini Blue (Kgs)</t>
  </si>
  <si>
    <t>RR003-05</t>
  </si>
  <si>
    <t>Recycled Roll D Mini Red (Kgs)</t>
  </si>
  <si>
    <t>SVR22</t>
  </si>
  <si>
    <t>Semi-Virgin Roll Medium Red (Kgs)</t>
  </si>
  <si>
    <t>SVR24</t>
  </si>
  <si>
    <t>Semi-Virgin Roll Medium Green (Kgs)</t>
  </si>
  <si>
    <t>RR001-02</t>
  </si>
  <si>
    <t>Recycled Roll B Mini White (Kgs)</t>
  </si>
  <si>
    <t>RR001-16</t>
  </si>
  <si>
    <t>Recycled Roll B Medium White (Kgs)</t>
  </si>
  <si>
    <t>RR003-28</t>
  </si>
  <si>
    <t>Recycled Roll D Large Blue (Kgs)</t>
  </si>
  <si>
    <t>SVR12</t>
  </si>
  <si>
    <t>Semi-Virgin Roll Tiny Blue</t>
  </si>
  <si>
    <t>SVR13</t>
  </si>
  <si>
    <t>Semi-Virgin Roll Tiny Orange</t>
  </si>
  <si>
    <t>RR003-23</t>
  </si>
  <si>
    <t>Recycled Roll D Medium Green (Kgs)</t>
  </si>
  <si>
    <t>RR003-31</t>
  </si>
  <si>
    <t>Recycled Roll D Large Green (Kgs)</t>
  </si>
  <si>
    <t>RBR005</t>
  </si>
  <si>
    <t>PB- Roll Bag 16 inch 001</t>
  </si>
  <si>
    <t>RR003-07</t>
  </si>
  <si>
    <t>Recycled Roll D Mini Green (Kgs)</t>
  </si>
  <si>
    <t>RR003-03</t>
  </si>
  <si>
    <t>Recycled Roll D Mini White (Kgs)</t>
  </si>
  <si>
    <t>VR036</t>
  </si>
  <si>
    <t>Virgin Roll XL Blue</t>
  </si>
  <si>
    <t>RR003-20</t>
  </si>
  <si>
    <t>Recycled Roll D Medium Blue (Kgs)</t>
  </si>
  <si>
    <t>SVR03</t>
  </si>
  <si>
    <t>Semi-Virgin Roll Mini White</t>
  </si>
  <si>
    <t>SVR21</t>
  </si>
  <si>
    <t>Semi-Virgin Roll Medium Orange (Kgs)</t>
  </si>
  <si>
    <t>VR035</t>
  </si>
  <si>
    <t>Virgin Roll XL White</t>
  </si>
  <si>
    <t>SVR27</t>
  </si>
  <si>
    <t>Semi-Virgin Roll Large White (Kgs)</t>
  </si>
  <si>
    <t>VR020</t>
  </si>
  <si>
    <t>Virgin Roll Medium Blue</t>
  </si>
  <si>
    <t>VR022</t>
  </si>
  <si>
    <t>Virgin Roll Medium Red</t>
  </si>
  <si>
    <t>VR039</t>
  </si>
  <si>
    <t>Virgin Roll XL Yellow</t>
  </si>
  <si>
    <t>RR001-06</t>
  </si>
  <si>
    <t>Recycled Roll B Mini Green (Kgs)</t>
  </si>
  <si>
    <t>SVR04</t>
  </si>
  <si>
    <t>Semi-Virgin Roll Mini Blue</t>
  </si>
  <si>
    <t>VR040</t>
  </si>
  <si>
    <t>Virgin Roll XL Green</t>
  </si>
  <si>
    <t>VR012</t>
  </si>
  <si>
    <t>Virgin Roll Tiny Blue</t>
  </si>
  <si>
    <t>VR016</t>
  </si>
  <si>
    <t>Virgin Roll Tiny Green</t>
  </si>
  <si>
    <t>RR003-06</t>
  </si>
  <si>
    <t>Recycled Roll D Mini Yellow (Kgs)</t>
  </si>
  <si>
    <t>SVR06</t>
  </si>
  <si>
    <t>Semi-Virgin Roll Mini Red</t>
  </si>
  <si>
    <t>VR037</t>
  </si>
  <si>
    <t>Virgin Roll XL Orange</t>
  </si>
  <si>
    <t>PER004</t>
  </si>
  <si>
    <t>Packaging Roll 22 inch (Kgs)</t>
  </si>
  <si>
    <t>PER005</t>
  </si>
  <si>
    <t>Packaging Roll 24 inch (Kgs)</t>
  </si>
  <si>
    <t>VR013</t>
  </si>
  <si>
    <t>Virgin Roll Tiny Orange</t>
  </si>
  <si>
    <t>VR030</t>
  </si>
  <si>
    <t>Virgin Roll Large Red</t>
  </si>
  <si>
    <t>RR001-09</t>
  </si>
  <si>
    <t>Recycled Roll B Tiny White (Kgs)</t>
  </si>
  <si>
    <t>VR038</t>
  </si>
  <si>
    <t>Virgin Roll XL Red</t>
  </si>
  <si>
    <t>RR003-21</t>
  </si>
  <si>
    <t>Recycled Roll D Medium Red (Kgs)</t>
  </si>
  <si>
    <t>RR001-18</t>
  </si>
  <si>
    <t>Recycled Roll B Medium Red (Kgs)</t>
  </si>
  <si>
    <t>RR003-22</t>
  </si>
  <si>
    <t>Recycled Roll D Medium Yellow (Kgs)</t>
  </si>
  <si>
    <t>PER010</t>
  </si>
  <si>
    <t>Packaging Roll 40 inch (Kgs)</t>
  </si>
  <si>
    <t>RR001-17</t>
  </si>
  <si>
    <t>Recycled Roll B Medium Blue (Kgs)</t>
  </si>
  <si>
    <t>Copy formula</t>
  </si>
  <si>
    <t>Rivson Goldplast Manufacturing Corp</t>
  </si>
  <si>
    <t>Raw Materials Requisition Logsheet</t>
  </si>
  <si>
    <t>Test of Reasonableness</t>
  </si>
  <si>
    <t>Date of request</t>
  </si>
  <si>
    <t>Shift</t>
  </si>
  <si>
    <t>Process ID</t>
  </si>
  <si>
    <t>Machine No.</t>
  </si>
  <si>
    <t>Inter-warehouse transfer required</t>
  </si>
  <si>
    <t>Department</t>
  </si>
  <si>
    <t>Requestor</t>
  </si>
  <si>
    <t>Finished Goods Inventory
QTY</t>
  </si>
  <si>
    <t>Date of processing</t>
  </si>
  <si>
    <t>Out 
QTY</t>
  </si>
  <si>
    <t>Remaining RM inventory
QTY</t>
  </si>
  <si>
    <t>Work In Progress 
QTY</t>
  </si>
  <si>
    <t>Damaged
QTY</t>
  </si>
  <si>
    <t>Damaged 
Supporting Document</t>
  </si>
  <si>
    <t>DM Requirement
QTY</t>
  </si>
  <si>
    <t>Should be Finished Goods Output
QTY</t>
  </si>
  <si>
    <t>Variance
QTY</t>
  </si>
  <si>
    <t>CB/WC</t>
  </si>
  <si>
    <t>AC006</t>
  </si>
  <si>
    <t>Water Container Big Outer Cap w/inner cap (RGMC)</t>
  </si>
  <si>
    <t>AC005</t>
  </si>
  <si>
    <t xml:space="preserve">Water Container Small Outer Cap  </t>
  </si>
  <si>
    <t>done system</t>
  </si>
  <si>
    <t>ACCESSORIES/PACKAGING</t>
  </si>
  <si>
    <t xml:space="preserve">Peanut Jar Cap 50mm </t>
  </si>
  <si>
    <t>AC104</t>
  </si>
  <si>
    <t xml:space="preserve">Sack 28x50 </t>
  </si>
  <si>
    <t>AC102</t>
  </si>
  <si>
    <t>Plastic Twine Virgin (pcs)</t>
  </si>
  <si>
    <t>R034</t>
  </si>
  <si>
    <t>Clarifying Agent (bags)</t>
  </si>
  <si>
    <t>PET</t>
  </si>
  <si>
    <t>AC013</t>
  </si>
  <si>
    <t>PET Bottle Cap White 30mm</t>
  </si>
  <si>
    <t>AC011</t>
  </si>
  <si>
    <t>PET Bottle Cap Green 30mm</t>
  </si>
  <si>
    <t>R105</t>
  </si>
  <si>
    <t>PET Bottle Pre-Formed 22g (30mm)</t>
  </si>
  <si>
    <t>R020</t>
  </si>
  <si>
    <t xml:space="preserve">PP Black </t>
  </si>
  <si>
    <t>SB EXTRUDER</t>
  </si>
  <si>
    <t>R013</t>
  </si>
  <si>
    <t xml:space="preserve">LDPE Recycle </t>
  </si>
  <si>
    <t>R015</t>
  </si>
  <si>
    <t xml:space="preserve">Dehydrating Agent </t>
  </si>
  <si>
    <t>COL008</t>
  </si>
  <si>
    <t xml:space="preserve">Colorant Blue#5 </t>
  </si>
  <si>
    <t>COL009</t>
  </si>
  <si>
    <t xml:space="preserve">Colorant Bluish White </t>
  </si>
  <si>
    <t>ROLLBAG EXTRUDER</t>
  </si>
  <si>
    <t>PE EXTRUDER</t>
  </si>
  <si>
    <t>packaging</t>
  </si>
  <si>
    <t>sales</t>
  </si>
  <si>
    <t>STRAW/JAR/GALLON/PP</t>
  </si>
  <si>
    <t>straw</t>
  </si>
  <si>
    <t>jar</t>
  </si>
  <si>
    <t>gallon</t>
  </si>
  <si>
    <t>AC018</t>
  </si>
  <si>
    <t>Gallon Cap</t>
  </si>
  <si>
    <t>D CUPS</t>
  </si>
  <si>
    <t>LOGISTICS</t>
  </si>
  <si>
    <t>PER003</t>
  </si>
  <si>
    <t>Packaging Roll 18 inch (Kgs)</t>
  </si>
  <si>
    <t>PPKR166</t>
  </si>
  <si>
    <t>PR-Roll Aloha Disposable Cups 12oz</t>
  </si>
  <si>
    <t>PPKR026</t>
  </si>
  <si>
    <t>PP-Roll PB Bucks Medium Black (Kgs)</t>
  </si>
  <si>
    <t>AC108</t>
  </si>
  <si>
    <t xml:space="preserve">Solvent </t>
  </si>
  <si>
    <t>PPKR088</t>
  </si>
  <si>
    <t>PP-Roll PB Polar Bear Medium (Kgs)</t>
  </si>
  <si>
    <t>PPKR003</t>
  </si>
  <si>
    <t>PR-Roll PB Aloha Medium (Kgs)</t>
  </si>
  <si>
    <t>AC109</t>
  </si>
  <si>
    <t>Paint Black</t>
  </si>
  <si>
    <t>AC110</t>
  </si>
  <si>
    <t>Paint Blue</t>
  </si>
  <si>
    <t>AC113</t>
  </si>
  <si>
    <t>Paint White</t>
  </si>
  <si>
    <t>PPKR001</t>
  </si>
  <si>
    <t>PR-Roll PB Aloha Mini (Kgs)</t>
  </si>
  <si>
    <t>AC112</t>
  </si>
  <si>
    <t>Paint Red</t>
  </si>
  <si>
    <t>PPKR087</t>
  </si>
  <si>
    <t>PP-Roll PB Polar Bear Tiny (Kgs)</t>
  </si>
  <si>
    <t>PP-Roll PB Rivson Medium (Kgs)</t>
  </si>
  <si>
    <t>AC114</t>
  </si>
  <si>
    <t>Paint Yellow</t>
  </si>
  <si>
    <t>PPKR167</t>
  </si>
  <si>
    <t>PR-Roll Aloha Disposable Cups 16oz</t>
  </si>
  <si>
    <t>CUTTER</t>
  </si>
  <si>
    <t>RR001-20</t>
  </si>
  <si>
    <t>Recycled Roll B Medium Green (Kgs)</t>
  </si>
  <si>
    <t>RR001-19</t>
  </si>
  <si>
    <t>Recycled Roll B Medium Yellow (Kgs)</t>
  </si>
  <si>
    <t>SVR11</t>
  </si>
  <si>
    <t>Semi-Virgin Roll Tiny White</t>
  </si>
  <si>
    <t>SVR05</t>
  </si>
  <si>
    <t>Semi-Virgin Roll Mini Orange</t>
  </si>
  <si>
    <t>PACKAGING</t>
  </si>
  <si>
    <t>PPPK134</t>
  </si>
  <si>
    <t>PR-Packaging PB Latest Large (Pcs)</t>
  </si>
  <si>
    <t>PPPK128</t>
  </si>
  <si>
    <t>PR-Packaging PB JCOB Tiny(Pcs)</t>
  </si>
  <si>
    <t>PPPK131</t>
  </si>
  <si>
    <t>PR-Packaging PB Latest Mini (Pcs)</t>
  </si>
  <si>
    <t>PR-Packaging PB Mega XL (Pcs)</t>
  </si>
  <si>
    <t>PR-Packaging Mega XL (Pcs)</t>
  </si>
  <si>
    <t>PR-Packaging PB Boston Large Black (Pcs)</t>
  </si>
  <si>
    <t xml:space="preserve">           </t>
  </si>
  <si>
    <t xml:space="preserve">                                      </t>
  </si>
  <si>
    <t>Raw Materials Rollforward</t>
  </si>
  <si>
    <t xml:space="preserve">                                                          </t>
  </si>
  <si>
    <t>As of June 20, 2025</t>
  </si>
  <si>
    <t xml:space="preserve">                               </t>
  </si>
  <si>
    <t>A</t>
  </si>
  <si>
    <t>B</t>
  </si>
  <si>
    <t>C</t>
  </si>
  <si>
    <t>D</t>
  </si>
  <si>
    <t>E = A + B + C - D</t>
  </si>
  <si>
    <t>Beg.Inv</t>
  </si>
  <si>
    <t>Purchase</t>
  </si>
  <si>
    <t>Inbound Prod</t>
  </si>
  <si>
    <t>Outbound</t>
  </si>
  <si>
    <t>Ending Inventory</t>
  </si>
  <si>
    <t>Price</t>
  </si>
  <si>
    <t>Peso Value</t>
  </si>
  <si>
    <t>kg</t>
  </si>
  <si>
    <t>R011</t>
  </si>
  <si>
    <t>LDPE Virgin</t>
  </si>
  <si>
    <t>R022</t>
  </si>
  <si>
    <t xml:space="preserve">HDV Green </t>
  </si>
  <si>
    <t>R024</t>
  </si>
  <si>
    <t xml:space="preserve">HDV Pink </t>
  </si>
  <si>
    <t>R030</t>
  </si>
  <si>
    <t xml:space="preserve">PP Injection Recycle </t>
  </si>
  <si>
    <t>R031</t>
  </si>
  <si>
    <t xml:space="preserve">PET Resin </t>
  </si>
  <si>
    <t>R033</t>
  </si>
  <si>
    <t xml:space="preserve">LDPE Inejction </t>
  </si>
  <si>
    <t>COL012</t>
  </si>
  <si>
    <t xml:space="preserve">Colorant Pink </t>
  </si>
  <si>
    <t>pcs</t>
  </si>
  <si>
    <t>R104</t>
  </si>
  <si>
    <t>PET Bottle Pre-Formed 12g (26mm) (RGMC)</t>
  </si>
  <si>
    <t>R106</t>
  </si>
  <si>
    <t>PET Bottle Pre-Formed 22g (26mm)</t>
  </si>
  <si>
    <t>R107</t>
  </si>
  <si>
    <t xml:space="preserve">Peanut Jar Clear Pre-Formed 25g </t>
  </si>
  <si>
    <t>AC007</t>
  </si>
  <si>
    <t xml:space="preserve">Water Container Big Outer Cap w/outinner cap </t>
  </si>
  <si>
    <t>AC008</t>
  </si>
  <si>
    <t>Water Container Inner Cap</t>
  </si>
  <si>
    <t>AC009</t>
  </si>
  <si>
    <t>PET Bottle Cap Blue 30mm</t>
  </si>
  <si>
    <t>AC014</t>
  </si>
  <si>
    <t>PET Bottle Cap White 25mm (RGMC)</t>
  </si>
  <si>
    <t>AC015</t>
  </si>
  <si>
    <t xml:space="preserve">White Clear Peanut Jar Cap  </t>
  </si>
  <si>
    <t>AC016</t>
  </si>
  <si>
    <t>Yellow Clear Peanut Jar Cap</t>
  </si>
  <si>
    <t>AC020</t>
  </si>
  <si>
    <t xml:space="preserve">Gallon Styro Liner </t>
  </si>
  <si>
    <t>ltrs</t>
  </si>
  <si>
    <t>AC111</t>
  </si>
  <si>
    <t>Paint Green</t>
  </si>
  <si>
    <t>AC115</t>
  </si>
  <si>
    <t>Paint Pink</t>
  </si>
  <si>
    <t>AC116</t>
  </si>
  <si>
    <t>Paint Violet</t>
  </si>
  <si>
    <t>AC117</t>
  </si>
  <si>
    <t>Paint Orange</t>
  </si>
  <si>
    <t>PST011</t>
  </si>
  <si>
    <t>Straw Plain-White 9mm</t>
  </si>
  <si>
    <t>PST012</t>
  </si>
  <si>
    <t>Straw Plain-White 10mm</t>
  </si>
  <si>
    <t>PST101</t>
  </si>
  <si>
    <t>Straw Stripe-Orange 9mm</t>
  </si>
  <si>
    <t>PST102</t>
  </si>
  <si>
    <t>Straw Stripe-Orange 10mm</t>
  </si>
  <si>
    <t>PST103</t>
  </si>
  <si>
    <t>Straw Stripe-Yellow 9mm</t>
  </si>
  <si>
    <t>PST104</t>
  </si>
  <si>
    <t>Straw Stripe-Yellow 10mm</t>
  </si>
  <si>
    <t>PST105</t>
  </si>
  <si>
    <t>Straw Stripe-Green 9mm</t>
  </si>
  <si>
    <t>PST106</t>
  </si>
  <si>
    <t>Straw Stripe-Green 10mm</t>
  </si>
  <si>
    <t>PST107</t>
  </si>
  <si>
    <t>Straw Stripe-Blue 9mm</t>
  </si>
  <si>
    <t>PST108</t>
  </si>
  <si>
    <t>Straw Stripe-Blue 10mm</t>
  </si>
  <si>
    <t>PST109</t>
  </si>
  <si>
    <t>Straw Stripe-White 9mm</t>
  </si>
  <si>
    <t>PST110</t>
  </si>
  <si>
    <t>Straw Stripe-White 10mm</t>
  </si>
  <si>
    <t>PST111</t>
  </si>
  <si>
    <t>Straw Stripe-Red 9mm</t>
  </si>
  <si>
    <t>PST112</t>
  </si>
  <si>
    <t>Straw Stripe-Red 10mm</t>
  </si>
  <si>
    <t>PPR001</t>
  </si>
  <si>
    <t>PP Roll 3x001</t>
  </si>
  <si>
    <t>PPR002</t>
  </si>
  <si>
    <t>PP Roll 4x001</t>
  </si>
  <si>
    <t>PPR006</t>
  </si>
  <si>
    <t>PP Roll 61/2x001</t>
  </si>
  <si>
    <t>PPR009</t>
  </si>
  <si>
    <t>PP Roll 8x001</t>
  </si>
  <si>
    <t>PPR010</t>
  </si>
  <si>
    <t>PP Roll 81/2x001</t>
  </si>
  <si>
    <t>PPR014</t>
  </si>
  <si>
    <t>PP Roll 12x001</t>
  </si>
  <si>
    <t>PPR017</t>
  </si>
  <si>
    <t>PP Roll 15 1/2x001</t>
  </si>
  <si>
    <t>PPR019</t>
  </si>
  <si>
    <t>PP Roll 4x002</t>
  </si>
  <si>
    <t>PPR020</t>
  </si>
  <si>
    <t>PP Roll 5x002</t>
  </si>
  <si>
    <t>PPR021</t>
  </si>
  <si>
    <t>PP Roll 5 1/2x002</t>
  </si>
  <si>
    <t>PPR022</t>
  </si>
  <si>
    <t>PP Roll 6x002</t>
  </si>
  <si>
    <t>PPR023</t>
  </si>
  <si>
    <t>PP Roll 61/2x002</t>
  </si>
  <si>
    <t>PPR024</t>
  </si>
  <si>
    <t>PP Roll 7x002</t>
  </si>
  <si>
    <t>PPR025</t>
  </si>
  <si>
    <t>PP Roll 71/2x002</t>
  </si>
  <si>
    <t>PPR026</t>
  </si>
  <si>
    <t>PP Roll 8x002</t>
  </si>
  <si>
    <t>PPR027</t>
  </si>
  <si>
    <t>PP Roll 81/2x002</t>
  </si>
  <si>
    <t>PPR028</t>
  </si>
  <si>
    <t>PP Roll 9x002</t>
  </si>
  <si>
    <t>PPR029</t>
  </si>
  <si>
    <t>PP Roll 10x002</t>
  </si>
  <si>
    <t>PPR030</t>
  </si>
  <si>
    <t>PP Roll 11x002</t>
  </si>
  <si>
    <t>PPR031</t>
  </si>
  <si>
    <t>PP Roll 12x002</t>
  </si>
  <si>
    <t>PPR032</t>
  </si>
  <si>
    <t>PP Roll 13x002</t>
  </si>
  <si>
    <t>PPR033</t>
  </si>
  <si>
    <t>PP Roll 15x002</t>
  </si>
  <si>
    <t>PPR034</t>
  </si>
  <si>
    <t>PP Roll 15 1/2x002</t>
  </si>
  <si>
    <t>PPR035</t>
  </si>
  <si>
    <t>PP Roll 16x002</t>
  </si>
  <si>
    <t>PPR036</t>
  </si>
  <si>
    <t>PP Roll 7x003</t>
  </si>
  <si>
    <t>PPR037</t>
  </si>
  <si>
    <t>PP Roll 8x003</t>
  </si>
  <si>
    <t>PPKR006</t>
  </si>
  <si>
    <t>PR-Roll PB Aloha Jumbo (Kgs)</t>
  </si>
  <si>
    <t>PPKR007</t>
  </si>
  <si>
    <t>PP-Roll PB Babis Chocolates Mini (Kgs)</t>
  </si>
  <si>
    <t>PPKR008</t>
  </si>
  <si>
    <t>PP-Roll PB Babis Chocolates Tiny (Kgs)</t>
  </si>
  <si>
    <t>PPKR009</t>
  </si>
  <si>
    <t>PP-Roll PB Babis Chocolates Medium (Kgs)</t>
  </si>
  <si>
    <t>PPKR010</t>
  </si>
  <si>
    <t>PP-Roll PB Babis Chocolates Large (Kgs)</t>
  </si>
  <si>
    <t>PPKR011</t>
  </si>
  <si>
    <t>PP-Roll PB Babis Chocolates XLarge (Kgs)</t>
  </si>
  <si>
    <t>PPKR012</t>
  </si>
  <si>
    <t>PP-Roll PB Boston Mini Black (Kgs)</t>
  </si>
  <si>
    <t>PPKR013</t>
  </si>
  <si>
    <t>PP-Roll PB Boston Tiny Black (Kgs)</t>
  </si>
  <si>
    <t>PPKR014</t>
  </si>
  <si>
    <t>PP-Roll PB Boston Medium Black (Kgs)</t>
  </si>
  <si>
    <t>PPKR015</t>
  </si>
  <si>
    <t>PP-Roll PB Boston Large Black (Kgs)</t>
  </si>
  <si>
    <t>PPKR016</t>
  </si>
  <si>
    <t>PP-Roll PB Boston Mini Green (Kgs)</t>
  </si>
  <si>
    <t>PPKR017</t>
  </si>
  <si>
    <t>PP-Roll PB Boston Tiny Green (Kgs)</t>
  </si>
  <si>
    <t>PPKR018</t>
  </si>
  <si>
    <t>PP-Roll PB Boston Medium Green (Kgs)</t>
  </si>
  <si>
    <t>PPKR019</t>
  </si>
  <si>
    <t>PP-Roll PB Boston Large Green (Kgs)</t>
  </si>
  <si>
    <t>PPKR020</t>
  </si>
  <si>
    <t>PP-Roll PB Boston Mini White (Kgs)</t>
  </si>
  <si>
    <t>PPKR021</t>
  </si>
  <si>
    <t>PP-Roll PB Boston Tiny White (Kgs)</t>
  </si>
  <si>
    <t>PPKR022</t>
  </si>
  <si>
    <t>PP-Roll PB Boston Medium White (Kgs)</t>
  </si>
  <si>
    <t>PPKR023</t>
  </si>
  <si>
    <t>PP-Roll PB Boston Large White (Kgs)</t>
  </si>
  <si>
    <t>PPKR027</t>
  </si>
  <si>
    <t>PP-Roll PB Bucks Large Black (Kgs)</t>
  </si>
  <si>
    <t>PPKR028</t>
  </si>
  <si>
    <t>PP-Roll PB Bucks XL Black (Kgs)</t>
  </si>
  <si>
    <t>PPKR029</t>
  </si>
  <si>
    <t>PP-Roll PB Bucks Mini Green (Kgs)</t>
  </si>
  <si>
    <t>PPKR030</t>
  </si>
  <si>
    <t>PP-Roll PB Bucks Tiny Green (Kgs)</t>
  </si>
  <si>
    <t>PPKR031</t>
  </si>
  <si>
    <t>PP-Roll PB Bucks Medium Green (Kgs)</t>
  </si>
  <si>
    <t>PPKR032</t>
  </si>
  <si>
    <t>PP-Roll PB Bucks Large Green (Kgs)</t>
  </si>
  <si>
    <t>PPKR037</t>
  </si>
  <si>
    <t>PP-Roll PB Corgi Mini (Kgs)</t>
  </si>
  <si>
    <t>PPKR038</t>
  </si>
  <si>
    <t>PP-Roll PB Corgi Tiny (Kgs)</t>
  </si>
  <si>
    <t>PPKR039</t>
  </si>
  <si>
    <t>PP-Roll PB Corgi Medium (Kgs)</t>
  </si>
  <si>
    <t>PPKR040</t>
  </si>
  <si>
    <t>PP-Roll PB Corgi Large (Kgs)</t>
  </si>
  <si>
    <t>PPKR041</t>
  </si>
  <si>
    <t>PP-Roll PB Corgi XL (Kgs)</t>
  </si>
  <si>
    <t>PPKR046</t>
  </si>
  <si>
    <t>PP-Roll PB Dragon Mini (Kgs)</t>
  </si>
  <si>
    <t>PPKR047</t>
  </si>
  <si>
    <t>PP-Roll PB Dragon Tiny (Kgs)</t>
  </si>
  <si>
    <t>PPKR048</t>
  </si>
  <si>
    <t>PP-Roll PB Dragon Medium (Kgs)</t>
  </si>
  <si>
    <t>PPKR049</t>
  </si>
  <si>
    <t>PP-Roll PB Dragon Large (Kgs)</t>
  </si>
  <si>
    <t>PPKR054</t>
  </si>
  <si>
    <t>PP-Roll PB JCOB Mini (Kgs)</t>
  </si>
  <si>
    <t>PPKR055</t>
  </si>
  <si>
    <t>PP-Roll PB JCOB Tiny(Kgs)</t>
  </si>
  <si>
    <t>PPKR056</t>
  </si>
  <si>
    <t>PP-Roll PB JCOB Medium (Kgs)</t>
  </si>
  <si>
    <t>PPKR057</t>
  </si>
  <si>
    <t>PP-Roll PB JCOB Large (Kgs)</t>
  </si>
  <si>
    <t>PPKR059</t>
  </si>
  <si>
    <t>PP-Roll PB Kobe Tiny (Kgs)</t>
  </si>
  <si>
    <t>PPKR061</t>
  </si>
  <si>
    <t>PP-Roll PB Kobe Large (Kgs)</t>
  </si>
  <si>
    <t>PPKR066</t>
  </si>
  <si>
    <t>PP-Roll PB Latest Mini (Kgs)</t>
  </si>
  <si>
    <t>PPKR067</t>
  </si>
  <si>
    <t>PP-Roll PB Latest Tiny(Kgs)</t>
  </si>
  <si>
    <t>PPKR068</t>
  </si>
  <si>
    <t>PP-Roll PB Latest Medium (Kgs)</t>
  </si>
  <si>
    <t>PPKR074</t>
  </si>
  <si>
    <t>PP-Roll PB Liwanag Mini (Kgs)</t>
  </si>
  <si>
    <t>PPKR075</t>
  </si>
  <si>
    <t>PP-Roll PB Liwanag Tiny (Kgs)</t>
  </si>
  <si>
    <t>PPKR076</t>
  </si>
  <si>
    <t>PP-Roll PB Liwanag Medium (Kgs)</t>
  </si>
  <si>
    <t>PPKR077</t>
  </si>
  <si>
    <t>PP-Roll PB Liwanag Large (Kgs)</t>
  </si>
  <si>
    <t>PPKR080</t>
  </si>
  <si>
    <t>PP-Roll PB Lucky Medium (Kgs)</t>
  </si>
  <si>
    <t>PPKR081</t>
  </si>
  <si>
    <t>PP-Roll PB Lucky Large (Kgs)</t>
  </si>
  <si>
    <t>PPKR082</t>
  </si>
  <si>
    <t>PP-Roll PB Panda Mini (Kgs)</t>
  </si>
  <si>
    <t>PPKR083</t>
  </si>
  <si>
    <t>PP-Roll PB Panda Tiny (Kgs)</t>
  </si>
  <si>
    <t>PPKR084</t>
  </si>
  <si>
    <t>PP-Roll PB Panda Medium (Kgs)</t>
  </si>
  <si>
    <t>PPKR085</t>
  </si>
  <si>
    <t>PP-Roll PB Panda Large (Kgs)</t>
  </si>
  <si>
    <t>PPKR086</t>
  </si>
  <si>
    <t>PP-Roll PB Polar Bear Mini (Kgs)</t>
  </si>
  <si>
    <t>PPKR089</t>
  </si>
  <si>
    <t>PP-Roll PB Polar Bear Large (Kgs)</t>
  </si>
  <si>
    <t>PPKR093</t>
  </si>
  <si>
    <t>PP-Roll PB Pitbull Large (Kgs)</t>
  </si>
  <si>
    <t>PPKR100</t>
  </si>
  <si>
    <t>PPKR102</t>
  </si>
  <si>
    <t>PP-Roll PB Rivson XL (Kgs)</t>
  </si>
  <si>
    <t>PPKR110</t>
  </si>
  <si>
    <t>PP-Roll PB Smile Medium (Kgs)</t>
  </si>
  <si>
    <t>PPKR111</t>
  </si>
  <si>
    <t>PP-Roll PB Smile Large (Kgs)</t>
  </si>
  <si>
    <t>PPKR112</t>
  </si>
  <si>
    <t>PP-Roll PB Spring Mini (Kgs)</t>
  </si>
  <si>
    <t>PPKR113</t>
  </si>
  <si>
    <t>PP-Roll PB Spring Tiny (Kgs)</t>
  </si>
  <si>
    <t>PPKR114</t>
  </si>
  <si>
    <t>PP-Roll PB Spring Medium (Kgs)</t>
  </si>
  <si>
    <t>PPKR115</t>
  </si>
  <si>
    <t>PP-Roll PB Spring Large (Kgs)</t>
  </si>
  <si>
    <t>PPKR128</t>
  </si>
  <si>
    <t>PP-Roll Spring Blue 4 1/2 inch</t>
  </si>
  <si>
    <t>PPKR130</t>
  </si>
  <si>
    <t>PP-Roll Spring Blue 5 1/2 inch</t>
  </si>
  <si>
    <t>PPKR131</t>
  </si>
  <si>
    <t>PP-Roll Spring Blue 6 inch</t>
  </si>
  <si>
    <t>PPKR132</t>
  </si>
  <si>
    <t>PP-Roll Spring Blue 6 1/2 inch</t>
  </si>
  <si>
    <t>PPKR133</t>
  </si>
  <si>
    <t>PP-Roll Spring Blue 7 inch</t>
  </si>
  <si>
    <t>PPKR134</t>
  </si>
  <si>
    <t>PP-Roll Spring Blue 7 1/2 inch</t>
  </si>
  <si>
    <t>PPKR135</t>
  </si>
  <si>
    <t>PP-Roll Spring Blue 8 inch</t>
  </si>
  <si>
    <t>PPKR136</t>
  </si>
  <si>
    <t>PP-Roll Spring Blue 8 1/2 inch</t>
  </si>
  <si>
    <t>PPKR137</t>
  </si>
  <si>
    <t>PP-Roll Spring Blue 9 inch</t>
  </si>
  <si>
    <t>PPKR138</t>
  </si>
  <si>
    <t>PP-Roll Spring Green 4 1/2 inch</t>
  </si>
  <si>
    <t>PPKR139</t>
  </si>
  <si>
    <t>PP-Roll Spring Green 5 inch</t>
  </si>
  <si>
    <t>PPKR140</t>
  </si>
  <si>
    <t>PP-Roll Spring Green 5 1/2 inch</t>
  </si>
  <si>
    <t>PPKR141</t>
  </si>
  <si>
    <t>PP-Roll Spring Green 6 inch</t>
  </si>
  <si>
    <t>PPKR142</t>
  </si>
  <si>
    <t>PP-Roll Spring Green 6 1/2 inch</t>
  </si>
  <si>
    <t>PPKR143</t>
  </si>
  <si>
    <t>PP-Roll Spring Green 7 inch</t>
  </si>
  <si>
    <t>PPKR144</t>
  </si>
  <si>
    <t>PP-Roll Spring Green 7 1/2 inch</t>
  </si>
  <si>
    <t>PPKR145</t>
  </si>
  <si>
    <t>PP-Roll Spring Green 8 inch</t>
  </si>
  <si>
    <t>PPKR146</t>
  </si>
  <si>
    <t>PP-Roll Spring Green 8 1/2 inch</t>
  </si>
  <si>
    <t>PPKR147</t>
  </si>
  <si>
    <t>PP-Roll Spring Green 9 inch</t>
  </si>
  <si>
    <t>PPKR148</t>
  </si>
  <si>
    <t>PP-Roll Swerte 3 inch</t>
  </si>
  <si>
    <t>PPKR149</t>
  </si>
  <si>
    <t>PP-Roll Swerte 5 inch</t>
  </si>
  <si>
    <t>PPKR155</t>
  </si>
  <si>
    <t>PP-Roll ST Lucky (Kgs)</t>
  </si>
  <si>
    <t>PPKR156</t>
  </si>
  <si>
    <t>PP-Roll ST Liwanag (Kgs)</t>
  </si>
  <si>
    <t>PPKR157</t>
  </si>
  <si>
    <t>PP-Roll ST Greatwall Rivson (Kgs)</t>
  </si>
  <si>
    <t>PPKR158</t>
  </si>
  <si>
    <t>PP-Roll ST Rivson Jumbo (Kgs)</t>
  </si>
  <si>
    <t>PPKR159</t>
  </si>
  <si>
    <t>PP-Roll ST Rivson King (Kgs)</t>
  </si>
  <si>
    <t>PPKR160</t>
  </si>
  <si>
    <t>PR-Roll Aloha Disposable Cups 3oz</t>
  </si>
  <si>
    <t>PPKR161</t>
  </si>
  <si>
    <t>PR-Roll Aloha Disposable Cups 5oz</t>
  </si>
  <si>
    <t>PPKR163</t>
  </si>
  <si>
    <t>PR-Roll Aloha Disposable Cups 7oz</t>
  </si>
  <si>
    <t>PPKR168</t>
  </si>
  <si>
    <t>PR-Roll Metro Disposable Cups 3oz</t>
  </si>
  <si>
    <t>PPKR169</t>
  </si>
  <si>
    <t>PR-Roll Metro Disposable Cups 5oz</t>
  </si>
  <si>
    <t>PPKR170</t>
  </si>
  <si>
    <t>PR-Roll Metro Disposable Cups 6oz</t>
  </si>
  <si>
    <t>PPKR171</t>
  </si>
  <si>
    <t>PR-Roll Metro Disposable Cups 7oz</t>
  </si>
  <si>
    <t>PPKR172</t>
  </si>
  <si>
    <t>PR-Roll Metro Disposable Cups 8oz</t>
  </si>
  <si>
    <t>PPKR175</t>
  </si>
  <si>
    <t>PR-Roll Metro Disposable Cups 16oz</t>
  </si>
  <si>
    <t>PPKR176</t>
  </si>
  <si>
    <t>PR-Roll Rivson Disposable Cups 3oz</t>
  </si>
  <si>
    <t>PPKR177</t>
  </si>
  <si>
    <t>PR-Roll Rivson Disposable Cups 5oz</t>
  </si>
  <si>
    <t>PPKR178</t>
  </si>
  <si>
    <t>PR-Roll Rivson Disposable Cups 6oz</t>
  </si>
  <si>
    <t>PPKR179</t>
  </si>
  <si>
    <t>PR-Roll Rivson Disposable Cups 7oz</t>
  </si>
  <si>
    <t>PPKR180</t>
  </si>
  <si>
    <t>PR-Roll Rivson Disposable Cups 8oz</t>
  </si>
  <si>
    <t>PPKR181</t>
  </si>
  <si>
    <t>PR-Roll Rivson Disposable Cups 10oz</t>
  </si>
  <si>
    <t>PPKR182</t>
  </si>
  <si>
    <t>PR-Roll Rivson Disposable Cups 12oz</t>
  </si>
  <si>
    <t>PPKR183</t>
  </si>
  <si>
    <t>PR-Roll Rivson Disposable Cups 16oz</t>
  </si>
  <si>
    <t>PPKR184</t>
  </si>
  <si>
    <t>PP-Roll PB Mega XL (Kgs)</t>
  </si>
  <si>
    <t>PPKR185</t>
  </si>
  <si>
    <t>PP-Roll PB Mega Jumbo (Kgs)</t>
  </si>
  <si>
    <t>PPPK006</t>
  </si>
  <si>
    <t>PR-Packaging PB Boston Mini Black (Pcs)</t>
  </si>
  <si>
    <t>PPPK008</t>
  </si>
  <si>
    <t>PR-Packaging PB Boston Medium Black (Pcs)</t>
  </si>
  <si>
    <t>PPPK009</t>
  </si>
  <si>
    <t>PPPK010</t>
  </si>
  <si>
    <t>PR-Packaging PB Boston Mini Green (Pcs)</t>
  </si>
  <si>
    <t>PPPK011</t>
  </si>
  <si>
    <t>PR-Packaging PB Boston Tiny Green (Pcs)</t>
  </si>
  <si>
    <t>PPPK012</t>
  </si>
  <si>
    <t>PR-Packaging PB Boston Medium Green (Pcs)</t>
  </si>
  <si>
    <t>PPPK013</t>
  </si>
  <si>
    <t>PR-Packaging PB Boston Large Green (Pcs)</t>
  </si>
  <si>
    <t>pc</t>
  </si>
  <si>
    <t>PPPK014</t>
  </si>
  <si>
    <t>PR-Packaging PB Boston Mini White (Pcs)</t>
  </si>
  <si>
    <t>PPPK015</t>
  </si>
  <si>
    <t>PR-Packaging PB Boston Tiny White (Pcs)</t>
  </si>
  <si>
    <t>PPPK016</t>
  </si>
  <si>
    <t>PR-Packaging PB Boston Medium White (Pcs)</t>
  </si>
  <si>
    <t>PPPK017</t>
  </si>
  <si>
    <t>PR-Packaging PB Boston Large White (Pcs)</t>
  </si>
  <si>
    <t>PPPK021</t>
  </si>
  <si>
    <t>PR-Packaging PB Bucks Large Black (Pcs)</t>
  </si>
  <si>
    <t>PPPK022</t>
  </si>
  <si>
    <t>PR-Packaging PB Bucks XL Black (Pcs)</t>
  </si>
  <si>
    <t>PPPK032</t>
  </si>
  <si>
    <t>PR-Packaging PB Dragon Mini (Pcs)</t>
  </si>
  <si>
    <t>PPPK033</t>
  </si>
  <si>
    <t>PR-Packaging PB Dragon Tiny (Pcs)</t>
  </si>
  <si>
    <t>PPPK034</t>
  </si>
  <si>
    <t>PR-Packaging PB Dragon Medium (Pcs)</t>
  </si>
  <si>
    <t>PPPK035</t>
  </si>
  <si>
    <t>PR-Packaging PB Dragon Large (Pcs)</t>
  </si>
  <si>
    <t>PPPK036</t>
  </si>
  <si>
    <t>PR-Packaging PB Gilas Mini (Pcs)</t>
  </si>
  <si>
    <t>PPPK037</t>
  </si>
  <si>
    <t>PR-Packaging PB Gilas Tiny (Pcs)</t>
  </si>
  <si>
    <t>PPPK038</t>
  </si>
  <si>
    <t>PR-Packaging PB Gilas Medium (Pcs)</t>
  </si>
  <si>
    <t>PPPK039</t>
  </si>
  <si>
    <t>PR-Packaging PB Gilas Large (Pcs)</t>
  </si>
  <si>
    <t>PPPK041</t>
  </si>
  <si>
    <t>PR-Packaging PB Kobe Tiny (Pcs)</t>
  </si>
  <si>
    <t>PPPK043</t>
  </si>
  <si>
    <t>PR-Packaging PB Kobe Large (Pcs)</t>
  </si>
  <si>
    <t>PPPK054</t>
  </si>
  <si>
    <t>PR-Packaging PB Lucky Medium (Pcs)</t>
  </si>
  <si>
    <t>PPPK055</t>
  </si>
  <si>
    <t>PR-Packaging PB Lucky Large (Pcs)</t>
  </si>
  <si>
    <t>PPPK056</t>
  </si>
  <si>
    <t>PR-Packaging PB Liwanag Mini (Pcs)</t>
  </si>
  <si>
    <t>PPPK057</t>
  </si>
  <si>
    <t>PR-Packaging PB Liwanag Tiny (Pcs)</t>
  </si>
  <si>
    <t>PPPK058</t>
  </si>
  <si>
    <t>PR-Packaging PB Liwanag Medium (Pcs)</t>
  </si>
  <si>
    <t>PPPK059</t>
  </si>
  <si>
    <t>PR-Packaging PB Liwanag Large (Pcs)</t>
  </si>
  <si>
    <t>PPPK060</t>
  </si>
  <si>
    <t>PR-Packaging PB Panda Mini (Pcs)</t>
  </si>
  <si>
    <t>PPPK061</t>
  </si>
  <si>
    <t>PR-Packaging PB Panda Tiny (Pcs)</t>
  </si>
  <si>
    <t>PPPK062</t>
  </si>
  <si>
    <t>PR-Packaging PB Panda Medium (Pcs)</t>
  </si>
  <si>
    <t>PPPK063</t>
  </si>
  <si>
    <t>PR-Packaging PB Panda Large (Pcs)</t>
  </si>
  <si>
    <t>PPPK072</t>
  </si>
  <si>
    <t>PR-Packaging PB Spring Mini (Pcs)</t>
  </si>
  <si>
    <t>PPPK073</t>
  </si>
  <si>
    <t>PR-Packaging PB Spring Tiny (Pcs)</t>
  </si>
  <si>
    <t>PPPK074</t>
  </si>
  <si>
    <t>PR-Packaging PB Spring Medium (Pcs)</t>
  </si>
  <si>
    <t>PPPK075</t>
  </si>
  <si>
    <t>PR-Packaging PB Spring Large (Pcs)</t>
  </si>
  <si>
    <t>PPPK089</t>
  </si>
  <si>
    <t>PR-Packaging PB Corgi Mini (Pcs)</t>
  </si>
  <si>
    <t>PPPK090</t>
  </si>
  <si>
    <t>PR-Packaging PB Corgi Tiny (Pcs)</t>
  </si>
  <si>
    <t>PPPK091</t>
  </si>
  <si>
    <t>PR-Packaging PB Corgi Medium (Pcs)</t>
  </si>
  <si>
    <t>PPPK092</t>
  </si>
  <si>
    <t>PR-Packaging PB Corgi Large (Pcs)</t>
  </si>
  <si>
    <t>PPPK093</t>
  </si>
  <si>
    <t>PR-Packaging PB Corgi XL (Pcs)</t>
  </si>
  <si>
    <t>PPPK098</t>
  </si>
  <si>
    <t>PR-Packaging PB Polar Bear Mini (Pcs)</t>
  </si>
  <si>
    <t>PPPK101</t>
  </si>
  <si>
    <t>PR-Packaging PB Polar Bear Large (Pcs)</t>
  </si>
  <si>
    <t>PPPK102</t>
  </si>
  <si>
    <t>PR-Packaging PB Babi's Mini (Pcs)</t>
  </si>
  <si>
    <t>PPPK103</t>
  </si>
  <si>
    <t>PR-Packaging PB Babi's Tiny (Pcs)</t>
  </si>
  <si>
    <t>PPPK104</t>
  </si>
  <si>
    <t>PR-Packaging PB Babi's Medium (Pcs)</t>
  </si>
  <si>
    <t>PPPK105</t>
  </si>
  <si>
    <t>PR-Packaging PB Babi's Large (Pcs)</t>
  </si>
  <si>
    <t>PPPK106</t>
  </si>
  <si>
    <t>PR-Packaging PB Babi's XLarge (Pcs)</t>
  </si>
  <si>
    <t>PPPK110</t>
  </si>
  <si>
    <t>PR-Packaging PB Smile Large (Pcs)</t>
  </si>
  <si>
    <t>PPPK115</t>
  </si>
  <si>
    <t>PR-Packaging PB Buenas Mini (Pcs)</t>
  </si>
  <si>
    <t>PPPK116</t>
  </si>
  <si>
    <t>PR-Packaging PB Buenas Tiny (Pcs)</t>
  </si>
  <si>
    <t>PPPK117</t>
  </si>
  <si>
    <t>PR-Packaging PB Buenas Medium (Pcs)</t>
  </si>
  <si>
    <t>PPPK118</t>
  </si>
  <si>
    <t>PR-Packaging PB Buenas Large (Pcs)</t>
  </si>
  <si>
    <t>PPPK119</t>
  </si>
  <si>
    <t>PR-Packaging PB Bucks Mini Blue (Pcs)</t>
  </si>
  <si>
    <t>PPPK120</t>
  </si>
  <si>
    <t>PR-Packaging PB Bucks Tiny Blue (Pcs)</t>
  </si>
  <si>
    <t>PPPK121</t>
  </si>
  <si>
    <t>PR-Packaging PB Bucks Medium Blue (Pcs)</t>
  </si>
  <si>
    <t>PPPK122</t>
  </si>
  <si>
    <t>PR-Packaging PB Bucks Large Blue (Pcs)</t>
  </si>
  <si>
    <t>PPPK126</t>
  </si>
  <si>
    <t>PR-Packaging PB Pitbull Large (Pcs)</t>
  </si>
  <si>
    <t>PPPK127</t>
  </si>
  <si>
    <t>PR-Packaging PB JCOB Mini (Pcs)</t>
  </si>
  <si>
    <t>PPPK129</t>
  </si>
  <si>
    <t>PR-Packaging PB JCOB Medium (Pcs)</t>
  </si>
  <si>
    <t>PPPK130</t>
  </si>
  <si>
    <t>PR-Packaging PB JCOB Large (Pcs)</t>
  </si>
  <si>
    <t>PPPK132</t>
  </si>
  <si>
    <t>PR-Packaging PB Latest Tiny(Pcs)</t>
  </si>
  <si>
    <t>PPPK133</t>
  </si>
  <si>
    <t>PR-Packaging PB Latest Medium (Pcs)</t>
  </si>
  <si>
    <t>PPPK138</t>
  </si>
  <si>
    <t>PR-Packaging PB Rivson Large (Pcs)</t>
  </si>
  <si>
    <t>PPPK139</t>
  </si>
  <si>
    <t>PR-Packaging PB Rivson Jumbo (Pcs)</t>
  </si>
  <si>
    <t>PPPK140</t>
  </si>
  <si>
    <t>PR-Packaging Spring Blue 4.5x8 (500s)</t>
  </si>
  <si>
    <t>PPPK141</t>
  </si>
  <si>
    <t>PR-Packaging Spring Blue 5x8 (500s)</t>
  </si>
  <si>
    <t>PPPK143</t>
  </si>
  <si>
    <t>PR-Packaging Spring Blue 5 1/2 x8 (500s)</t>
  </si>
  <si>
    <t>PPPK144</t>
  </si>
  <si>
    <t>PR-Packaging Spring Blue 5 1/2 x10 (500s)</t>
  </si>
  <si>
    <t>PPPK146</t>
  </si>
  <si>
    <t>PR-Packaging Spring Blue 6x12 (500s)</t>
  </si>
  <si>
    <t>PPPK147</t>
  </si>
  <si>
    <t>PR-Packaging Spring Blue 6x14 (500s)</t>
  </si>
  <si>
    <t>PPPK148</t>
  </si>
  <si>
    <t>PR-Packaging Spring Blue 6 1/2 x10 (500s)</t>
  </si>
  <si>
    <t>PPPK149</t>
  </si>
  <si>
    <t>PR-Packaging Spring Blue 6 1/2 x12 (500s)</t>
  </si>
  <si>
    <t>PPPK150</t>
  </si>
  <si>
    <t>PR-Packaging Spring Blue 7x10 (500s)</t>
  </si>
  <si>
    <t>PPPK152</t>
  </si>
  <si>
    <t>PR-Packaging Spring Blue 7x14 (500s)</t>
  </si>
  <si>
    <t>PPPK153</t>
  </si>
  <si>
    <t>PR-Packaging Spring Blue 7 1/2 x10 (500s)</t>
  </si>
  <si>
    <t>PPPK154</t>
  </si>
  <si>
    <t>PR-Packaging Spring Blue 7 1/2 x14 (500s)</t>
  </si>
  <si>
    <t>PPPK155</t>
  </si>
  <si>
    <t>PR-Packaging Spring Blue 8 1/2 x12 (500s)</t>
  </si>
  <si>
    <t>PPPK156</t>
  </si>
  <si>
    <t>PR-Packaging Spring Blue 9x15 (500s)</t>
  </si>
  <si>
    <t>PPPK157</t>
  </si>
  <si>
    <t>PR-Packaging Spring Green 4.5x8 (500s)</t>
  </si>
  <si>
    <t>PPPK158</t>
  </si>
  <si>
    <t>PR-Packaging Spring Green 5x8 (500s)</t>
  </si>
  <si>
    <t>PPPK159</t>
  </si>
  <si>
    <t>PR-Packaging Spring Green 5x10 (500s)</t>
  </si>
  <si>
    <t>PPPK160</t>
  </si>
  <si>
    <t>PR-Packaging Spring Green 5 1/2 x8 (500s)</t>
  </si>
  <si>
    <t>PPPK161</t>
  </si>
  <si>
    <t>PR-Packaging Spring Green 5 1/2 x10 (500s)</t>
  </si>
  <si>
    <t>PPPK162</t>
  </si>
  <si>
    <t>PR-Packaging Spring Green 6x10 (500s)</t>
  </si>
  <si>
    <t>PPPK163</t>
  </si>
  <si>
    <t>PR-Packaging Spring Green 6x12 (500s)</t>
  </si>
  <si>
    <t>PPPK164</t>
  </si>
  <si>
    <t>PR-Packaging Spring Green 6x14 (500s)</t>
  </si>
  <si>
    <t>PPPK165</t>
  </si>
  <si>
    <t>PR-Packaging Spring Green 6 1/2 x10 (500s)</t>
  </si>
  <si>
    <t>PPPK166</t>
  </si>
  <si>
    <t>PR-Packaging Spring Green 6 1/2 x12 (500s)</t>
  </si>
  <si>
    <t>PPPK167</t>
  </si>
  <si>
    <t>PR-Packaging Spring Green 7x10 (500s)</t>
  </si>
  <si>
    <t>PPPK168</t>
  </si>
  <si>
    <t>PR-Packaging Spring Green 7x12 (500s)</t>
  </si>
  <si>
    <t>PPPK169</t>
  </si>
  <si>
    <t>PR-Packaging Spring Green 7x14 (500s)</t>
  </si>
  <si>
    <t>PPPK170</t>
  </si>
  <si>
    <t>PR-Packaging Spring Green 7 1/2 x10 (500s)</t>
  </si>
  <si>
    <t>PPPK171</t>
  </si>
  <si>
    <t>PR-Packaging Spring Green 7 1/2 x14 (500s)</t>
  </si>
  <si>
    <t>PPPK172</t>
  </si>
  <si>
    <t>PR-Packaging Spring Green 8 1/2 x12 (500s)</t>
  </si>
  <si>
    <t>PPPK173</t>
  </si>
  <si>
    <t>PR-Packaging Spring Green 9x15 (500s)</t>
  </si>
  <si>
    <t>PPPK174</t>
  </si>
  <si>
    <t>PR-Packaging Swerte 5x5</t>
  </si>
  <si>
    <t>PPPK176</t>
  </si>
  <si>
    <t>PR-Packaging Swerte 3x3</t>
  </si>
  <si>
    <t>PPPK177</t>
  </si>
  <si>
    <t>PP-Packaging Plain 4 1/2X8(Pcs)</t>
  </si>
  <si>
    <t>PPPK178</t>
  </si>
  <si>
    <t>PP-Packaging Plain 5 1/2X10(Pcs)</t>
  </si>
  <si>
    <t>PPPK179</t>
  </si>
  <si>
    <t>PP-Packaging Plain 5 1/2X20 (Pcs)</t>
  </si>
  <si>
    <t>PPPK180</t>
  </si>
  <si>
    <t>PP-Packaging Plain 6 1/2X12(Pcs)</t>
  </si>
  <si>
    <t>PPPK181</t>
  </si>
  <si>
    <t>PP-Packaging Plain 7X12 (Pcs)</t>
  </si>
  <si>
    <t>PPPK182</t>
  </si>
  <si>
    <t>PP-Packaging Plain 7x20 (Pcs)</t>
  </si>
  <si>
    <t>PPPK185</t>
  </si>
  <si>
    <t>PP-Packaging Plain 8X12 (Pcs)</t>
  </si>
  <si>
    <t>PPPK186</t>
  </si>
  <si>
    <t>PP-Packaging Plain 8X14 (Pcs)</t>
  </si>
  <si>
    <t>PPPK187</t>
  </si>
  <si>
    <t>PP-Packaging Plain 8X16 (Pcs)</t>
  </si>
  <si>
    <t>PPPK188</t>
  </si>
  <si>
    <t>PP-Packaging Plain 8X17 (Pcs)</t>
  </si>
  <si>
    <t>PPPK190</t>
  </si>
  <si>
    <t>PP-Packaging Plain 9X16 (Pcs)</t>
  </si>
  <si>
    <t>PPPK191</t>
  </si>
  <si>
    <t>PP-Packaging Plain 9X18 (Pcs)</t>
  </si>
  <si>
    <t>PPPK192</t>
  </si>
  <si>
    <t>PP-Packaging Plain 11X11 (Pcs)</t>
  </si>
  <si>
    <t>PPPK193</t>
  </si>
  <si>
    <t>PP-Packaging Plain 5x23 (Pcs)</t>
  </si>
  <si>
    <t>PPPK200</t>
  </si>
  <si>
    <t>PR-Packaging ST Rivson Greatwall (Pcs)</t>
  </si>
  <si>
    <t>PPPK201</t>
  </si>
  <si>
    <t>PR-Packaging ST Rivson Jumbo (Pcs)</t>
  </si>
  <si>
    <t>PPPK202</t>
  </si>
  <si>
    <t>PR-Packaging ST Rivson King (Pcs)</t>
  </si>
  <si>
    <t>PPPK203</t>
  </si>
  <si>
    <t>PR-Packaging Disposable Cups 3oz</t>
  </si>
  <si>
    <t>PPPK204</t>
  </si>
  <si>
    <t>PR-Packaging Disposable Cups 5oz</t>
  </si>
  <si>
    <t>PPPK206</t>
  </si>
  <si>
    <t>PR-Packaging Disposable Cups 7oz</t>
  </si>
  <si>
    <t>PPPK211</t>
  </si>
  <si>
    <t>PR-Packaging Metro Disposable Cups 3oz</t>
  </si>
  <si>
    <t>PPPK212</t>
  </si>
  <si>
    <t>PR-Packaging Metro Disposable Cups 5oz</t>
  </si>
  <si>
    <t>PPPK213</t>
  </si>
  <si>
    <t>PR-Packaging Metro Disposable Cups 6oz</t>
  </si>
  <si>
    <t>PPPK214</t>
  </si>
  <si>
    <t>PR-Packaging Metro Disposable Cups 7oz</t>
  </si>
  <si>
    <t>PPPK215</t>
  </si>
  <si>
    <t>PR-Packaging Metro Disposable Cups 8oz</t>
  </si>
  <si>
    <t>PPPK218</t>
  </si>
  <si>
    <t>PR-Packaging Metro Disposable Cups 16oz</t>
  </si>
  <si>
    <t>PPPK219</t>
  </si>
  <si>
    <t>PR-Packaging Rivson Disposable Cups 3oz</t>
  </si>
  <si>
    <t>PPPK220</t>
  </si>
  <si>
    <t>PR-Packaging Rivson Disposable Cups 5oz</t>
  </si>
  <si>
    <t>PPPK221</t>
  </si>
  <si>
    <t>PR-Packaging Rivson Disposable Cups 6oz</t>
  </si>
  <si>
    <t>PPPK222</t>
  </si>
  <si>
    <t>PR-Packaging Rivson Disposable Cups 7oz</t>
  </si>
  <si>
    <t>PPPK223</t>
  </si>
  <si>
    <t>PR-Packaging Rivson Disposable Cups 8oz</t>
  </si>
  <si>
    <t>PPPK224</t>
  </si>
  <si>
    <t>PR-Packaging Rivson Disposable Cups 10oz</t>
  </si>
  <si>
    <t>PPPK225</t>
  </si>
  <si>
    <t>PR-Packaging Rivson Disposable Cups 12oz</t>
  </si>
  <si>
    <t>PPPK226</t>
  </si>
  <si>
    <t>PR-Packaging Rivson Disposable Cups 16oz</t>
  </si>
  <si>
    <t>PPPK227</t>
  </si>
  <si>
    <t>PPPK228</t>
  </si>
  <si>
    <t>PR-Packaging Mega Jumbo (Pcs)</t>
  </si>
  <si>
    <t>PEPK003</t>
  </si>
  <si>
    <t>Packaging 14x20(Pcs)</t>
  </si>
  <si>
    <t>PEPK004</t>
  </si>
  <si>
    <t>Packaging 14x22 (Pcs)</t>
  </si>
  <si>
    <t>PEPK006</t>
  </si>
  <si>
    <t>Packaging 14x25 (Pcs)</t>
  </si>
  <si>
    <t>PEPK007</t>
  </si>
  <si>
    <t>Packaging 16x24 (Pcs)</t>
  </si>
  <si>
    <t>PEPK008</t>
  </si>
  <si>
    <t>Packaging 16x25 (Pcs)</t>
  </si>
  <si>
    <t>PEPK009</t>
  </si>
  <si>
    <t>Packaging 16x28 (Pcs)</t>
  </si>
  <si>
    <t>PEPK011</t>
  </si>
  <si>
    <t>Packaging 18x20 (Pcs)</t>
  </si>
  <si>
    <t>PEPK012</t>
  </si>
  <si>
    <t>Packaging 18x28 (Pcs)</t>
  </si>
  <si>
    <t>PEPK015</t>
  </si>
  <si>
    <t>Packaging 20x30(Pcs)</t>
  </si>
  <si>
    <t>PEPK020</t>
  </si>
  <si>
    <t>Packaging 22X38 (Pcs)</t>
  </si>
  <si>
    <t>PEPK026</t>
  </si>
  <si>
    <t>Packaging 24x40 (Pcs)</t>
  </si>
  <si>
    <t>PEPK042</t>
  </si>
  <si>
    <t>Packaging 40x45(Pcs)</t>
  </si>
  <si>
    <t>PEPK046</t>
  </si>
  <si>
    <t>Packaging 40X60 (Pcs)</t>
  </si>
  <si>
    <t>PER001</t>
  </si>
  <si>
    <t>Packaging Roll 10 inch (Kgs)</t>
  </si>
  <si>
    <t>PER002</t>
  </si>
  <si>
    <t>Packaging Roll 14 inch (Kgs)</t>
  </si>
  <si>
    <t>PER006</t>
  </si>
  <si>
    <t>Packaging Roll 25 inch (Kgs)</t>
  </si>
  <si>
    <t>PER007</t>
  </si>
  <si>
    <t>Packaging Roll 27 inch (Kgs)</t>
  </si>
  <si>
    <t>PER008</t>
  </si>
  <si>
    <t>Packaging Roll 34 inch (Kgs)</t>
  </si>
  <si>
    <t>PER009</t>
  </si>
  <si>
    <t>Packaging Roll 36 inch (Kgs)</t>
  </si>
  <si>
    <t>PER011</t>
  </si>
  <si>
    <t>Packaging Roll 16 inch (Kgs)</t>
  </si>
  <si>
    <t>PER012</t>
  </si>
  <si>
    <t>Packaging Roll 11 inch (Kgs)</t>
  </si>
  <si>
    <t>PER013</t>
  </si>
  <si>
    <t>Packaging Roll 39 inch (Kgs)</t>
  </si>
  <si>
    <t>PER014</t>
  </si>
  <si>
    <t>Packaging Roll 20 inch (Kgs)</t>
  </si>
  <si>
    <t>PER015</t>
  </si>
  <si>
    <t>Packaging Roll 40 inch Blue (Kgs)</t>
  </si>
  <si>
    <t>RBR001</t>
  </si>
  <si>
    <t>PB- Roll Bag 5 inch 001</t>
  </si>
  <si>
    <t>RBR003</t>
  </si>
  <si>
    <t>PB- Roll Bag 10 inch 001</t>
  </si>
  <si>
    <t>RBR004</t>
  </si>
  <si>
    <t>PB- Roll Bag 12 inch 001</t>
  </si>
  <si>
    <t>RBR007</t>
  </si>
  <si>
    <t>PB- Roll Bag 5 inch 002</t>
  </si>
  <si>
    <t>RBR009</t>
  </si>
  <si>
    <t>PB- Roll Bag 10 inch 002</t>
  </si>
  <si>
    <t>RBR010</t>
  </si>
  <si>
    <t>PB- Roll Bag 12 inch 002</t>
  </si>
  <si>
    <t>RBR011</t>
  </si>
  <si>
    <t>PB- Roll Bag 16 inch 002</t>
  </si>
  <si>
    <t>RBR012</t>
  </si>
  <si>
    <t>PB- Roll Bag 20 inch 002</t>
  </si>
  <si>
    <t>VR004</t>
  </si>
  <si>
    <t>Virgin Roll Mini Blue</t>
  </si>
  <si>
    <t>VR005</t>
  </si>
  <si>
    <t>Virgin Roll Mini Orange</t>
  </si>
  <si>
    <t>VR006</t>
  </si>
  <si>
    <t>Virgin Roll Mini Red</t>
  </si>
  <si>
    <t>VR007</t>
  </si>
  <si>
    <t>Virgin Roll Mini Yellow</t>
  </si>
  <si>
    <t>VR008</t>
  </si>
  <si>
    <t>Virgin Roll Mini Green</t>
  </si>
  <si>
    <t>VR014</t>
  </si>
  <si>
    <t>Virgin Roll Tiny Red</t>
  </si>
  <si>
    <t>VR015</t>
  </si>
  <si>
    <t>Virgin Roll Tiny Yellow</t>
  </si>
  <si>
    <t>VR021</t>
  </si>
  <si>
    <t>Virgin Roll Medium Orange</t>
  </si>
  <si>
    <t>VR023</t>
  </si>
  <si>
    <t>Virgin Roll Medium Yellow</t>
  </si>
  <si>
    <t>VR024</t>
  </si>
  <si>
    <t>Virgin Roll Medium Green</t>
  </si>
  <si>
    <t>VR025</t>
  </si>
  <si>
    <t>Virgin Roll Large Transparent</t>
  </si>
  <si>
    <t>VR028</t>
  </si>
  <si>
    <t>Virgin Roll Large Blue</t>
  </si>
  <si>
    <t>VR029</t>
  </si>
  <si>
    <t>Virgin Roll Large Orange</t>
  </si>
  <si>
    <t>VR031</t>
  </si>
  <si>
    <t>Virgin Roll Large Yellow</t>
  </si>
  <si>
    <t>VR032</t>
  </si>
  <si>
    <t>Virgin Roll Large Green</t>
  </si>
  <si>
    <t>VR033</t>
  </si>
  <si>
    <t>Virgin Roll XL Transparent</t>
  </si>
  <si>
    <t>SVR07</t>
  </si>
  <si>
    <t>Semi-Virgin Roll Mini Yellow</t>
  </si>
  <si>
    <t>SVR08</t>
  </si>
  <si>
    <t>Semi-Virgin Roll Mini Green</t>
  </si>
  <si>
    <t>SVR15</t>
  </si>
  <si>
    <t>Semi-Virgin Roll Tiny Yellow</t>
  </si>
  <si>
    <t>SVR19</t>
  </si>
  <si>
    <t>Semi-Virgin Roll Medium White (Kgs)</t>
  </si>
  <si>
    <t>SVR23</t>
  </si>
  <si>
    <t>Semi-Virgin Roll Medium Yellow (Kgs)</t>
  </si>
  <si>
    <t>SVR29</t>
  </si>
  <si>
    <t>Semi-Virgin Roll Large Orange (Kgs)</t>
  </si>
  <si>
    <t>SVR31</t>
  </si>
  <si>
    <t>Semi-Virgin Roll Large Yellow (Kgs)</t>
  </si>
  <si>
    <t>SVR32</t>
  </si>
  <si>
    <t>Semi-Virgin Roll Large Green (Kgs)</t>
  </si>
  <si>
    <t>RR001-03</t>
  </si>
  <si>
    <t>Recycled Roll B Mini Blue (Kgs)</t>
  </si>
  <si>
    <t>RR001-04</t>
  </si>
  <si>
    <t>Recycled Roll B Mini Red (Kgs)</t>
  </si>
  <si>
    <t>RR001-05</t>
  </si>
  <si>
    <t>Recycled Roll B Mini Yellow (Kgs)</t>
  </si>
  <si>
    <t>RR001-07</t>
  </si>
  <si>
    <t>Recycled Roll B Mini Orange (Kgs)</t>
  </si>
  <si>
    <t>RR001-21</t>
  </si>
  <si>
    <t>Recycled Roll B Medium Orange (Kgs)</t>
  </si>
  <si>
    <t>RR001-22</t>
  </si>
  <si>
    <t>Recycled Roll B Large Black (Kgs)</t>
  </si>
  <si>
    <t>RR001-23</t>
  </si>
  <si>
    <t>Recycled Roll B Large White (Kgs)</t>
  </si>
  <si>
    <t>RR001-27</t>
  </si>
  <si>
    <t>Recycled Roll B Large Green (Kgs)</t>
  </si>
  <si>
    <t>RR001-28</t>
  </si>
  <si>
    <t>Recycled Roll B Large Orange (Kgs)</t>
  </si>
  <si>
    <t>RR002-02</t>
  </si>
  <si>
    <t>Recycled Roll C Mini White (Kgs)</t>
  </si>
  <si>
    <t>RR002-03</t>
  </si>
  <si>
    <t>Recycled Roll C Mini Blue (Kgs)</t>
  </si>
  <si>
    <t>RR002-04</t>
  </si>
  <si>
    <t>Recycled Roll C Mini Red (Kgs)</t>
  </si>
  <si>
    <t>RR002-05</t>
  </si>
  <si>
    <t>Recycled Roll C Mini Yellow (Kgs)</t>
  </si>
  <si>
    <t>RR002-06</t>
  </si>
  <si>
    <t>Recycled Roll C Mini Green (Kgs)</t>
  </si>
  <si>
    <t>RR002-07</t>
  </si>
  <si>
    <t>Recycled Roll C Mini Orange (Kgs)</t>
  </si>
  <si>
    <t>RR002-09</t>
  </si>
  <si>
    <t>Recycled Roll C Tiny White (Kgs)</t>
  </si>
  <si>
    <t>RR002-10</t>
  </si>
  <si>
    <t>Recycled Roll C Tiny Blue (Kgs)</t>
  </si>
  <si>
    <t>RR002-11</t>
  </si>
  <si>
    <t>Recycled Roll C Tiny Red (Kgs)</t>
  </si>
  <si>
    <t>RR002-12</t>
  </si>
  <si>
    <t>Recycled Roll C Tiny Yellow (Kgs)</t>
  </si>
  <si>
    <t>RR002-13</t>
  </si>
  <si>
    <t>Recycled Roll C Tiny Green (Kgs)</t>
  </si>
  <si>
    <t>RR002-14</t>
  </si>
  <si>
    <t>Recycled Roll C Tiny Orange (Kgs)</t>
  </si>
  <si>
    <t>RR002-16</t>
  </si>
  <si>
    <t>Recycled Roll C Medium White (Kgs)</t>
  </si>
  <si>
    <t>RR002-17</t>
  </si>
  <si>
    <t>Recycled Roll C Medium Blue (Kgs)</t>
  </si>
  <si>
    <t>RR002-18</t>
  </si>
  <si>
    <t>Recycled Roll C Medium Red (Kgs)</t>
  </si>
  <si>
    <t>RR002-19</t>
  </si>
  <si>
    <t>Recycled Roll C Medium Yellow (Kgs)</t>
  </si>
  <si>
    <t>RR002-20</t>
  </si>
  <si>
    <t>Recycled Roll C Medium Green (Kgs)</t>
  </si>
  <si>
    <t>RR002-21</t>
  </si>
  <si>
    <t>Recycled Roll C Medium Orange (Kgs)</t>
  </si>
  <si>
    <t>RR002-23</t>
  </si>
  <si>
    <t>Recycled Roll C Large White (Kgs)</t>
  </si>
  <si>
    <t>RR002-24</t>
  </si>
  <si>
    <t>Recycled Roll C Large Blue (Kgs)</t>
  </si>
  <si>
    <t>RR002-25</t>
  </si>
  <si>
    <t>Recycled Roll C Large Red (Kgs)</t>
  </si>
  <si>
    <t>RR002-26</t>
  </si>
  <si>
    <t>Recycled Roll C Large Yellow (Kgs)</t>
  </si>
  <si>
    <t>RR002-27</t>
  </si>
  <si>
    <t>Recycled Roll C Large Green (Kgs)</t>
  </si>
  <si>
    <t>RR002-28</t>
  </si>
  <si>
    <t>Recycled Roll C Large Orange (Kgs)</t>
  </si>
  <si>
    <t>RR002-30</t>
  </si>
  <si>
    <t>Recycled Roll C XLarge White (Kgs)</t>
  </si>
  <si>
    <t>RR002-31</t>
  </si>
  <si>
    <t>Recycled Roll C XLarge Blue (Kgs)</t>
  </si>
  <si>
    <t>RR002-32</t>
  </si>
  <si>
    <t>Recycled Roll C XLarge Red (Kgs)</t>
  </si>
  <si>
    <t>RR002-33</t>
  </si>
  <si>
    <t>Recycled Roll C XLarge Yellow (Kgs)</t>
  </si>
  <si>
    <t>RR002-34</t>
  </si>
  <si>
    <t>Recycled Roll C XLarge Green (Kgs)</t>
  </si>
  <si>
    <t>RR003-08</t>
  </si>
  <si>
    <t>Recycled Roll D Mini Orange (Kgs)</t>
  </si>
  <si>
    <t>RR003-24</t>
  </si>
  <si>
    <t>Recycled Roll D Medium Orange (Kgs)</t>
  </si>
  <si>
    <t>RR003-30</t>
  </si>
  <si>
    <t>Recycled Roll D Large Yellow (Kgs)</t>
  </si>
  <si>
    <t>RR003-32</t>
  </si>
  <si>
    <t>Recycled Roll D Large Orange (Kgs)</t>
  </si>
  <si>
    <t>RR004-01</t>
  </si>
  <si>
    <t>Recycled Roll E Mini Black (Kgs)</t>
  </si>
  <si>
    <t>RR004-07</t>
  </si>
  <si>
    <t>Recycled Roll E Tiny Black (Kgs)</t>
  </si>
  <si>
    <t>RR004-13</t>
  </si>
  <si>
    <t>Recycled Roll E Medium Black (Kgs)</t>
  </si>
  <si>
    <t>RR004-19</t>
  </si>
  <si>
    <t>Recycled Roll E Large Black (Kgs)</t>
  </si>
  <si>
    <t>000169</t>
  </si>
  <si>
    <t>PRK Paho Brgy Felisa Bacolod City</t>
  </si>
  <si>
    <t>I N B O U N D   F O R M</t>
  </si>
  <si>
    <t>Supplier:</t>
  </si>
  <si>
    <t>PO Number:</t>
  </si>
  <si>
    <t>Date Rvd: 06/19/2025</t>
  </si>
  <si>
    <t>In QTY</t>
  </si>
  <si>
    <t>Van Num</t>
  </si>
  <si>
    <t>Signature</t>
  </si>
  <si>
    <t>Name</t>
  </si>
  <si>
    <t>Kimberly Pedres</t>
  </si>
  <si>
    <t>Date</t>
  </si>
  <si>
    <t>Receiver:</t>
  </si>
  <si>
    <t>Bookkeeping:</t>
  </si>
  <si>
    <t>Inventory:</t>
  </si>
  <si>
    <t xml:space="preserve">SKU </t>
  </si>
  <si>
    <t xml:space="preserve">Item Description </t>
  </si>
  <si>
    <t xml:space="preserve">Critical </t>
  </si>
  <si>
    <t xml:space="preserve">Low </t>
  </si>
  <si>
    <t xml:space="preserve">Moderate </t>
  </si>
  <si>
    <t>High</t>
  </si>
  <si>
    <t>Ave. Daily Consumption in bags</t>
  </si>
  <si>
    <t>1-7 Days</t>
  </si>
  <si>
    <t>In Bags</t>
  </si>
  <si>
    <t xml:space="preserve">8-15 Days </t>
  </si>
  <si>
    <t>15-25 Days</t>
  </si>
  <si>
    <t xml:space="preserve">25-30 Days </t>
  </si>
  <si>
    <t xml:space="preserve">Convertion </t>
  </si>
  <si>
    <t xml:space="preserve">In KG </t>
  </si>
  <si>
    <t xml:space="preserve">HDPE Blue </t>
  </si>
  <si>
    <t xml:space="preserve">HDPE Red </t>
  </si>
  <si>
    <t xml:space="preserve">HDPE Green </t>
  </si>
  <si>
    <t xml:space="preserve">HDPE Black </t>
  </si>
  <si>
    <t xml:space="preserve">HDPE White </t>
  </si>
  <si>
    <t xml:space="preserve">HDPE Yellow </t>
  </si>
  <si>
    <t xml:space="preserve">HDPE Orange </t>
  </si>
  <si>
    <t>R010</t>
  </si>
  <si>
    <t>HDPE Transparent</t>
  </si>
  <si>
    <t>R014</t>
  </si>
  <si>
    <t xml:space="preserve">MLDPE Virgin </t>
  </si>
  <si>
    <t>R017</t>
  </si>
  <si>
    <t>PP Thermoforming Virgin Evalene PHT0171</t>
  </si>
  <si>
    <t>PP Film Virgin</t>
  </si>
  <si>
    <t>COL010</t>
  </si>
  <si>
    <t xml:space="preserve">Colorant Green 726 </t>
  </si>
  <si>
    <t>COL011</t>
  </si>
  <si>
    <t xml:space="preserve">Colorant Orange 30806 </t>
  </si>
  <si>
    <t>COL013</t>
  </si>
  <si>
    <t xml:space="preserve">Colorant Red M100L </t>
  </si>
  <si>
    <t>COL014</t>
  </si>
  <si>
    <t xml:space="preserve">Colorant Yellow 120 </t>
  </si>
  <si>
    <t xml:space="preserve">PET Bottle Pre-Formed 12g (30mm) </t>
  </si>
  <si>
    <t>PET Bottle Pre-Formed 12g (26mm) (Rgmc)</t>
  </si>
  <si>
    <t>AC001</t>
  </si>
  <si>
    <t xml:space="preserve">Container Outer Cap w/out inner lock (Rgmc) </t>
  </si>
  <si>
    <t>Container Outer Cap w/inner lock</t>
  </si>
  <si>
    <t>Water Container Big Outer Cap w/inner cap</t>
  </si>
  <si>
    <t>Water Container Big Outer Cap w/outinner cap (Rgmc)</t>
  </si>
  <si>
    <t xml:space="preserve">PET Bottle Cap Blue 30mm </t>
  </si>
  <si>
    <t>AC010</t>
  </si>
  <si>
    <t>PET Bottle Cap Blue 25mm (Rgmc)</t>
  </si>
  <si>
    <t>AC012</t>
  </si>
  <si>
    <t>PET Bottle Cap Green 25mm (Rgmc)</t>
  </si>
  <si>
    <t>PET Bottle Cap White 25mm (Rgmc)</t>
  </si>
  <si>
    <t>AC017</t>
  </si>
  <si>
    <t>PET Gallon T-Cap</t>
  </si>
  <si>
    <t>AC019</t>
  </si>
  <si>
    <t>Gallon Plastic Seal</t>
  </si>
  <si>
    <t>Peanut Jar Cap 50mm (small)</t>
  </si>
  <si>
    <t>Peanut Jar Cap 67mm (med/large)</t>
  </si>
  <si>
    <t>AC023</t>
  </si>
  <si>
    <t xml:space="preserve">Sago Straw Paper Wrap </t>
  </si>
  <si>
    <t>AC024</t>
  </si>
  <si>
    <t>AC025</t>
  </si>
  <si>
    <t>AC026</t>
  </si>
  <si>
    <t>AC028</t>
  </si>
  <si>
    <t>AC029</t>
  </si>
  <si>
    <t>AC105</t>
  </si>
  <si>
    <t>SKU</t>
  </si>
  <si>
    <t>Description</t>
  </si>
  <si>
    <t>Qty. Status</t>
  </si>
  <si>
    <t>Inv in Kg &amp; Pcs</t>
  </si>
  <si>
    <t>Ave. Daily Consuption</t>
  </si>
  <si>
    <t>Inv in Kilo</t>
  </si>
  <si>
    <t>Total Cost Inv</t>
  </si>
  <si>
    <t>Conversion to Kg</t>
  </si>
  <si>
    <t>OPEN PO</t>
  </si>
  <si>
    <t>Incoming</t>
  </si>
  <si>
    <t>FOR ORDER</t>
  </si>
  <si>
    <t>Total</t>
  </si>
  <si>
    <t>0-3 Mons.</t>
  </si>
  <si>
    <t>Remaining PO</t>
  </si>
  <si>
    <t>Balance</t>
  </si>
  <si>
    <t>For Order</t>
  </si>
  <si>
    <t>Critical</t>
  </si>
  <si>
    <t>Water Container Faucet</t>
  </si>
  <si>
    <t>Water Container Small Outer Cap</t>
  </si>
  <si>
    <t>Low</t>
  </si>
  <si>
    <t>Plastic Twine</t>
  </si>
  <si>
    <t>Moderate</t>
  </si>
  <si>
    <t>Plastic Strapping</t>
  </si>
  <si>
    <t>Sack 28x50</t>
  </si>
  <si>
    <t>Solvent</t>
  </si>
  <si>
    <t>ROLLS</t>
  </si>
  <si>
    <t>Inventory</t>
  </si>
  <si>
    <t>PPB501</t>
  </si>
  <si>
    <t>PB-A2 Plastic Roll Mini Trans (Kgs)</t>
  </si>
  <si>
    <t>Kls</t>
  </si>
  <si>
    <t>PPB502</t>
  </si>
  <si>
    <t>PB-A2 Plastic Roll Mini White (Kgs)</t>
  </si>
  <si>
    <t>PPB503</t>
  </si>
  <si>
    <t>PB-A2 Plastic Roll Tiny Trans (Kgs)</t>
  </si>
  <si>
    <t>PPB504</t>
  </si>
  <si>
    <t>PB-A2 Plastic Roll Tiny White (Kgs)</t>
  </si>
  <si>
    <t>PPB505</t>
  </si>
  <si>
    <t>PB-A2 Plastic Roll Medium Trans (Kgs)</t>
  </si>
  <si>
    <t>PPB506</t>
  </si>
  <si>
    <t>PB-A2 Plastic Roll Medium White (Kgs)</t>
  </si>
  <si>
    <t>PPB507</t>
  </si>
  <si>
    <t>PB-A2 Plastic Roll Large Trans (Kgs)</t>
  </si>
  <si>
    <t>PPB508</t>
  </si>
  <si>
    <t>PB-A2 Plastic Roll Large White (Kgs)</t>
  </si>
  <si>
    <t>PPB551</t>
  </si>
  <si>
    <t>PB-A Plastic Roll Mini Blue (Kgs)</t>
  </si>
  <si>
    <t>PPB552</t>
  </si>
  <si>
    <t>PB-A Plastic Roll Mini Green (Kgs)</t>
  </si>
  <si>
    <t>PPB553</t>
  </si>
  <si>
    <t>PB-A Plastic Roll Mini Orange (Kgs)</t>
  </si>
  <si>
    <t>PPB554</t>
  </si>
  <si>
    <t>PB-A Plastic Roll Mini Red (Kgs)</t>
  </si>
  <si>
    <t>PPB555</t>
  </si>
  <si>
    <t>PB-A Plastic Roll Mini Trans (Kgs)</t>
  </si>
  <si>
    <t>PPB556</t>
  </si>
  <si>
    <t>PB-A Plastic Roll Mini White (Kgs)</t>
  </si>
  <si>
    <t>PPB557</t>
  </si>
  <si>
    <t>PB-A Plastic Roll Mini Yellow (Kgs)</t>
  </si>
  <si>
    <t>PPB561</t>
  </si>
  <si>
    <t>PB-A Plastic Roll Tiny Blue (Kgs)</t>
  </si>
  <si>
    <t>PPB562</t>
  </si>
  <si>
    <t>PB-A Plastic Roll Tiny Green (Kgs)</t>
  </si>
  <si>
    <t>PPB563</t>
  </si>
  <si>
    <t>PB-A Plastic Roll Tiny Orange (Kgs)</t>
  </si>
  <si>
    <t>PPB564</t>
  </si>
  <si>
    <t>PB-A Plastic Roll Tiny Red (Kgs)</t>
  </si>
  <si>
    <t>PPB565</t>
  </si>
  <si>
    <t>PB-A Plastic Roll Tiny Trans (Kgs)</t>
  </si>
  <si>
    <t>PPB566</t>
  </si>
  <si>
    <t>PB-A Plastic Roll Tiny White (Kgs)</t>
  </si>
  <si>
    <t>PPB567</t>
  </si>
  <si>
    <t>PB-A Plastic Roll Tiny Yellow (Kgs)</t>
  </si>
  <si>
    <t>PPB571</t>
  </si>
  <si>
    <t>PB-A Plastic Roll Medium Blue (Kgs)</t>
  </si>
  <si>
    <t>PPB572</t>
  </si>
  <si>
    <t>PB-A Plastic Roll Medium Green (Kgs)</t>
  </si>
  <si>
    <t>PPB573</t>
  </si>
  <si>
    <t>PB-A Plastic Roll Medium Orange (Kgs)</t>
  </si>
  <si>
    <t>PPB574</t>
  </si>
  <si>
    <t>PB-A Plastic Roll Medium Red (Kgs)</t>
  </si>
  <si>
    <t>PPB575</t>
  </si>
  <si>
    <t>PB-A Plastic Roll Medium Trans (Kgs)</t>
  </si>
  <si>
    <t>PPB576</t>
  </si>
  <si>
    <t>PB-A Plastic Roll Medium White (Kgs)</t>
  </si>
  <si>
    <t>PPB577</t>
  </si>
  <si>
    <t>PB-A Plastic Roll Medium Yellow (Kgs)</t>
  </si>
  <si>
    <t>PPB581</t>
  </si>
  <si>
    <t>PB-A Plastic Roll Large Blue (Kgs)</t>
  </si>
  <si>
    <t>PPB582</t>
  </si>
  <si>
    <t>PB-A Plastic Roll Large Green (Kgs)</t>
  </si>
  <si>
    <t>PPB583</t>
  </si>
  <si>
    <t>PB-A Plastic Roll Large Orange (Kgs)</t>
  </si>
  <si>
    <t>PPB584</t>
  </si>
  <si>
    <t>PB-A Plastic Roll Large Red (Kgs)</t>
  </si>
  <si>
    <t>PPB585</t>
  </si>
  <si>
    <t>PB-A Plastic Roll Large Trans (Kgs)</t>
  </si>
  <si>
    <t>PPB586</t>
  </si>
  <si>
    <t>PB-A Plastic Roll Large White (Kgs)</t>
  </si>
  <si>
    <t>PPB587</t>
  </si>
  <si>
    <t>PB-A Plastic Roll Large Yellow (Kgs)</t>
  </si>
  <si>
    <t>PPB591</t>
  </si>
  <si>
    <t>PB-A Plastic Roll XLarge Blue (Kgs)</t>
  </si>
  <si>
    <t>PPB592</t>
  </si>
  <si>
    <t>PB-A Plastic Roll XLarge Green (Kgs)</t>
  </si>
  <si>
    <t>PPB593</t>
  </si>
  <si>
    <t>PB-A Plastic Roll XLarge Orange (Kgs)</t>
  </si>
  <si>
    <t>PPB594</t>
  </si>
  <si>
    <t>PB-A Plastic Roll XLarge Red (Kgs)</t>
  </si>
  <si>
    <t>PPB595</t>
  </si>
  <si>
    <t>PB-A Plastic Roll XLarge Trans (Kgs)</t>
  </si>
  <si>
    <t>PPB596</t>
  </si>
  <si>
    <t>PB-A Plastic Roll XLarge White (Kgs)</t>
  </si>
  <si>
    <t>PPB597</t>
  </si>
  <si>
    <t>PB-A Plastic Roll XLarge Yellow (Kgs)</t>
  </si>
  <si>
    <t>PPB351</t>
  </si>
  <si>
    <t>PB-Roll Bag 100 5" (Kgs)</t>
  </si>
  <si>
    <t>PPB352</t>
  </si>
  <si>
    <t>PB-Roll Bag 100 8" (Kgs)</t>
  </si>
  <si>
    <t>PPB353</t>
  </si>
  <si>
    <t>PB-Roll Bag 100 10" (Kgs)</t>
  </si>
  <si>
    <t>PPB354</t>
  </si>
  <si>
    <t>PB-Roll Bag 100 16" (Kgs)</t>
  </si>
  <si>
    <t>PPB355</t>
  </si>
  <si>
    <t>PB-Roll Bag 100 20" (Kgs)</t>
  </si>
  <si>
    <t>PPB361</t>
  </si>
  <si>
    <t>PB-Roll Bag 200 8" (Kgs)</t>
  </si>
  <si>
    <t>PPB362</t>
  </si>
  <si>
    <t>PB-Roll Bag 200 10" (Kgs)</t>
  </si>
  <si>
    <t>PPB363</t>
  </si>
  <si>
    <t>PB-Roll Bag 200 12" (Kgs)</t>
  </si>
  <si>
    <t>PPB364</t>
  </si>
  <si>
    <t>PB-Roll Bag 200 16" (Kgs)</t>
  </si>
  <si>
    <t>PPB365</t>
  </si>
  <si>
    <t>PB-Roll Bag 200 20" (Kgs)</t>
  </si>
  <si>
    <t>PPB601</t>
  </si>
  <si>
    <t>PB-B Plastic Roll Mini Black (Kgs)</t>
  </si>
  <si>
    <t>PPB602</t>
  </si>
  <si>
    <t>PB-B Plastic Roll Mini Blue (Kgs)</t>
  </si>
  <si>
    <t>PPB603</t>
  </si>
  <si>
    <t>PB-B Plastic Roll Mini Green (Kgs)</t>
  </si>
  <si>
    <t>PPB604</t>
  </si>
  <si>
    <t>PB-B Plastic Roll Mini Red (Kgs)</t>
  </si>
  <si>
    <t>PPB605</t>
  </si>
  <si>
    <t>PB-B Plastic Roll Mini White (Kgs)</t>
  </si>
  <si>
    <t>PPB606</t>
  </si>
  <si>
    <t>PB-B Plastic Roll Tiny Black (Kgs)</t>
  </si>
  <si>
    <t>PPB607</t>
  </si>
  <si>
    <t>PB-B Plastic Roll Tiny Blue (Kgs)</t>
  </si>
  <si>
    <t>PPB608</t>
  </si>
  <si>
    <t>PB-B Plastic Roll Tiny Green (Kgs)</t>
  </si>
  <si>
    <t>PPB609</t>
  </si>
  <si>
    <t>PB-B Plastic Roll Tiny Red (Kgs)</t>
  </si>
  <si>
    <t>PPB610</t>
  </si>
  <si>
    <t>PB-B Plastic Roll Tiny White (Kgs)</t>
  </si>
  <si>
    <t>PPB611</t>
  </si>
  <si>
    <t>PB-B Plastic Roll Medium Black (Kgs)</t>
  </si>
  <si>
    <t>PPB612</t>
  </si>
  <si>
    <t>PB-B Plastic Roll Medium Blue (Kgs)</t>
  </si>
  <si>
    <t>PPB613</t>
  </si>
  <si>
    <t>PB-B Plastic Roll Medium Green (Kgs)</t>
  </si>
  <si>
    <t>PPB614</t>
  </si>
  <si>
    <t>PB-B Plastic Roll Medium Red (Kgs)</t>
  </si>
  <si>
    <t>PPB615</t>
  </si>
  <si>
    <t>PB-B Plastic Roll Medium White (Kgs)</t>
  </si>
  <si>
    <t>PPB616</t>
  </si>
  <si>
    <t>PB-B Plastic Roll Large Black (Kgs)</t>
  </si>
  <si>
    <t>PPB617</t>
  </si>
  <si>
    <t>PB-B Plastic Roll Large Blue (Kgs)</t>
  </si>
  <si>
    <t>PPB618</t>
  </si>
  <si>
    <t>PB-B Plastic Roll Large Green (Kgs)</t>
  </si>
  <si>
    <t>PPB619</t>
  </si>
  <si>
    <t>PB-B Plastic Roll Large Red (Kgs)</t>
  </si>
  <si>
    <t>PPB620</t>
  </si>
  <si>
    <t>PB-B Plastic Roll Large White (Kgs)</t>
  </si>
  <si>
    <t>PPB621</t>
  </si>
  <si>
    <t>PB-B Plastic Roll XLarge Black (Kgs)</t>
  </si>
  <si>
    <t>PPB622</t>
  </si>
  <si>
    <t>PB-B Plastic Roll XLarge Blue (Kgs)</t>
  </si>
  <si>
    <t>PPB623</t>
  </si>
  <si>
    <t>PB-B Plastic Roll XLarge Green (Kgs)</t>
  </si>
  <si>
    <t>PPB624</t>
  </si>
  <si>
    <t>PB-B Plastic Roll XLarge Red (Kgs)</t>
  </si>
  <si>
    <t>PPB625</t>
  </si>
  <si>
    <t>PB-B Plastic Roll XLarge White (Kgs)</t>
  </si>
  <si>
    <t>PPB651</t>
  </si>
  <si>
    <t>PB-C Plastic Roll Mini Black (Kgs)</t>
  </si>
  <si>
    <t>PPB652</t>
  </si>
  <si>
    <t>PB-C Plastic Roll Mini Blue (Kgs)</t>
  </si>
  <si>
    <t>PPB653</t>
  </si>
  <si>
    <t>PB-C Plastic Roll Mini Green (Kgs)</t>
  </si>
  <si>
    <t>PPB654</t>
  </si>
  <si>
    <t>PB-C Plastic Roll Mini Red (Kgs)</t>
  </si>
  <si>
    <t>PPB655</t>
  </si>
  <si>
    <t>PB-C Plastic Roll Mini White (Kgs)</t>
  </si>
  <si>
    <t>PPB656</t>
  </si>
  <si>
    <t>PB-C Plastic Roll Tiny Black (Kgs)</t>
  </si>
  <si>
    <t>PPB657</t>
  </si>
  <si>
    <t>PB-C Plastic Roll Tiny Blue (Kgs)</t>
  </si>
  <si>
    <t>PPB658</t>
  </si>
  <si>
    <t>PB-C Plastic Roll Tiny Green (Kgs)</t>
  </si>
  <si>
    <t>PPB659</t>
  </si>
  <si>
    <t>PB-C Plastic Roll Tiny Red (Kgs)</t>
  </si>
  <si>
    <t>PPB660</t>
  </si>
  <si>
    <t>PB-C Plastic Roll Tiny White (Kgs)</t>
  </si>
  <si>
    <t>PPB661</t>
  </si>
  <si>
    <t>PB-C Plastic Roll Medium Black (Kgs)</t>
  </si>
  <si>
    <t>PPB662</t>
  </si>
  <si>
    <t>PB-C Plastic Roll Medium Blue (Kgs)</t>
  </si>
  <si>
    <t>PPB663</t>
  </si>
  <si>
    <t>PB-C Plastic Roll Medium Green (Kgs)</t>
  </si>
  <si>
    <t>PPB664</t>
  </si>
  <si>
    <t>PB-C Plastic Roll Medium Red (Kgs)</t>
  </si>
  <si>
    <t>PPB665</t>
  </si>
  <si>
    <t>PB-C Plastic Roll Medium White (Kgs)</t>
  </si>
  <si>
    <t>PPB666</t>
  </si>
  <si>
    <t>PB-C Plastic Roll Large Black (Kgs)</t>
  </si>
  <si>
    <t>PPB667</t>
  </si>
  <si>
    <t>PB-C Plastic Roll Large Blue (Kgs)</t>
  </si>
  <si>
    <t>PPB668</t>
  </si>
  <si>
    <t>PB-C Plastic Roll Large Green (Kgs)</t>
  </si>
  <si>
    <t>PPB669</t>
  </si>
  <si>
    <t>PB-C Plastic Roll Large Red (Kgs)</t>
  </si>
  <si>
    <t>PPB670</t>
  </si>
  <si>
    <t>PB-C Plastic Roll Large White (Kgs)</t>
  </si>
  <si>
    <t>PPB671</t>
  </si>
  <si>
    <t>PB-C Plastic Roll XLarge Black (Kgs)</t>
  </si>
  <si>
    <t>PPB672</t>
  </si>
  <si>
    <t>PB-C Plastic Roll XLarge Blue (Kgs)</t>
  </si>
  <si>
    <t>PPB673</t>
  </si>
  <si>
    <t>PB-C Plastic Roll XLarge Green (Kgs)</t>
  </si>
  <si>
    <t>PPB674</t>
  </si>
  <si>
    <t>PB-C Plastic Roll XLarge Red (Kgs)</t>
  </si>
  <si>
    <t>PPB675</t>
  </si>
  <si>
    <t>PB-C Plastic Roll XLarge White (Kgs)</t>
  </si>
  <si>
    <t>PPB701</t>
  </si>
  <si>
    <t>PB-D Plastic Roll Mini Black (Kgs)</t>
  </si>
  <si>
    <t>PPB702</t>
  </si>
  <si>
    <t>PB-D Plastic Roll Mini Blue (Kgs)</t>
  </si>
  <si>
    <t>PPB703</t>
  </si>
  <si>
    <t>PB-D Plastic Roll Mini Green (Kgs)</t>
  </si>
  <si>
    <t>PPB704</t>
  </si>
  <si>
    <t>PB-D Plastic Roll Mini Red (Kgs)</t>
  </si>
  <si>
    <t>PPB705</t>
  </si>
  <si>
    <t>PB-D Plastic Roll Mini White (Kgs)</t>
  </si>
  <si>
    <t>PPB706</t>
  </si>
  <si>
    <t>PB-D Plastic Roll Tiny Black (Kgs)</t>
  </si>
  <si>
    <t>PPB707</t>
  </si>
  <si>
    <t>PB-D Plastic Roll Tiny Blue (Kgs)</t>
  </si>
  <si>
    <t>PPB708</t>
  </si>
  <si>
    <t>PB-D Plastic Roll Tiny Green (Kgs)</t>
  </si>
  <si>
    <t>PPB709</t>
  </si>
  <si>
    <t>PB-D Plastic Roll Tiny Red (Kgs)</t>
  </si>
  <si>
    <t>PPB710</t>
  </si>
  <si>
    <t>PB-D Plastic Roll Tiny White (Kgs)</t>
  </si>
  <si>
    <t>PPB711</t>
  </si>
  <si>
    <t>PB-D Plastic Roll Medium Black (Kgs)</t>
  </si>
  <si>
    <t>PPB712</t>
  </si>
  <si>
    <t>PB-D Plastic Roll Medium Blue (Kgs)</t>
  </si>
  <si>
    <t>PPB713</t>
  </si>
  <si>
    <t>PB-D Plastic Roll Medium Green (Kgs)</t>
  </si>
  <si>
    <t>PPB714</t>
  </si>
  <si>
    <t>PB-D Plastic Roll Medium Red (Kgs)</t>
  </si>
  <si>
    <t>PPB715</t>
  </si>
  <si>
    <t>PB-D Plastic Roll Medium White (Kgs)</t>
  </si>
  <si>
    <t>PPB716</t>
  </si>
  <si>
    <t>PB-D Plastic Roll Large Black (Kgs)</t>
  </si>
  <si>
    <t>PPB717</t>
  </si>
  <si>
    <t>PB-D Plastic Roll Large Blue (Kgs)</t>
  </si>
  <si>
    <t>PPB718</t>
  </si>
  <si>
    <t>PB-D Plastic Roll Large Green (Kgs)</t>
  </si>
  <si>
    <t>PPB719</t>
  </si>
  <si>
    <t>PB-D Plastic Roll Large Red (Kgs)</t>
  </si>
  <si>
    <t>PPB720</t>
  </si>
  <si>
    <t>PB-D Plastic Roll Large White (Kgs)</t>
  </si>
  <si>
    <t>PPB721</t>
  </si>
  <si>
    <t>PB-D Plastic Roll XLarge Black (Kgs)</t>
  </si>
  <si>
    <t>PPB722</t>
  </si>
  <si>
    <t>PB-D Plastic Roll XLarge Blue (Kgs)</t>
  </si>
  <si>
    <t>PPB723</t>
  </si>
  <si>
    <t>PB-D Plastic Roll XLarge Green (Kgs)</t>
  </si>
  <si>
    <t>PPB724</t>
  </si>
  <si>
    <t>PB-D Plastic Roll XLarge Red (Kgs)</t>
  </si>
  <si>
    <t>PPB725</t>
  </si>
  <si>
    <t>PB-D Plastic Roll XLarge White (Kgs)</t>
  </si>
  <si>
    <t>PPB751</t>
  </si>
  <si>
    <t>PB-E Plastic Roll Mini Black (Kgs)</t>
  </si>
  <si>
    <t>PPB752</t>
  </si>
  <si>
    <t>PB-E Plastic Roll Mini Blue (Kgs)</t>
  </si>
  <si>
    <t>PPB753</t>
  </si>
  <si>
    <t>PB-E Plastic Roll Mini Green (Kgs)</t>
  </si>
  <si>
    <t>PPB754</t>
  </si>
  <si>
    <t>PB-E Plastic Roll Mini Red (Kgs)</t>
  </si>
  <si>
    <t>PPB755</t>
  </si>
  <si>
    <t>PB-E Plastic Roll Mini White (Kgs)</t>
  </si>
  <si>
    <t>PPB756</t>
  </si>
  <si>
    <t>PB-E Plastic Roll Tiny Black (Kgs)</t>
  </si>
  <si>
    <t>PPB757</t>
  </si>
  <si>
    <t>PB-E Plastic Roll Tiny Blue (Kgs)</t>
  </si>
  <si>
    <t>PPB758</t>
  </si>
  <si>
    <t>PB-E Plastic Roll Tiny Green (Kgs)</t>
  </si>
  <si>
    <t>PPB759</t>
  </si>
  <si>
    <t>PB-E Plastic Roll Tiny Red (Kgs)</t>
  </si>
  <si>
    <t>PPB760</t>
  </si>
  <si>
    <t>PB-E Plastic Roll Tiny White (Kgs)</t>
  </si>
  <si>
    <t>PPB761</t>
  </si>
  <si>
    <t>PB-E Plastic Roll Medium Black (Kgs)</t>
  </si>
  <si>
    <t>PPB762</t>
  </si>
  <si>
    <t>PB-E Plastic Roll Medium Blue (Kgs)</t>
  </si>
  <si>
    <t>PPB763</t>
  </si>
  <si>
    <t>PB-E Plastic Roll Medium Green (Kgs)</t>
  </si>
  <si>
    <t>PPB764</t>
  </si>
  <si>
    <t>PB-E Plastic Roll Medium Red (Kgs)</t>
  </si>
  <si>
    <t>PPB765</t>
  </si>
  <si>
    <t>PB-E Plastic Roll Medium White (Kgs)</t>
  </si>
  <si>
    <t>PPB766</t>
  </si>
  <si>
    <t>PB-E Plastic Roll Large Black (Kgs)</t>
  </si>
  <si>
    <t>PPB767</t>
  </si>
  <si>
    <t>PB-E Plastic Roll Large Blue (Kgs)</t>
  </si>
  <si>
    <t>PPB768</t>
  </si>
  <si>
    <t>PB-E Plastic Roll Large Green (Kgs)</t>
  </si>
  <si>
    <t>PPB769</t>
  </si>
  <si>
    <t>PB-E Plastic Roll Large Red (Kgs)</t>
  </si>
  <si>
    <t>PPB770</t>
  </si>
  <si>
    <t>PB-E Plastic Roll Large White (Kgs)</t>
  </si>
  <si>
    <t>PPB771</t>
  </si>
  <si>
    <t>PB-E Plastic Roll XLarge Black (Kgs)</t>
  </si>
  <si>
    <t>PPB772</t>
  </si>
  <si>
    <t>PB-E Plastic Roll XLarge Blue (Kgs)</t>
  </si>
  <si>
    <t>PPB773</t>
  </si>
  <si>
    <t>PB-E Plastic Roll XLarge Green (Kgs)</t>
  </si>
  <si>
    <t>PPB774</t>
  </si>
  <si>
    <t>PB-E Plastic Roll XLarge Red (Kgs)</t>
  </si>
  <si>
    <t>PPB775</t>
  </si>
  <si>
    <t>PB-E Plastic Roll XLarge White (Kgs)</t>
  </si>
  <si>
    <t>PPB776</t>
  </si>
  <si>
    <t>PB-B Plastic Roll Tiny Yellow (Kgs)</t>
  </si>
  <si>
    <t>PPB777</t>
  </si>
  <si>
    <t>PB-D Plastic Roll Mini Trans (Kgs)</t>
  </si>
  <si>
    <t>PPB778</t>
  </si>
  <si>
    <t>PB-D Plastic Roll Tiny Trans (Kgs)</t>
  </si>
  <si>
    <t>PPB779</t>
  </si>
  <si>
    <t>PB-D Plastic Roll Medium Trans (Kgs)</t>
  </si>
  <si>
    <t>PPB780</t>
  </si>
  <si>
    <t>PB-D Plastic Roll Large Trans (Kgs)</t>
  </si>
  <si>
    <t>PPB781</t>
  </si>
  <si>
    <t>PB-B Plastic Roll Medium Yellow (Kgs)</t>
  </si>
  <si>
    <t>PPB782</t>
  </si>
  <si>
    <t>PB-A2 Plastic Roll Mini Blue (Kgs)</t>
  </si>
  <si>
    <t>PPB783</t>
  </si>
  <si>
    <t>PB-A2 Plastic Roll Mini Orange (Kgs)</t>
  </si>
  <si>
    <t>PPB784</t>
  </si>
  <si>
    <t>PB-A2 Plastic Roll Mini Red (Kgs)</t>
  </si>
  <si>
    <t>PPB785</t>
  </si>
  <si>
    <t>PB-A2 Plastic Roll Tiny Blue (Kgs)</t>
  </si>
  <si>
    <t>PPB786</t>
  </si>
  <si>
    <t>PB-A2 Plastic Roll Tiny Orange (Kgs)</t>
  </si>
  <si>
    <t>PPB787</t>
  </si>
  <si>
    <t>PB-A2 Plastic Roll Tiny Red (Kgs)</t>
  </si>
  <si>
    <t>PPB788</t>
  </si>
  <si>
    <t>PB-A2 Plastic Roll Medium Blue (Kgs)</t>
  </si>
  <si>
    <t>PPB789</t>
  </si>
  <si>
    <t>PB-A2 Plastic Roll Medium Orange (Kgs)</t>
  </si>
  <si>
    <t>PPB790</t>
  </si>
  <si>
    <t>PB-A2 Plastic Roll Medium Red (Kgs)</t>
  </si>
  <si>
    <t>PPB791</t>
  </si>
  <si>
    <t>PB-A2 Plastic Roll Large Blue (Kgs)</t>
  </si>
  <si>
    <t>PPB792</t>
  </si>
  <si>
    <t>PB-A2 Plastic Roll Large Orange (Kgs)</t>
  </si>
  <si>
    <t>PPB793</t>
  </si>
  <si>
    <t>PB-A2 Plastic Roll Large Red (Kgs)</t>
  </si>
  <si>
    <t>PPB794</t>
  </si>
  <si>
    <t>PB-D Plastic Roll Mini Yellow (Kgs)</t>
  </si>
  <si>
    <t>PPB795</t>
  </si>
  <si>
    <t>PB-D Plastic Roll Tiny Yellow (Kgs)</t>
  </si>
  <si>
    <t>PPB796</t>
  </si>
  <si>
    <t>PB-D Plastic Roll Medium Yellow (Kgs)</t>
  </si>
  <si>
    <t>PPB797</t>
  </si>
  <si>
    <t>PB-D Plastic Roll Large Yellow (Kgs)</t>
  </si>
  <si>
    <t>PPB798</t>
  </si>
  <si>
    <t>PB-F Plastic Roll Mini White (Kgs)</t>
  </si>
  <si>
    <t>PPB799</t>
  </si>
  <si>
    <t>PB-F Plastic Roll Tiny White (Kgs)</t>
  </si>
  <si>
    <t>PPB800</t>
  </si>
  <si>
    <t>PB-F Plastic Roll Medium White (Kgs)</t>
  </si>
  <si>
    <t>PPB801</t>
  </si>
  <si>
    <t>PB-F Plastic Roll Large White (Kgs)</t>
  </si>
  <si>
    <t>PPB802</t>
  </si>
  <si>
    <t>PB-A2 Plastic Roll Mini Green (Kgs)</t>
  </si>
  <si>
    <t>PPB803</t>
  </si>
  <si>
    <t>PB-A2 Plastic Roll Tiny Green (Kgs)</t>
  </si>
  <si>
    <t>PPB804</t>
  </si>
  <si>
    <t>PB-A2 Plastic Roll Medium Green (Kgs)</t>
  </si>
  <si>
    <t>PPB805</t>
  </si>
  <si>
    <t>PB-A2 Plastic Roll Large Green (Kgs)</t>
  </si>
  <si>
    <t>PPB806</t>
  </si>
  <si>
    <t>PB-B Plastic Roll Large Yellow (Kgs)</t>
  </si>
  <si>
    <t>PPB807</t>
  </si>
  <si>
    <t>PB-B Plastic Roll MIni Yellow (Kgs)</t>
  </si>
  <si>
    <t>PPR201</t>
  </si>
  <si>
    <t>PPR202</t>
  </si>
  <si>
    <t>PPR203</t>
  </si>
  <si>
    <t>PPR204</t>
  </si>
  <si>
    <t>PPR205</t>
  </si>
  <si>
    <t>PPR206</t>
  </si>
  <si>
    <t>PPR207</t>
  </si>
  <si>
    <t>PPR208</t>
  </si>
  <si>
    <t>PPR209</t>
  </si>
  <si>
    <t>PPR210</t>
  </si>
  <si>
    <t>PPR211</t>
  </si>
  <si>
    <t>PPR212</t>
  </si>
  <si>
    <t>PPR213</t>
  </si>
  <si>
    <t>PPR214</t>
  </si>
  <si>
    <t>PPR215</t>
  </si>
  <si>
    <t>PPR216</t>
  </si>
  <si>
    <t>PPR217</t>
  </si>
  <si>
    <t>PPR218</t>
  </si>
  <si>
    <t>PPR219</t>
  </si>
  <si>
    <t>PPR220</t>
  </si>
  <si>
    <t>PPR221</t>
  </si>
  <si>
    <t>PPR222</t>
  </si>
  <si>
    <t>PPR223</t>
  </si>
  <si>
    <t>PPR224</t>
  </si>
  <si>
    <t>PPR225</t>
  </si>
  <si>
    <t>PP-Roll PB Bumbee Mini (Kgs)</t>
  </si>
  <si>
    <t>PPR226</t>
  </si>
  <si>
    <t>PP-Roll PB Bumbee Tiny (Kgs)</t>
  </si>
  <si>
    <t>PPR227</t>
  </si>
  <si>
    <t>PP-Roll PB Bumbee Medium (Kgs)</t>
  </si>
  <si>
    <t>PPR228</t>
  </si>
  <si>
    <t>PP-Roll PB Bumbee Large (Kgs)</t>
  </si>
  <si>
    <t>PPR229</t>
  </si>
  <si>
    <t>PPR230</t>
  </si>
  <si>
    <t>PPR231</t>
  </si>
  <si>
    <t>PPR232</t>
  </si>
  <si>
    <t>PPR233</t>
  </si>
  <si>
    <t>PP-Roll PB Gilas Mini (Kgs)</t>
  </si>
  <si>
    <t>PPR234</t>
  </si>
  <si>
    <t>PP-Roll PB Gilas Tiny (Kgs)</t>
  </si>
  <si>
    <t>PPR235</t>
  </si>
  <si>
    <t>PP-Roll PB Gilas Medium (Kgs)</t>
  </si>
  <si>
    <t>PPR236</t>
  </si>
  <si>
    <t>PP-Roll PB Gilas Large (Kgs)</t>
  </si>
  <si>
    <t>PPR237</t>
  </si>
  <si>
    <t>PPR238</t>
  </si>
  <si>
    <t>PPR239</t>
  </si>
  <si>
    <t>PPR240</t>
  </si>
  <si>
    <t>PPR241</t>
  </si>
  <si>
    <t>PP-Roll PB Lakers Mini (Kgs)</t>
  </si>
  <si>
    <t>PPR242</t>
  </si>
  <si>
    <t>PP-Roll PB Lakers Tiny (Kgs)</t>
  </si>
  <si>
    <t>PPR243</t>
  </si>
  <si>
    <t>PP-Roll PB Lakers Medium (Kgs)</t>
  </si>
  <si>
    <t>PPR244</t>
  </si>
  <si>
    <t>PP-Roll PB Lakers Large (Kgs)</t>
  </si>
  <si>
    <t>PPR245</t>
  </si>
  <si>
    <t>PPR246</t>
  </si>
  <si>
    <t>PPR247</t>
  </si>
  <si>
    <t>PPR248</t>
  </si>
  <si>
    <t>PPR249</t>
  </si>
  <si>
    <t>PPR250</t>
  </si>
  <si>
    <t>PPR251</t>
  </si>
  <si>
    <t>PPR252</t>
  </si>
  <si>
    <t>PPR253</t>
  </si>
  <si>
    <t>PPR254</t>
  </si>
  <si>
    <t>PPR255</t>
  </si>
  <si>
    <t>PPR256</t>
  </si>
  <si>
    <t>PPR257</t>
  </si>
  <si>
    <t>PPR258</t>
  </si>
  <si>
    <t>PPR259</t>
  </si>
  <si>
    <t>PPR260</t>
  </si>
  <si>
    <t>PPR261</t>
  </si>
  <si>
    <t>PP-Roll PB Rapper Mini (Kgs)</t>
  </si>
  <si>
    <t>PPR262</t>
  </si>
  <si>
    <t>PP-Roll PB Rapper Tiny (Kgs)</t>
  </si>
  <si>
    <t>PPR263</t>
  </si>
  <si>
    <t>PP-Roll PB Rapper Medium (Kgs)</t>
  </si>
  <si>
    <t>PPR264</t>
  </si>
  <si>
    <t>PP-Roll PB Rapper Large (Kgs)</t>
  </si>
  <si>
    <t>PPR265</t>
  </si>
  <si>
    <t>PP-Roll PB Sharkie Mini (Kgs)</t>
  </si>
  <si>
    <t>PPR266</t>
  </si>
  <si>
    <t>PP-Roll PB Sharkie Tiny (Kgs)</t>
  </si>
  <si>
    <t>PPR267</t>
  </si>
  <si>
    <t>PP-Roll PB Sharkie Medium (Kgs)</t>
  </si>
  <si>
    <t>PPR268</t>
  </si>
  <si>
    <t>PP-Roll PB Sharkie Large (Kgs)</t>
  </si>
  <si>
    <t>PPR269</t>
  </si>
  <si>
    <t>PPR270</t>
  </si>
  <si>
    <t>PPR271</t>
  </si>
  <si>
    <t>PPR272</t>
  </si>
  <si>
    <t>PPR273</t>
  </si>
  <si>
    <t>PP-Roll PB Superman Mini (Kgs)</t>
  </si>
  <si>
    <t>PPR274</t>
  </si>
  <si>
    <t>PP-Roll PB Superman Tiny (Kgs)</t>
  </si>
  <si>
    <t>PPR275</t>
  </si>
  <si>
    <t>PP-Roll PB Superman Medium (Kgs)</t>
  </si>
  <si>
    <t>PPR276</t>
  </si>
  <si>
    <t>PP-Roll PB Superman Large (Kgs)</t>
  </si>
  <si>
    <t>PPR277</t>
  </si>
  <si>
    <t>PP-Roll PB Vulcan Mini (Kgs)</t>
  </si>
  <si>
    <t>PPR278</t>
  </si>
  <si>
    <t>PP-Roll PB Vulcan Tiny (Kgs)</t>
  </si>
  <si>
    <t>PPR279</t>
  </si>
  <si>
    <t>PP-Roll PB Vulcan Medium (Kgs)</t>
  </si>
  <si>
    <t>PPR280</t>
  </si>
  <si>
    <t>PP-Roll PB Vulcan Large (Kgs)</t>
  </si>
  <si>
    <t>PPR281</t>
  </si>
  <si>
    <t>PP-Roll PB Warrior Mini (Kgs)</t>
  </si>
  <si>
    <t>PPR282</t>
  </si>
  <si>
    <t>PP-Roll PB Warrior Tiny (Kgs)</t>
  </si>
  <si>
    <t>PPR283</t>
  </si>
  <si>
    <t>PP-Roll PB Warrior Medium (Kgs)</t>
  </si>
  <si>
    <t>PPR284</t>
  </si>
  <si>
    <t>PP-Roll PB Warrior Large (Kgs)</t>
  </si>
  <si>
    <t>PPR285</t>
  </si>
  <si>
    <t>PP-Roll PB Merkado XL (Kgs)</t>
  </si>
  <si>
    <t>PPR286</t>
  </si>
  <si>
    <t>PPR287</t>
  </si>
  <si>
    <t>PPR288</t>
  </si>
  <si>
    <t>PPR289</t>
  </si>
  <si>
    <t>PPR290</t>
  </si>
  <si>
    <t>PP-Roll PB Diamond Mini (Kgs)</t>
  </si>
  <si>
    <t>PPR291</t>
  </si>
  <si>
    <t>PP-Roll PB Diamond Tiny (Kgs)</t>
  </si>
  <si>
    <t>PPR292</t>
  </si>
  <si>
    <t>PP-Roll PB Diamond Medium (Kgs)</t>
  </si>
  <si>
    <t>PPR293</t>
  </si>
  <si>
    <t>PP-Roll PB Diamond Large (Kgs)</t>
  </si>
  <si>
    <t>PPR294</t>
  </si>
  <si>
    <t>PPR295</t>
  </si>
  <si>
    <t>PPR296</t>
  </si>
  <si>
    <t>PPR297</t>
  </si>
  <si>
    <t>PPR299</t>
  </si>
  <si>
    <t>PP-Roll PB Chocolates Mini (Kgs)</t>
  </si>
  <si>
    <t>PPR300</t>
  </si>
  <si>
    <t>PP-Roll PB Chocolates Tiny (Kgs)</t>
  </si>
  <si>
    <t>PPR301</t>
  </si>
  <si>
    <t>PP-Roll PB Chocolates Medium (Kgs)</t>
  </si>
  <si>
    <t>PPR302</t>
  </si>
  <si>
    <t>PP-Roll PB Chocolates Large (Kgs)</t>
  </si>
  <si>
    <t>PPR303</t>
  </si>
  <si>
    <t>PP-Roll PB Chocolates XLarge (Kgs)</t>
  </si>
  <si>
    <t>PPR304</t>
  </si>
  <si>
    <t>PPR305</t>
  </si>
  <si>
    <t>PPR306</t>
  </si>
  <si>
    <t>PPR307</t>
  </si>
  <si>
    <t>PPR308</t>
  </si>
  <si>
    <t>PP-Roll PB Swerte Mini (Kgs)</t>
  </si>
  <si>
    <t>PPR309</t>
  </si>
  <si>
    <t>PP-Roll PB Swerte Tiny (Kgs)</t>
  </si>
  <si>
    <t>PPR310</t>
  </si>
  <si>
    <t>PP-Roll PB Swerte Medium (Kgs)</t>
  </si>
  <si>
    <t>PPR311</t>
  </si>
  <si>
    <t>PP-Roll PB Swerte Large (Kgs)</t>
  </si>
  <si>
    <t>PPR312</t>
  </si>
  <si>
    <t>PP-Roll PB Buenas Mini (Kgs)</t>
  </si>
  <si>
    <t>PPR313</t>
  </si>
  <si>
    <t>PP-Roll PB Buenas Tiny (Kgs)</t>
  </si>
  <si>
    <t>PPR314</t>
  </si>
  <si>
    <t>PP-Roll PB Buenas Medium (Kgs)</t>
  </si>
  <si>
    <t>PPR315</t>
  </si>
  <si>
    <t>PP-Roll PB Buenas Large (Kgs)</t>
  </si>
  <si>
    <t>PPR316</t>
  </si>
  <si>
    <t>PP-Roll PB Bucks Mini Blue (Kgs)</t>
  </si>
  <si>
    <t>PPR317</t>
  </si>
  <si>
    <t>PP-Roll PB Bucks Tiny Blue (Kgs)</t>
  </si>
  <si>
    <t>PPR318</t>
  </si>
  <si>
    <t>PP-Roll PB Bucks Medium Blue (Kgs)</t>
  </si>
  <si>
    <t>PPR319</t>
  </si>
  <si>
    <t>PP-Roll PB Bucks Large Blue (Kgs)</t>
  </si>
  <si>
    <t>PPR320</t>
  </si>
  <si>
    <t>PPR321</t>
  </si>
  <si>
    <t>PPR322</t>
  </si>
  <si>
    <t>PPR323</t>
  </si>
  <si>
    <t>PPB459</t>
  </si>
  <si>
    <t>PP-Roll Spring 6X10 (Kgs)</t>
  </si>
  <si>
    <t>PPB460</t>
  </si>
  <si>
    <t>PP-Roll Spring 7X10 (Kgs)</t>
  </si>
  <si>
    <t>PPB461</t>
  </si>
  <si>
    <t>PP-Roll Spring 5X10 (Kgs)</t>
  </si>
  <si>
    <t>PPB462</t>
  </si>
  <si>
    <t>PP-Roll Spring 6 1/2 X10 (Kgs)</t>
  </si>
  <si>
    <t>PPB465</t>
  </si>
  <si>
    <t>PP-Roll Swerte 10x13 (Kgs)</t>
  </si>
  <si>
    <t>PPB466</t>
  </si>
  <si>
    <t>PP-Roll Swerte 5x5 (Kgs)</t>
  </si>
  <si>
    <t>PPB467</t>
  </si>
  <si>
    <t>PP-Roll Swerte 9x9 (Kgs)</t>
  </si>
  <si>
    <t>PPR551</t>
  </si>
  <si>
    <t>PPR552</t>
  </si>
  <si>
    <t>PR-Roll ST Aloha Jumbo (Kgs)</t>
  </si>
  <si>
    <t>PPR553</t>
  </si>
  <si>
    <t>PPR554</t>
  </si>
  <si>
    <t>PPR555</t>
  </si>
  <si>
    <t>PPR556</t>
  </si>
  <si>
    <t>PPR651</t>
  </si>
  <si>
    <t>PR-Roll Disposable Cups 3oz</t>
  </si>
  <si>
    <t>PPR652</t>
  </si>
  <si>
    <t>PR-Roll Disposable Cups 5oz</t>
  </si>
  <si>
    <t>PPR653</t>
  </si>
  <si>
    <t>PR-Roll Disposable Cups 6oz</t>
  </si>
  <si>
    <t>PPR654</t>
  </si>
  <si>
    <t>PR-Roll Disposable Cups 7oz</t>
  </si>
  <si>
    <t>PPR655</t>
  </si>
  <si>
    <t>PR-Roll Disposable Cups 8oz</t>
  </si>
  <si>
    <t>PPR656</t>
  </si>
  <si>
    <t>PR-Roll Disposable Cups 10oz</t>
  </si>
  <si>
    <t>PPR657</t>
  </si>
  <si>
    <t>PR-Roll Disposable Cups 12oz</t>
  </si>
  <si>
    <t>PPR658</t>
  </si>
  <si>
    <t>PR-Roll Disposable Cups 16oz</t>
  </si>
  <si>
    <t>Pcs</t>
  </si>
  <si>
    <t>PR-Packaging PB Bucks Mini Green (Pcs)</t>
  </si>
  <si>
    <t>PR-Packaging PB Bucks Tiny Green (Pcs)</t>
  </si>
  <si>
    <t>PR-Packaging PB Bucks Medium Green (Pcs)</t>
  </si>
  <si>
    <t>PR-Packaging PB Bucks Large Green (Pcs)</t>
  </si>
  <si>
    <t>PR-Packaging PB Bumbee Mini (Pcs)</t>
  </si>
  <si>
    <t>PR-Packaging PB Bumbee Tiny (Pcs)</t>
  </si>
  <si>
    <t>PR-Packaging PB Bumbee Medium (Pcs)</t>
  </si>
  <si>
    <t>PR-Packaging PB Bumbee Large (Pcs)</t>
  </si>
  <si>
    <t>PPR038</t>
  </si>
  <si>
    <t>PPR039</t>
  </si>
  <si>
    <t>PPR040</t>
  </si>
  <si>
    <t>PPR041</t>
  </si>
  <si>
    <t>PR-Packaging PB Lakers Mini (Pcs)</t>
  </si>
  <si>
    <t>PPR042</t>
  </si>
  <si>
    <t>PR-Packaging PB Lakers Tiny (Pcs)</t>
  </si>
  <si>
    <t>PPR043</t>
  </si>
  <si>
    <t>PR-Packaging PB Lakers Medium (Pcs)</t>
  </si>
  <si>
    <t>PPR044</t>
  </si>
  <si>
    <t>PR-Packaging PB Lakers Large (Pcs)</t>
  </si>
  <si>
    <t>PPR045</t>
  </si>
  <si>
    <t>PPR046</t>
  </si>
  <si>
    <t>PPR047</t>
  </si>
  <si>
    <t>PPR048</t>
  </si>
  <si>
    <t>PPR049</t>
  </si>
  <si>
    <t>PPR050</t>
  </si>
  <si>
    <t>PPR051</t>
  </si>
  <si>
    <t>PPR052</t>
  </si>
  <si>
    <t>PPR053</t>
  </si>
  <si>
    <t>PPR054</t>
  </si>
  <si>
    <t>PPR055</t>
  </si>
  <si>
    <t>PPR056</t>
  </si>
  <si>
    <t>PPR057</t>
  </si>
  <si>
    <t>PPR058</t>
  </si>
  <si>
    <t>PPR059</t>
  </si>
  <si>
    <t>PPR060</t>
  </si>
  <si>
    <t>PPR061</t>
  </si>
  <si>
    <t>PR-Packaging PB Rapper Mini (Pcs)</t>
  </si>
  <si>
    <t>PPR062</t>
  </si>
  <si>
    <t>PR-Packaging PB Rapper Tiny (Pcs)</t>
  </si>
  <si>
    <t>PPR063</t>
  </si>
  <si>
    <t>PR-Packaging PB Rapper Medium (Pcs)</t>
  </si>
  <si>
    <t>PPR064</t>
  </si>
  <si>
    <t>PR-Packaging PB Rapper Large (Pcs)</t>
  </si>
  <si>
    <t>PPR065</t>
  </si>
  <si>
    <t>PR-Packaging PB Sharkie Mini (Pcs)</t>
  </si>
  <si>
    <t>PPR066</t>
  </si>
  <si>
    <t>PR-Packaging PB Sharkie Tiny (Pcs)</t>
  </si>
  <si>
    <t>PPR067</t>
  </si>
  <si>
    <t>PR-Packaging PB Sharkie Medium (Pcs)</t>
  </si>
  <si>
    <t>PPR068</t>
  </si>
  <si>
    <t>PR-Packaging PB Sharkie Large (Pcs)</t>
  </si>
  <si>
    <t>PPR069</t>
  </si>
  <si>
    <t>PPR070</t>
  </si>
  <si>
    <t>PPR071</t>
  </si>
  <si>
    <t>PPR072</t>
  </si>
  <si>
    <t>PPR073</t>
  </si>
  <si>
    <t>PR-Packaging PB Superman Mini (Pcs)</t>
  </si>
  <si>
    <t>PPR074</t>
  </si>
  <si>
    <t>PR-Packaging PB Superman Tiny (Pcs)</t>
  </si>
  <si>
    <t>PPR075</t>
  </si>
  <si>
    <t>PR-Packaging PB Superman Medium (Pcs)</t>
  </si>
  <si>
    <t>PPR076</t>
  </si>
  <si>
    <t>PR-Packaging PB Superman Large (Pcs)</t>
  </si>
  <si>
    <t>PPR077</t>
  </si>
  <si>
    <t>PR-Packaging PB Vulcan Mini (Pcs)</t>
  </si>
  <si>
    <t>PPR078</t>
  </si>
  <si>
    <t>PR-Packaging PB Vulcan Tiny (Pcs)</t>
  </si>
  <si>
    <t>PPR079</t>
  </si>
  <si>
    <t>PR-Packaging PB Vulcan Medium (Pcs)</t>
  </si>
  <si>
    <t>PPR080</t>
  </si>
  <si>
    <t>PR-Packaging PB Vulcan Large (Pcs)</t>
  </si>
  <si>
    <t>PPR081</t>
  </si>
  <si>
    <t>PR-Packaging PB Warrior Mini (Pcs)</t>
  </si>
  <si>
    <t>PPR082</t>
  </si>
  <si>
    <t>PR-Packaging PB Warrior Tiny (Pcs)</t>
  </si>
  <si>
    <t>PPR083</t>
  </si>
  <si>
    <t>PR-Packaging PB Warrior Medium (Pcs)</t>
  </si>
  <si>
    <t>PPR084</t>
  </si>
  <si>
    <t>PR-Packaging PB Warrior Large (Pcs)</t>
  </si>
  <si>
    <t>PPR085</t>
  </si>
  <si>
    <t>PR-Packaging PB Merkado XL (Pcs)</t>
  </si>
  <si>
    <t>PPR086</t>
  </si>
  <si>
    <t>PPR087</t>
  </si>
  <si>
    <t>PPR088</t>
  </si>
  <si>
    <t>PPR089</t>
  </si>
  <si>
    <t>PPR090</t>
  </si>
  <si>
    <t>PR-Packaging PB Diamond Mini (Pcs)</t>
  </si>
  <si>
    <t>PPR091</t>
  </si>
  <si>
    <t>PR-Packaging PB Diamond Tiny (Pcs)</t>
  </si>
  <si>
    <t>PPR092</t>
  </si>
  <si>
    <t>PR-Packaging PB Diamond Medium (Pcs)</t>
  </si>
  <si>
    <t>PPR093</t>
  </si>
  <si>
    <t>PR-Packaging PB Diamond Large (Pcs)</t>
  </si>
  <si>
    <t>PPR094</t>
  </si>
  <si>
    <t>PPR095</t>
  </si>
  <si>
    <t>PPR096</t>
  </si>
  <si>
    <t>PPR097</t>
  </si>
  <si>
    <t>PPR099</t>
  </si>
  <si>
    <t>PR-Packaging PB Chocolates Mini (Pcs)</t>
  </si>
  <si>
    <t>PPR100</t>
  </si>
  <si>
    <t>PR-Packaging PB Chocolates Tiny (Pcs)</t>
  </si>
  <si>
    <t>PPR101</t>
  </si>
  <si>
    <t>PR-Packaging PB Chocolates Medium (Pcs)</t>
  </si>
  <si>
    <t>PPR102</t>
  </si>
  <si>
    <t>PR-Packaging PB Chocolates Large (Pcs)</t>
  </si>
  <si>
    <t>PPR103</t>
  </si>
  <si>
    <t>PR-Packaging PB Chocolates XLarge (Pcs)</t>
  </si>
  <si>
    <t>PPR104</t>
  </si>
  <si>
    <t>PPR105</t>
  </si>
  <si>
    <t>PPR106</t>
  </si>
  <si>
    <t>PPR107</t>
  </si>
  <si>
    <t>PPR108</t>
  </si>
  <si>
    <t>PR-Packaging PB Swerte Mini (Pcs)</t>
  </si>
  <si>
    <t>PPR109</t>
  </si>
  <si>
    <t>PR-Packaging PB Swerte Tiny (Pcs)</t>
  </si>
  <si>
    <t>PPR110</t>
  </si>
  <si>
    <t>PR-Packaging PB Swerte Medium (Pcs)</t>
  </si>
  <si>
    <t>PPR111</t>
  </si>
  <si>
    <t>PR-Packaging PB Swerte Large (Pcs)</t>
  </si>
  <si>
    <t>PPR112</t>
  </si>
  <si>
    <t>PPR113</t>
  </si>
  <si>
    <t>PPR114</t>
  </si>
  <si>
    <t>PPR115</t>
  </si>
  <si>
    <t>PPR116</t>
  </si>
  <si>
    <t>PPR117</t>
  </si>
  <si>
    <t>PPR118</t>
  </si>
  <si>
    <t>PPR119</t>
  </si>
  <si>
    <t>PPR120</t>
  </si>
  <si>
    <t>PPR121</t>
  </si>
  <si>
    <t>PPR122</t>
  </si>
  <si>
    <t>PPR123</t>
  </si>
  <si>
    <t>PPR701</t>
  </si>
  <si>
    <t>PR-Packaging Spring 5x8 (500s)</t>
  </si>
  <si>
    <t>PPR702</t>
  </si>
  <si>
    <t>PR-Packaging Spring 5x10 (500s)</t>
  </si>
  <si>
    <t>PPR703</t>
  </si>
  <si>
    <t>PR-Packaging Spring 6x10 (500s)</t>
  </si>
  <si>
    <t>PPR704</t>
  </si>
  <si>
    <t>PR-Packaging Spring 6x12 (500s)</t>
  </si>
  <si>
    <t>PPR705</t>
  </si>
  <si>
    <t>PR-Packaging Spring 6x14 (500s)</t>
  </si>
  <si>
    <t>PPR706</t>
  </si>
  <si>
    <t>PR-Packaging Spring 7x12 (500s)</t>
  </si>
  <si>
    <t>PPR707</t>
  </si>
  <si>
    <t>PR-Packaging Spring 7x14 (500s)</t>
  </si>
  <si>
    <t>PPR708</t>
  </si>
  <si>
    <t>PR-Packaging Spring 8x16 (500s)</t>
  </si>
  <si>
    <t>PPR709</t>
  </si>
  <si>
    <t>PR-Packaging Spring 6 1/2 (500s)</t>
  </si>
  <si>
    <t>PPR710</t>
  </si>
  <si>
    <t>PR-Packaging Spring 7 1/2 (500s)</t>
  </si>
  <si>
    <t>PPR711</t>
  </si>
  <si>
    <t>PR-Packaging Spring 5 1/2 (500s)</t>
  </si>
  <si>
    <t>PPR712</t>
  </si>
  <si>
    <t>PR-Packaging Spring 7x10 (500s)</t>
  </si>
  <si>
    <t>PPR713</t>
  </si>
  <si>
    <t xml:space="preserve">PR-Packaging Swerte 5x5 </t>
  </si>
  <si>
    <t>PPR714</t>
  </si>
  <si>
    <t>PR-Packaging Swerte 9x9</t>
  </si>
  <si>
    <t>PPR801</t>
  </si>
  <si>
    <t>PPR802</t>
  </si>
  <si>
    <t>PPR803</t>
  </si>
  <si>
    <t>PPR804</t>
  </si>
  <si>
    <t>PPR805</t>
  </si>
  <si>
    <t>PPR806</t>
  </si>
  <si>
    <t>PP-Packaging Plain 9X19 (Pcs)</t>
  </si>
  <si>
    <t>PPR501</t>
  </si>
  <si>
    <t>PPR502</t>
  </si>
  <si>
    <t>PPR503</t>
  </si>
  <si>
    <t>PPR504</t>
  </si>
  <si>
    <t>PPR505</t>
  </si>
  <si>
    <t>PR-Packaging ST Lucky (Pcs)</t>
  </si>
  <si>
    <t>PPR506</t>
  </si>
  <si>
    <t>PR-Packaging ST Liwanag (Pcs)</t>
  </si>
  <si>
    <t>PPR601</t>
  </si>
  <si>
    <t>PPR602</t>
  </si>
  <si>
    <t>PPR603</t>
  </si>
  <si>
    <t>PPR604</t>
  </si>
  <si>
    <t>PPR605</t>
  </si>
  <si>
    <t>PPR606</t>
  </si>
  <si>
    <t>PPR607</t>
  </si>
  <si>
    <t>PPR608</t>
  </si>
  <si>
    <t>Ldpe Sack</t>
  </si>
  <si>
    <t>Out</t>
  </si>
  <si>
    <t>PP Sack</t>
  </si>
  <si>
    <t>Green Sack</t>
  </si>
  <si>
    <t>Sept 01</t>
  </si>
  <si>
    <t>Sept 02</t>
  </si>
  <si>
    <t>Sept 03</t>
  </si>
  <si>
    <t>Sept 04</t>
  </si>
  <si>
    <t>Sept 05</t>
  </si>
  <si>
    <t>Sept 06</t>
  </si>
  <si>
    <t>Sept 07</t>
  </si>
  <si>
    <t>Sept 08</t>
  </si>
  <si>
    <t>Sept 09</t>
  </si>
  <si>
    <t>Sept 10</t>
  </si>
  <si>
    <t>Sept 11</t>
  </si>
  <si>
    <t>Sept 12</t>
  </si>
  <si>
    <t>Sept 13</t>
  </si>
  <si>
    <t>Sept 14</t>
  </si>
  <si>
    <t>Sept 15</t>
  </si>
  <si>
    <t>Sept 16</t>
  </si>
  <si>
    <t>Sept 17</t>
  </si>
  <si>
    <t>Sept 18</t>
  </si>
  <si>
    <t>Sept 19</t>
  </si>
  <si>
    <t>Sept 20</t>
  </si>
  <si>
    <t>Sept 21</t>
  </si>
  <si>
    <t>Sept 22</t>
  </si>
  <si>
    <t>Sept 23</t>
  </si>
  <si>
    <t>Sept 24</t>
  </si>
  <si>
    <t>Sept 25</t>
  </si>
  <si>
    <t>Sept 26</t>
  </si>
  <si>
    <t>Sept 27</t>
  </si>
  <si>
    <t>Sept 28</t>
  </si>
  <si>
    <t>Sept 29</t>
  </si>
  <si>
    <t>Sept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</si>
</sst>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_-* #,##0_-;\-* #,##0_-;_-* &quot;-&quot;??_-;_-@"/>
    <numFmt numFmtId="166" formatCode="m/d/yy"/>
    <numFmt numFmtId="167" formatCode="mm/dd/yy"/>
    <numFmt numFmtId="168" formatCode="_-* #,##0.0_-;\-* #,##0.0_-;_-* &quot;-&quot;??.0_-;_-@"/>
    <numFmt numFmtId="169" formatCode="m/d/yyyy"/>
    <numFmt numFmtId="170" formatCode="_-* #,##0.0_-;\-* #,##0.0_-;_-* &quot;-&quot;??_-;_-@"/>
    <numFmt numFmtId="171" formatCode="_-* #,##0.00_-;\-* #,##0.00_-;_-* &quot;-&quot;??_-;_-@"/>
    <numFmt numFmtId="172" formatCode="mmmm\ d\,\ yyyy"/>
    <numFmt numFmtId="173" formatCode="_-* #,##0.00_-;\-* #,##0.00_-;_-* &quot;-&quot;??.00_-;_-@"/>
  </numFmts>
  <fonts count="35">
    <font>
      <sz val="10.0"/>
      <color theme="1"/>
      <name val="Inter"/>
      <scheme val="minor"/>
    </font>
    <font>
      <b/>
      <sz val="10.0"/>
      <color theme="1"/>
      <name val="Play"/>
    </font>
    <font>
      <sz val="10.0"/>
      <color theme="1"/>
      <name val="Play"/>
    </font>
    <font>
      <b/>
      <sz val="10.0"/>
      <color rgb="FFFFFF00"/>
      <name val="Play"/>
    </font>
    <font>
      <b/>
      <sz val="12.0"/>
      <color theme="1"/>
      <name val="Play"/>
    </font>
    <font>
      <sz val="11.0"/>
      <color theme="1"/>
      <name val="Calibri"/>
    </font>
    <font>
      <sz val="11.0"/>
      <color rgb="FF000000"/>
      <name val="Calibri"/>
    </font>
    <font>
      <color theme="1"/>
      <name val="Inter"/>
      <scheme val="minor"/>
    </font>
    <font>
      <sz val="10.0"/>
      <color theme="1"/>
      <name val="Inter"/>
    </font>
    <font>
      <sz val="9.0"/>
      <color theme="1"/>
      <name val="Verdana"/>
    </font>
    <font>
      <sz val="9.0"/>
      <color rgb="FF000000"/>
      <name val="Verdana"/>
    </font>
    <font>
      <sz val="10.0"/>
      <color rgb="FF000000"/>
      <name val="Play"/>
    </font>
    <font>
      <b/>
      <sz val="10.0"/>
      <color theme="1"/>
      <name val="Inter"/>
    </font>
    <font>
      <b/>
      <sz val="10.0"/>
      <color rgb="FFFFFF00"/>
      <name val="Inter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Play"/>
    </font>
    <font>
      <b/>
      <sz val="10.0"/>
      <color rgb="FF000000"/>
      <name val="Play"/>
    </font>
    <font>
      <b/>
      <i/>
      <sz val="10.0"/>
      <color rgb="FF000000"/>
      <name val="Play"/>
    </font>
    <font>
      <b/>
      <sz val="10.0"/>
      <color rgb="FFFFFFFF"/>
      <name val="Play"/>
    </font>
    <font>
      <b/>
      <sz val="11.0"/>
      <color rgb="FF000000"/>
      <name val="Play"/>
    </font>
    <font>
      <sz val="11.0"/>
      <color theme="1"/>
      <name val="Inter"/>
    </font>
    <font>
      <sz val="9.0"/>
      <color theme="1"/>
      <name val="Calibri"/>
    </font>
    <font>
      <sz val="10.0"/>
      <color rgb="FFFF0000"/>
      <name val="Inter"/>
    </font>
    <font>
      <b/>
      <sz val="10.0"/>
      <color rgb="FFFF0000"/>
      <name val="Inter"/>
    </font>
    <font>
      <sz val="15.0"/>
      <color rgb="FF000000"/>
      <name val="Play"/>
    </font>
    <font>
      <b/>
      <sz val="25.0"/>
      <color rgb="FF000000"/>
      <name val="Play"/>
    </font>
    <font/>
    <font>
      <b/>
      <sz val="11.0"/>
      <color rgb="FF000000"/>
      <name val="Calibri"/>
    </font>
    <font>
      <sz val="10.0"/>
      <color rgb="FF000000"/>
      <name val="Inter"/>
    </font>
    <font>
      <b/>
      <sz val="10.0"/>
      <color theme="1"/>
      <name val="Calibri"/>
    </font>
    <font>
      <b/>
      <sz val="10.0"/>
      <color rgb="FFFFFF00"/>
      <name val="Calibri"/>
    </font>
    <font>
      <sz val="9.0"/>
      <color rgb="FF000000"/>
      <name val="Calibri"/>
    </font>
    <font>
      <sz val="9.0"/>
      <color rgb="FF000000"/>
      <name val="Inter"/>
    </font>
    <font>
      <b/>
      <sz val="9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BE4D5"/>
        <bgColor rgb="FFFBE4D5"/>
      </patternFill>
    </fill>
    <fill>
      <patternFill patternType="solid">
        <fgColor rgb="FF000000"/>
        <bgColor rgb="FF000000"/>
      </patternFill>
    </fill>
    <fill>
      <patternFill patternType="solid">
        <fgColor rgb="FFDEEAF6"/>
        <bgColor rgb="FFDEEAF6"/>
      </patternFill>
    </fill>
    <fill>
      <patternFill patternType="solid">
        <fgColor rgb="FF626E7A"/>
        <bgColor rgb="FF626E7A"/>
      </patternFill>
    </fill>
    <fill>
      <patternFill patternType="solid">
        <fgColor rgb="FFF6F8F9"/>
        <bgColor rgb="FFF6F8F9"/>
      </patternFill>
    </fill>
    <fill>
      <patternFill patternType="solid">
        <fgColor rgb="FFFEF2CB"/>
        <bgColor rgb="FFFEF2CB"/>
      </patternFill>
    </fill>
  </fills>
  <borders count="4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/>
      <top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626E7A"/>
      </right>
      <top style="thin">
        <color rgb="FF4A535C"/>
      </top>
    </border>
    <border>
      <left style="thin">
        <color rgb="FF626E7A"/>
      </left>
      <right style="thin">
        <color rgb="FF626E7A"/>
      </right>
      <top style="thin">
        <color rgb="FF4A535C"/>
      </top>
    </border>
    <border>
      <left style="thin">
        <color rgb="FF626E7A"/>
      </left>
      <right style="thin">
        <color rgb="FF4A535C"/>
      </right>
      <top style="thin">
        <color rgb="FF4A535C"/>
      </top>
    </border>
    <border>
      <left/>
      <right/>
      <bottom/>
    </border>
  </borders>
  <cellStyleXfs count="1">
    <xf borderId="0" fillId="0" fontId="0" numFmtId="0" applyAlignment="1" applyFont="1"/>
  </cellStyleXfs>
  <cellXfs count="4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Alignment="1" applyFont="1">
      <alignment horizontal="right"/>
    </xf>
    <xf borderId="2" fillId="4" fontId="3" numFmtId="0" xfId="0" applyAlignment="1" applyBorder="1" applyFill="1" applyFont="1">
      <alignment horizontal="right"/>
    </xf>
    <xf borderId="2" fillId="4" fontId="3" numFmtId="0" xfId="0" applyAlignment="1" applyBorder="1" applyFont="1">
      <alignment horizontal="center"/>
    </xf>
    <xf borderId="2" fillId="4" fontId="3" numFmtId="0" xfId="0" applyBorder="1" applyFont="1"/>
    <xf borderId="2" fillId="4" fontId="3" numFmtId="1" xfId="0" applyAlignment="1" applyBorder="1" applyFont="1" applyNumberFormat="1">
      <alignment horizontal="center" shrinkToFit="0" wrapText="1"/>
    </xf>
    <xf borderId="2" fillId="4" fontId="3" numFmtId="0" xfId="0" applyAlignment="1" applyBorder="1" applyFont="1">
      <alignment horizontal="left"/>
    </xf>
    <xf borderId="2" fillId="4" fontId="3" numFmtId="0" xfId="0" applyAlignment="1" applyBorder="1" applyFont="1">
      <alignment horizontal="left" readingOrder="0"/>
    </xf>
    <xf borderId="2" fillId="4" fontId="3" numFmtId="0" xfId="0" applyAlignment="1" applyBorder="1" applyFont="1">
      <alignment readingOrder="0"/>
    </xf>
    <xf borderId="2" fillId="4" fontId="3" numFmtId="49" xfId="0" applyAlignment="1" applyBorder="1" applyFont="1" applyNumberFormat="1">
      <alignment horizontal="center"/>
    </xf>
    <xf borderId="2" fillId="3" fontId="2" numFmtId="0" xfId="0" applyAlignment="1" applyBorder="1" applyFont="1">
      <alignment horizontal="right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center" vertical="center"/>
    </xf>
    <xf borderId="2" fillId="3" fontId="2" numFmtId="1" xfId="0" applyAlignment="1" applyBorder="1" applyFont="1" applyNumberFormat="1">
      <alignment horizontal="center"/>
    </xf>
    <xf borderId="2" fillId="3" fontId="2" numFmtId="0" xfId="0" applyAlignment="1" applyBorder="1" applyFont="1">
      <alignment horizontal="left"/>
    </xf>
    <xf borderId="3" fillId="3" fontId="2" numFmtId="0" xfId="0" applyAlignment="1" applyBorder="1" applyFont="1">
      <alignment horizontal="left"/>
    </xf>
    <xf borderId="2" fillId="3" fontId="2" numFmtId="0" xfId="0" applyBorder="1" applyFont="1"/>
    <xf borderId="2" fillId="3" fontId="2" numFmtId="49" xfId="0" applyAlignment="1" applyBorder="1" applyFont="1" applyNumberFormat="1">
      <alignment horizontal="center"/>
    </xf>
    <xf borderId="3" fillId="5" fontId="5" numFmtId="164" xfId="0" applyAlignment="1" applyBorder="1" applyFill="1" applyFont="1" applyNumberFormat="1">
      <alignment readingOrder="0"/>
    </xf>
    <xf borderId="3" fillId="5" fontId="5" numFmtId="0" xfId="0" applyBorder="1" applyFont="1"/>
    <xf borderId="4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/>
    </xf>
    <xf borderId="3" fillId="2" fontId="5" numFmtId="1" xfId="0" applyAlignment="1" applyBorder="1" applyFont="1" applyNumberFormat="1">
      <alignment readingOrder="0"/>
    </xf>
    <xf borderId="3" fillId="5" fontId="5" numFmtId="0" xfId="0" applyAlignment="1" applyBorder="1" applyFont="1">
      <alignment horizontal="left" readingOrder="0"/>
    </xf>
    <xf borderId="3" fillId="5" fontId="5" numFmtId="0" xfId="0" applyAlignment="1" applyBorder="1" applyFont="1">
      <alignment horizontal="center"/>
    </xf>
    <xf borderId="3" fillId="5" fontId="5" numFmtId="0" xfId="0" applyAlignment="1" applyBorder="1" applyFont="1">
      <alignment horizontal="center" readingOrder="0"/>
    </xf>
    <xf borderId="3" fillId="0" fontId="5" numFmtId="49" xfId="0" applyAlignment="1" applyBorder="1" applyFont="1" applyNumberFormat="1">
      <alignment horizontal="center" readingOrder="0"/>
    </xf>
    <xf borderId="3" fillId="5" fontId="5" numFmtId="0" xfId="0" applyAlignment="1" applyBorder="1" applyFont="1">
      <alignment horizontal="left"/>
    </xf>
    <xf borderId="3" fillId="6" fontId="5" numFmtId="0" xfId="0" applyBorder="1" applyFill="1" applyFont="1"/>
    <xf borderId="3" fillId="0" fontId="5" numFmtId="0" xfId="0" applyBorder="1" applyFont="1"/>
    <xf borderId="3" fillId="5" fontId="5" numFmtId="1" xfId="0" applyBorder="1" applyFont="1" applyNumberFormat="1"/>
    <xf borderId="3" fillId="0" fontId="5" numFmtId="49" xfId="0" applyAlignment="1" applyBorder="1" applyFont="1" applyNumberFormat="1">
      <alignment horizontal="center"/>
    </xf>
    <xf borderId="3" fillId="2" fontId="5" numFmtId="0" xfId="0" applyBorder="1" applyFont="1"/>
    <xf borderId="3" fillId="2" fontId="5" numFmtId="0" xfId="0" applyAlignment="1" applyBorder="1" applyFont="1">
      <alignment vertical="bottom"/>
    </xf>
    <xf borderId="3" fillId="7" fontId="5" numFmtId="0" xfId="0" applyBorder="1" applyFill="1" applyFont="1"/>
    <xf borderId="3" fillId="5" fontId="5" numFmtId="0" xfId="0" applyAlignment="1" applyBorder="1" applyFont="1">
      <alignment readingOrder="0"/>
    </xf>
    <xf borderId="4" fillId="2" fontId="5" numFmtId="0" xfId="0" applyBorder="1" applyFont="1"/>
    <xf borderId="5" fillId="2" fontId="5" numFmtId="0" xfId="0" applyAlignment="1" applyBorder="1" applyFont="1">
      <alignment vertical="bottom"/>
    </xf>
    <xf borderId="3" fillId="0" fontId="6" numFmtId="0" xfId="0" applyAlignment="1" applyBorder="1" applyFont="1">
      <alignment horizontal="center" readingOrder="0" shrinkToFit="0" wrapText="0"/>
    </xf>
    <xf borderId="3" fillId="2" fontId="6" numFmtId="0" xfId="0" applyAlignment="1" applyBorder="1" applyFont="1">
      <alignment vertical="center"/>
    </xf>
    <xf borderId="3" fillId="2" fontId="6" numFmtId="0" xfId="0" applyAlignment="1" applyBorder="1" applyFont="1">
      <alignment horizontal="left"/>
    </xf>
    <xf borderId="6" fillId="6" fontId="5" numFmtId="0" xfId="0" applyBorder="1" applyFont="1"/>
    <xf borderId="5" fillId="0" fontId="5" numFmtId="0" xfId="0" applyBorder="1" applyFont="1"/>
    <xf borderId="3" fillId="8" fontId="5" numFmtId="164" xfId="0" applyAlignment="1" applyBorder="1" applyFill="1" applyFont="1" applyNumberFormat="1">
      <alignment readingOrder="0"/>
    </xf>
    <xf borderId="5" fillId="2" fontId="6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5" fillId="2" fontId="5" numFmtId="0" xfId="0" applyBorder="1" applyFont="1"/>
    <xf borderId="7" fillId="2" fontId="5" numFmtId="0" xfId="0" applyAlignment="1" applyBorder="1" applyFont="1">
      <alignment vertical="bottom"/>
    </xf>
    <xf borderId="7" fillId="2" fontId="6" numFmtId="0" xfId="0" applyAlignment="1" applyBorder="1" applyFont="1">
      <alignment horizontal="left"/>
    </xf>
    <xf borderId="3" fillId="2" fontId="6" numFmtId="0" xfId="0" applyAlignment="1" applyBorder="1" applyFont="1">
      <alignment horizontal="left" vertical="center"/>
    </xf>
    <xf borderId="3" fillId="2" fontId="5" numFmtId="1" xfId="0" applyBorder="1" applyFont="1" applyNumberFormat="1"/>
    <xf borderId="8" fillId="9" fontId="6" numFmtId="0" xfId="0" applyAlignment="1" applyBorder="1" applyFill="1" applyFont="1">
      <alignment horizontal="center" readingOrder="0" shrinkToFit="0" wrapText="0"/>
    </xf>
    <xf borderId="3" fillId="0" fontId="5" numFmtId="0" xfId="0" applyAlignment="1" applyBorder="1" applyFont="1">
      <alignment vertical="bottom"/>
    </xf>
    <xf borderId="3" fillId="5" fontId="5" numFmtId="1" xfId="0" applyAlignment="1" applyBorder="1" applyFont="1" applyNumberFormat="1">
      <alignment readingOrder="0"/>
    </xf>
    <xf borderId="5" fillId="2" fontId="6" numFmtId="0" xfId="0" applyAlignment="1" applyBorder="1" applyFont="1">
      <alignment vertical="center"/>
    </xf>
    <xf borderId="4" fillId="3" fontId="6" numFmtId="0" xfId="0" applyAlignment="1" applyBorder="1" applyFont="1">
      <alignment horizontal="left" vertical="center"/>
    </xf>
    <xf borderId="5" fillId="3" fontId="6" numFmtId="0" xfId="0" applyAlignment="1" applyBorder="1" applyFont="1">
      <alignment horizontal="left"/>
    </xf>
    <xf borderId="3" fillId="3" fontId="5" numFmtId="1" xfId="0" applyAlignment="1" applyBorder="1" applyFont="1" applyNumberFormat="1">
      <alignment readingOrder="0"/>
    </xf>
    <xf borderId="4" fillId="3" fontId="5" numFmtId="0" xfId="0" applyBorder="1" applyFont="1"/>
    <xf borderId="5" fillId="3" fontId="5" numFmtId="0" xfId="0" applyAlignment="1" applyBorder="1" applyFont="1">
      <alignment vertical="bottom"/>
    </xf>
    <xf borderId="4" fillId="5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readingOrder="0"/>
    </xf>
    <xf borderId="3" fillId="3" fontId="5" numFmtId="0" xfId="0" applyBorder="1" applyFont="1"/>
    <xf borderId="3" fillId="3" fontId="5" numFmtId="0" xfId="0" applyAlignment="1" applyBorder="1" applyFont="1">
      <alignment vertical="bottom"/>
    </xf>
    <xf borderId="4" fillId="6" fontId="5" numFmtId="0" xfId="0" applyBorder="1" applyFont="1"/>
    <xf borderId="7" fillId="6" fontId="5" numFmtId="0" xfId="0" applyAlignment="1" applyBorder="1" applyFont="1">
      <alignment vertical="bottom"/>
    </xf>
    <xf borderId="1" fillId="5" fontId="5" numFmtId="0" xfId="0" applyBorder="1" applyFont="1"/>
    <xf borderId="1" fillId="5" fontId="5" numFmtId="1" xfId="0" applyBorder="1" applyFont="1" applyNumberFormat="1"/>
    <xf borderId="1" fillId="5" fontId="5" numFmtId="0" xfId="0" applyAlignment="1" applyBorder="1" applyFont="1">
      <alignment horizontal="left"/>
    </xf>
    <xf borderId="1" fillId="5" fontId="5" numFmtId="0" xfId="0" applyAlignment="1" applyBorder="1" applyFont="1">
      <alignment horizontal="center"/>
    </xf>
    <xf borderId="0" fillId="0" fontId="5" numFmtId="49" xfId="0" applyAlignment="1" applyFont="1" applyNumberFormat="1">
      <alignment horizontal="center"/>
    </xf>
    <xf borderId="1" fillId="5" fontId="8" numFmtId="0" xfId="0" applyBorder="1" applyFont="1"/>
    <xf borderId="1" fillId="5" fontId="8" numFmtId="1" xfId="0" applyBorder="1" applyFont="1" applyNumberFormat="1"/>
    <xf borderId="1" fillId="5" fontId="8" numFmtId="0" xfId="0" applyAlignment="1" applyBorder="1" applyFont="1">
      <alignment horizontal="left"/>
    </xf>
    <xf borderId="1" fillId="5" fontId="8" numFmtId="0" xfId="0" applyAlignment="1" applyBorder="1" applyFont="1">
      <alignment horizontal="center"/>
    </xf>
    <xf borderId="0" fillId="0" fontId="8" numFmtId="49" xfId="0" applyAlignment="1" applyFont="1" applyNumberFormat="1">
      <alignment horizontal="center"/>
    </xf>
    <xf borderId="0" fillId="0" fontId="8" numFmtId="1" xfId="0" applyFont="1" applyNumberForma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2" numFmtId="165" xfId="0" applyAlignment="1" applyFont="1" applyNumberFormat="1">
      <alignment horizontal="right"/>
    </xf>
    <xf borderId="2" fillId="4" fontId="3" numFmtId="165" xfId="0" applyAlignment="1" applyBorder="1" applyFont="1" applyNumberFormat="1">
      <alignment horizontal="right" shrinkToFit="0" wrapText="1"/>
    </xf>
    <xf borderId="3" fillId="3" fontId="2" numFmtId="0" xfId="0" applyAlignment="1" applyBorder="1" applyFont="1">
      <alignment horizontal="right"/>
    </xf>
    <xf borderId="3" fillId="3" fontId="2" numFmtId="165" xfId="0" applyAlignment="1" applyBorder="1" applyFont="1" applyNumberFormat="1">
      <alignment horizontal="right"/>
    </xf>
    <xf borderId="3" fillId="3" fontId="2" numFmtId="0" xfId="0" applyBorder="1" applyFont="1"/>
    <xf borderId="3" fillId="6" fontId="2" numFmtId="164" xfId="0" applyAlignment="1" applyBorder="1" applyFont="1" applyNumberFormat="1">
      <alignment horizontal="right" readingOrder="0"/>
    </xf>
    <xf borderId="3" fillId="6" fontId="2" numFmtId="0" xfId="0" applyAlignment="1" applyBorder="1" applyFont="1">
      <alignment horizontal="right" readingOrder="0"/>
    </xf>
    <xf borderId="3" fillId="6" fontId="2" numFmtId="0" xfId="0" applyAlignment="1" applyBorder="1" applyFont="1">
      <alignment horizontal="left" readingOrder="0"/>
    </xf>
    <xf borderId="3" fillId="6" fontId="2" numFmtId="0" xfId="0" applyAlignment="1" applyBorder="1" applyFont="1">
      <alignment readingOrder="0"/>
    </xf>
    <xf borderId="3" fillId="6" fontId="2" numFmtId="0" xfId="0" applyBorder="1" applyFont="1"/>
    <xf borderId="1" fillId="6" fontId="8" numFmtId="0" xfId="0" applyBorder="1" applyFont="1"/>
    <xf borderId="3" fillId="6" fontId="2" numFmtId="0" xfId="0" applyAlignment="1" applyBorder="1" applyFont="1">
      <alignment horizontal="right"/>
    </xf>
    <xf borderId="3" fillId="6" fontId="2" numFmtId="0" xfId="0" applyAlignment="1" applyBorder="1" applyFont="1">
      <alignment horizontal="left"/>
    </xf>
    <xf borderId="3" fillId="6" fontId="2" numFmtId="165" xfId="0" applyAlignment="1" applyBorder="1" applyFont="1" applyNumberFormat="1">
      <alignment horizontal="right"/>
    </xf>
    <xf borderId="3" fillId="6" fontId="2" numFmtId="165" xfId="0" applyAlignment="1" applyBorder="1" applyFont="1" applyNumberFormat="1">
      <alignment horizontal="right" readingOrder="0"/>
    </xf>
    <xf borderId="3" fillId="5" fontId="6" numFmtId="0" xfId="0" applyAlignment="1" applyBorder="1" applyFont="1">
      <alignment vertical="center"/>
    </xf>
    <xf borderId="3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/>
    </xf>
    <xf borderId="6" fillId="6" fontId="2" numFmtId="0" xfId="0" applyBorder="1" applyFont="1"/>
    <xf borderId="5" fillId="6" fontId="2" numFmtId="0" xfId="0" applyBorder="1" applyFont="1"/>
    <xf borderId="5" fillId="0" fontId="6" numFmtId="0" xfId="0" applyAlignment="1" applyBorder="1" applyFont="1">
      <alignment vertical="center"/>
    </xf>
    <xf borderId="5" fillId="0" fontId="5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3" fillId="6" fontId="2" numFmtId="0" xfId="0" applyAlignment="1" applyBorder="1" applyFont="1">
      <alignment horizontal="left" vertical="center"/>
    </xf>
    <xf borderId="3" fillId="6" fontId="4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left"/>
    </xf>
    <xf borderId="3" fillId="0" fontId="2" numFmtId="0" xfId="0" applyAlignment="1" applyBorder="1" applyFont="1">
      <alignment horizontal="right"/>
    </xf>
    <xf borderId="3" fillId="0" fontId="2" numFmtId="0" xfId="0" applyBorder="1" applyFont="1"/>
    <xf borderId="6" fillId="0" fontId="2" numFmtId="0" xfId="0" applyBorder="1" applyFont="1"/>
    <xf borderId="5" fillId="0" fontId="2" numFmtId="0" xfId="0" applyBorder="1" applyFont="1"/>
    <xf borderId="3" fillId="0" fontId="2" numFmtId="0" xfId="0" applyAlignment="1" applyBorder="1" applyFont="1">
      <alignment horizontal="right" readingOrder="0"/>
    </xf>
    <xf borderId="9" fillId="0" fontId="5" numFmtId="0" xfId="0" applyAlignment="1" applyBorder="1" applyFont="1">
      <alignment vertical="bottom"/>
    </xf>
    <xf borderId="3" fillId="0" fontId="9" numFmtId="0" xfId="0" applyBorder="1" applyFont="1"/>
    <xf borderId="3" fillId="5" fontId="6" numFmtId="0" xfId="0" applyAlignment="1" applyBorder="1" applyFont="1">
      <alignment horizontal="left" vertical="center"/>
    </xf>
    <xf borderId="3" fillId="6" fontId="5" numFmtId="0" xfId="0" applyAlignment="1" applyBorder="1" applyFont="1">
      <alignment vertical="bottom"/>
    </xf>
    <xf borderId="2" fillId="6" fontId="5" numFmtId="0" xfId="0" applyBorder="1" applyFont="1"/>
    <xf borderId="10" fillId="0" fontId="9" numFmtId="0" xfId="0" applyBorder="1" applyFont="1"/>
    <xf borderId="9" fillId="0" fontId="2" numFmtId="0" xfId="0" applyBorder="1" applyFont="1"/>
    <xf borderId="3" fillId="0" fontId="9" numFmtId="0" xfId="0" applyAlignment="1" applyBorder="1" applyFont="1">
      <alignment vertical="bottom"/>
    </xf>
    <xf borderId="3" fillId="0" fontId="6" numFmtId="0" xfId="0" applyBorder="1" applyFont="1"/>
    <xf borderId="3" fillId="5" fontId="2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right" readingOrder="0"/>
    </xf>
    <xf borderId="4" fillId="5" fontId="6" numFmtId="0" xfId="0" applyAlignment="1" applyBorder="1" applyFont="1">
      <alignment vertical="center"/>
    </xf>
    <xf borderId="7" fillId="5" fontId="6" numFmtId="0" xfId="0" applyBorder="1" applyFont="1"/>
    <xf borderId="6" fillId="6" fontId="2" numFmtId="0" xfId="0" applyAlignment="1" applyBorder="1" applyFont="1">
      <alignment horizontal="left" vertical="center"/>
    </xf>
    <xf borderId="5" fillId="5" fontId="2" numFmtId="0" xfId="0" applyAlignment="1" applyBorder="1" applyFont="1">
      <alignment horizontal="left" vertical="center"/>
    </xf>
    <xf borderId="7" fillId="5" fontId="6" numFmtId="0" xfId="0" applyAlignment="1" applyBorder="1" applyFont="1">
      <alignment vertical="center"/>
    </xf>
    <xf borderId="11" fillId="5" fontId="6" numFmtId="0" xfId="0" applyAlignment="1" applyBorder="1" applyFont="1">
      <alignment vertical="center"/>
    </xf>
    <xf borderId="1" fillId="5" fontId="6" numFmtId="0" xfId="0" applyAlignment="1" applyBorder="1" applyFont="1">
      <alignment vertical="center"/>
    </xf>
    <xf borderId="12" fillId="5" fontId="6" numFmtId="0" xfId="0" applyAlignment="1" applyBorder="1" applyFont="1">
      <alignment vertical="center"/>
    </xf>
    <xf borderId="13" fillId="5" fontId="6" numFmtId="0" xfId="0" applyAlignment="1" applyBorder="1" applyFont="1">
      <alignment vertical="center"/>
    </xf>
    <xf borderId="3" fillId="5" fontId="6" numFmtId="0" xfId="0" applyBorder="1" applyFont="1"/>
    <xf borderId="14" fillId="5" fontId="6" numFmtId="0" xfId="0" applyAlignment="1" applyBorder="1" applyFont="1">
      <alignment vertical="center"/>
    </xf>
    <xf borderId="15" fillId="0" fontId="2" numFmtId="0" xfId="0" applyAlignment="1" applyBorder="1" applyFont="1">
      <alignment horizontal="right"/>
    </xf>
    <xf borderId="15" fillId="0" fontId="2" numFmtId="0" xfId="0" applyBorder="1" applyFont="1"/>
    <xf borderId="15" fillId="0" fontId="2" numFmtId="166" xfId="0" applyAlignment="1" applyBorder="1" applyFont="1" applyNumberFormat="1">
      <alignment horizontal="right"/>
    </xf>
    <xf borderId="16" fillId="5" fontId="6" numFmtId="0" xfId="0" applyAlignment="1" applyBorder="1" applyFont="1">
      <alignment horizontal="left"/>
    </xf>
    <xf borderId="7" fillId="5" fontId="6" numFmtId="0" xfId="0" applyAlignment="1" applyBorder="1" applyFont="1">
      <alignment horizontal="left" vertical="center"/>
    </xf>
    <xf borderId="4" fillId="5" fontId="2" numFmtId="0" xfId="0" applyAlignment="1" applyBorder="1" applyFont="1">
      <alignment horizontal="left" vertical="center"/>
    </xf>
    <xf borderId="7" fillId="5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right" readingOrder="0"/>
    </xf>
    <xf borderId="3" fillId="5" fontId="10" numFmtId="0" xfId="0" applyAlignment="1" applyBorder="1" applyFont="1">
      <alignment horizontal="left" vertical="center"/>
    </xf>
    <xf borderId="3" fillId="5" fontId="6" numFmtId="0" xfId="0" applyAlignment="1" applyBorder="1" applyFont="1">
      <alignment horizontal="left"/>
    </xf>
    <xf borderId="6" fillId="5" fontId="2" numFmtId="0" xfId="0" applyAlignment="1" applyBorder="1" applyFont="1">
      <alignment horizontal="left" vertical="center"/>
    </xf>
    <xf borderId="6" fillId="5" fontId="6" numFmtId="0" xfId="0" applyAlignment="1" applyBorder="1" applyFont="1">
      <alignment horizontal="left" vertical="center"/>
    </xf>
    <xf borderId="17" fillId="5" fontId="6" numFmtId="0" xfId="0" applyAlignment="1" applyBorder="1" applyFont="1">
      <alignment horizontal="left" vertical="center"/>
    </xf>
    <xf borderId="11" fillId="5" fontId="6" numFmtId="0" xfId="0" applyAlignment="1" applyBorder="1" applyFont="1">
      <alignment horizontal="left" vertical="center"/>
    </xf>
    <xf borderId="1" fillId="5" fontId="10" numFmtId="0" xfId="0" applyAlignment="1" applyBorder="1" applyFont="1">
      <alignment horizontal="left" vertical="center"/>
    </xf>
    <xf borderId="15" fillId="0" fontId="2" numFmtId="164" xfId="0" applyAlignment="1" applyBorder="1" applyFont="1" applyNumberFormat="1">
      <alignment horizontal="right" readingOrder="0"/>
    </xf>
    <xf borderId="6" fillId="5" fontId="5" numFmtId="0" xfId="0" applyBorder="1" applyFont="1"/>
    <xf borderId="5" fillId="5" fontId="5" numFmtId="0" xfId="0" applyBorder="1" applyFont="1"/>
    <xf borderId="3" fillId="0" fontId="2" numFmtId="166" xfId="0" applyAlignment="1" applyBorder="1" applyFont="1" applyNumberFormat="1">
      <alignment horizontal="right"/>
    </xf>
    <xf borderId="2" fillId="5" fontId="2" numFmtId="0" xfId="0" applyAlignment="1" applyBorder="1" applyFont="1">
      <alignment horizontal="left" vertical="center"/>
    </xf>
    <xf borderId="15" fillId="0" fontId="2" numFmtId="167" xfId="0" applyAlignment="1" applyBorder="1" applyFont="1" applyNumberFormat="1">
      <alignment horizontal="right"/>
    </xf>
    <xf borderId="2" fillId="6" fontId="2" numFmtId="166" xfId="0" applyAlignment="1" applyBorder="1" applyFont="1" applyNumberFormat="1">
      <alignment horizontal="right"/>
    </xf>
    <xf borderId="2" fillId="6" fontId="2" numFmtId="165" xfId="0" applyAlignment="1" applyBorder="1" applyFont="1" applyNumberFormat="1">
      <alignment horizontal="right"/>
    </xf>
    <xf borderId="18" fillId="0" fontId="2" numFmtId="0" xfId="0" applyBorder="1" applyFont="1"/>
    <xf borderId="3" fillId="0" fontId="8" numFmtId="0" xfId="0" applyBorder="1" applyFont="1"/>
    <xf borderId="19" fillId="0" fontId="2" numFmtId="0" xfId="0" applyBorder="1" applyFont="1"/>
    <xf borderId="2" fillId="6" fontId="2" numFmtId="164" xfId="0" applyAlignment="1" applyBorder="1" applyFont="1" applyNumberFormat="1">
      <alignment horizontal="right"/>
    </xf>
    <xf borderId="2" fillId="6" fontId="2" numFmtId="0" xfId="0" applyAlignment="1" applyBorder="1" applyFont="1">
      <alignment horizontal="right"/>
    </xf>
    <xf borderId="3" fillId="5" fontId="11" numFmtId="0" xfId="0" applyAlignment="1" applyBorder="1" applyFont="1">
      <alignment horizontal="left"/>
    </xf>
    <xf borderId="3" fillId="5" fontId="11" numFmtId="168" xfId="0" applyBorder="1" applyFont="1" applyNumberFormat="1"/>
    <xf borderId="3" fillId="5" fontId="2" numFmtId="0" xfId="0" applyAlignment="1" applyBorder="1" applyFont="1">
      <alignment horizontal="left"/>
    </xf>
    <xf borderId="0" fillId="0" fontId="8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0" fontId="1" numFmtId="0" xfId="0" applyAlignment="1" applyFont="1">
      <alignment horizontal="left" vertical="center"/>
    </xf>
    <xf borderId="1" fillId="10" fontId="8" numFmtId="0" xfId="0" applyBorder="1" applyFill="1" applyFont="1"/>
    <xf borderId="0" fillId="0" fontId="8" numFmtId="0" xfId="0" applyFont="1"/>
    <xf borderId="0" fillId="0" fontId="1" numFmtId="0" xfId="0" applyAlignment="1" applyFont="1">
      <alignment vertical="center"/>
    </xf>
    <xf borderId="0" fillId="0" fontId="12" numFmtId="0" xfId="0" applyFont="1"/>
    <xf borderId="2" fillId="4" fontId="3" numFmtId="0" xfId="0" applyAlignment="1" applyBorder="1" applyFont="1">
      <alignment vertical="center"/>
    </xf>
    <xf borderId="2" fillId="4" fontId="3" numFmtId="0" xfId="0" applyAlignment="1" applyBorder="1" applyFont="1">
      <alignment horizontal="right" shrinkToFit="0" wrapText="1"/>
    </xf>
    <xf borderId="3" fillId="4" fontId="13" numFmtId="0" xfId="0" applyBorder="1" applyFont="1"/>
    <xf borderId="3" fillId="4" fontId="13" numFmtId="0" xfId="0" applyAlignment="1" applyBorder="1" applyFont="1">
      <alignment horizontal="center" shrinkToFit="0" wrapText="1"/>
    </xf>
    <xf borderId="3" fillId="4" fontId="13" numFmtId="0" xfId="0" applyAlignment="1" applyBorder="1" applyFont="1">
      <alignment horizontal="center"/>
    </xf>
    <xf borderId="19" fillId="0" fontId="8" numFmtId="0" xfId="0" applyBorder="1" applyFont="1"/>
    <xf borderId="3" fillId="10" fontId="8" numFmtId="0" xfId="0" applyBorder="1" applyFont="1"/>
    <xf borderId="3" fillId="6" fontId="2" numFmtId="166" xfId="0" applyAlignment="1" applyBorder="1" applyFont="1" applyNumberFormat="1">
      <alignment readingOrder="0"/>
    </xf>
    <xf borderId="0" fillId="6" fontId="8" numFmtId="0" xfId="0" applyFont="1"/>
    <xf borderId="3" fillId="6" fontId="2" numFmtId="166" xfId="0" applyBorder="1" applyFont="1" applyNumberFormat="1"/>
    <xf borderId="6" fillId="6" fontId="1" numFmtId="0" xfId="0" applyAlignment="1" applyBorder="1" applyFont="1">
      <alignment horizontal="center"/>
    </xf>
    <xf borderId="3" fillId="0" fontId="7" numFmtId="0" xfId="0" applyAlignment="1" applyBorder="1" applyFont="1">
      <alignment readingOrder="0"/>
    </xf>
    <xf borderId="3" fillId="6" fontId="1" numFmtId="0" xfId="0" applyAlignment="1" applyBorder="1" applyFont="1">
      <alignment horizontal="center"/>
    </xf>
    <xf borderId="6" fillId="6" fontId="2" numFmtId="0" xfId="0" applyAlignment="1" applyBorder="1" applyFont="1">
      <alignment horizontal="left"/>
    </xf>
    <xf borderId="20" fillId="6" fontId="1" numFmtId="0" xfId="0" applyAlignment="1" applyBorder="1" applyFont="1">
      <alignment horizontal="center"/>
    </xf>
    <xf borderId="5" fillId="6" fontId="1" numFmtId="0" xfId="0" applyAlignment="1" applyBorder="1" applyFont="1">
      <alignment horizontal="center"/>
    </xf>
    <xf borderId="3" fillId="8" fontId="2" numFmtId="0" xfId="0" applyAlignment="1" applyBorder="1" applyFont="1">
      <alignment readingOrder="0"/>
    </xf>
    <xf borderId="4" fillId="6" fontId="1" numFmtId="0" xfId="0" applyAlignment="1" applyBorder="1" applyFont="1">
      <alignment horizontal="center"/>
    </xf>
    <xf borderId="3" fillId="3" fontId="2" numFmtId="166" xfId="0" applyBorder="1" applyFont="1" applyNumberFormat="1"/>
    <xf borderId="4" fillId="3" fontId="1" numFmtId="0" xfId="0" applyAlignment="1" applyBorder="1" applyFont="1">
      <alignment horizontal="center"/>
    </xf>
    <xf borderId="20" fillId="6" fontId="4" numFmtId="0" xfId="0" applyAlignment="1" applyBorder="1" applyFont="1">
      <alignment horizontal="center" vertical="center"/>
    </xf>
    <xf borderId="4" fillId="6" fontId="2" numFmtId="0" xfId="0" applyBorder="1" applyFont="1"/>
    <xf borderId="5" fillId="6" fontId="4" numFmtId="0" xfId="0" applyAlignment="1" applyBorder="1" applyFont="1">
      <alignment horizontal="center" vertical="center"/>
    </xf>
    <xf borderId="7" fillId="6" fontId="4" numFmtId="0" xfId="0" applyAlignment="1" applyBorder="1" applyFont="1">
      <alignment horizontal="center" vertical="center"/>
    </xf>
    <xf borderId="3" fillId="0" fontId="2" numFmtId="0" xfId="0" applyAlignment="1" applyBorder="1" applyFont="1">
      <alignment readingOrder="0"/>
    </xf>
    <xf borderId="6" fillId="5" fontId="2" numFmtId="0" xfId="0" applyAlignment="1" applyBorder="1" applyFont="1">
      <alignment horizontal="left"/>
    </xf>
    <xf borderId="5" fillId="5" fontId="2" numFmtId="0" xfId="0" applyAlignment="1" applyBorder="1" applyFont="1">
      <alignment horizontal="left"/>
    </xf>
    <xf borderId="4" fillId="5" fontId="2" numFmtId="0" xfId="0" applyAlignment="1" applyBorder="1" applyFont="1">
      <alignment horizontal="left"/>
    </xf>
    <xf borderId="7" fillId="5" fontId="2" numFmtId="0" xfId="0" applyAlignment="1" applyBorder="1" applyFont="1">
      <alignment horizontal="left"/>
    </xf>
    <xf borderId="5" fillId="0" fontId="6" numFmtId="0" xfId="0" applyAlignment="1" applyBorder="1" applyFont="1">
      <alignment horizontal="left" vertical="center"/>
    </xf>
    <xf borderId="3" fillId="3" fontId="14" numFmtId="0" xfId="0" applyAlignment="1" applyBorder="1" applyFont="1">
      <alignment horizontal="right"/>
    </xf>
    <xf borderId="3" fillId="3" fontId="14" numFmtId="0" xfId="0" applyBorder="1" applyFont="1"/>
    <xf borderId="3" fillId="3" fontId="15" numFmtId="0" xfId="0" applyAlignment="1" applyBorder="1" applyFont="1">
      <alignment horizontal="center" vertical="center"/>
    </xf>
    <xf borderId="3" fillId="6" fontId="2" numFmtId="169" xfId="0" applyAlignment="1" applyBorder="1" applyFont="1" applyNumberFormat="1">
      <alignment horizontal="right" readingOrder="0"/>
    </xf>
    <xf borderId="3" fillId="0" fontId="6" numFmtId="0" xfId="0" applyAlignment="1" applyBorder="1" applyFont="1">
      <alignment horizontal="left" vertical="center"/>
    </xf>
    <xf borderId="4" fillId="6" fontId="2" numFmtId="0" xfId="0" applyAlignment="1" applyBorder="1" applyFont="1">
      <alignment horizontal="left" vertical="center"/>
    </xf>
    <xf borderId="3" fillId="5" fontId="6" numFmtId="0" xfId="0" applyAlignment="1" applyBorder="1" applyFont="1">
      <alignment horizontal="left" readingOrder="0" vertical="center"/>
    </xf>
    <xf borderId="3" fillId="0" fontId="10" numFmtId="0" xfId="0" applyAlignment="1" applyBorder="1" applyFont="1">
      <alignment vertical="center"/>
    </xf>
    <xf borderId="0" fillId="6" fontId="7" numFmtId="0" xfId="0" applyFont="1"/>
    <xf borderId="3" fillId="0" fontId="2" numFmtId="164" xfId="0" applyAlignment="1" applyBorder="1" applyFont="1" applyNumberFormat="1">
      <alignment readingOrder="0"/>
    </xf>
    <xf borderId="3" fillId="5" fontId="2" numFmtId="164" xfId="0" applyAlignment="1" applyBorder="1" applyFont="1" applyNumberFormat="1">
      <alignment horizontal="right" readingOrder="0"/>
    </xf>
    <xf borderId="3" fillId="5" fontId="2" numFmtId="0" xfId="0" applyAlignment="1" applyBorder="1" applyFont="1">
      <alignment horizontal="right" readingOrder="0"/>
    </xf>
    <xf borderId="3" fillId="5" fontId="2" numFmtId="0" xfId="0" applyBorder="1" applyFont="1"/>
    <xf borderId="0" fillId="5" fontId="8" numFmtId="0" xfId="0" applyFont="1"/>
    <xf borderId="3" fillId="5" fontId="2" numFmtId="0" xfId="0" applyAlignment="1" applyBorder="1" applyFont="1">
      <alignment horizontal="right"/>
    </xf>
    <xf borderId="3" fillId="5" fontId="4" numFmtId="0" xfId="0" applyAlignment="1" applyBorder="1" applyFont="1">
      <alignment horizontal="center" vertical="center"/>
    </xf>
    <xf borderId="5" fillId="5" fontId="4" numFmtId="0" xfId="0" applyAlignment="1" applyBorder="1" applyFont="1">
      <alignment horizontal="center" vertical="center"/>
    </xf>
    <xf borderId="6" fillId="5" fontId="2" numFmtId="0" xfId="0" applyBorder="1" applyFont="1"/>
    <xf borderId="2" fillId="5" fontId="6" numFmtId="0" xfId="0" applyAlignment="1" applyBorder="1" applyFont="1">
      <alignment vertical="center"/>
    </xf>
    <xf borderId="21" fillId="5" fontId="6" numFmtId="0" xfId="0" applyAlignment="1" applyBorder="1" applyFont="1">
      <alignment vertical="center"/>
    </xf>
    <xf borderId="11" fillId="6" fontId="5" numFmtId="0" xfId="0" applyBorder="1" applyFont="1"/>
    <xf borderId="1" fillId="6" fontId="5" numFmtId="0" xfId="0" applyBorder="1" applyFont="1"/>
    <xf borderId="7" fillId="6" fontId="5" numFmtId="0" xfId="0" applyBorder="1" applyFont="1"/>
    <xf borderId="5" fillId="6" fontId="16" numFmtId="0" xfId="0" applyAlignment="1" applyBorder="1" applyFont="1">
      <alignment horizontal="center"/>
    </xf>
    <xf borderId="9" fillId="6" fontId="16" numFmtId="0" xfId="0" applyAlignment="1" applyBorder="1" applyFont="1">
      <alignment horizontal="center"/>
    </xf>
    <xf borderId="1" fillId="6" fontId="9" numFmtId="0" xfId="0" applyBorder="1" applyFont="1"/>
    <xf borderId="21" fillId="6" fontId="9" numFmtId="0" xfId="0" applyBorder="1" applyFont="1"/>
    <xf borderId="3" fillId="6" fontId="9" numFmtId="0" xfId="0" applyBorder="1" applyFont="1"/>
    <xf borderId="16" fillId="6" fontId="5" numFmtId="0" xfId="0" applyAlignment="1" applyBorder="1" applyFont="1">
      <alignment vertical="bottom"/>
    </xf>
    <xf borderId="5" fillId="5" fontId="6" numFmtId="0" xfId="0" applyAlignment="1" applyBorder="1" applyFont="1">
      <alignment horizontal="left"/>
    </xf>
    <xf borderId="15" fillId="5" fontId="6" numFmtId="0" xfId="0" applyAlignment="1" applyBorder="1" applyFont="1">
      <alignment horizontal="left" vertical="center"/>
    </xf>
    <xf borderId="22" fillId="5" fontId="10" numFmtId="0" xfId="0" applyAlignment="1" applyBorder="1" applyFont="1">
      <alignment horizontal="left" vertical="center"/>
    </xf>
    <xf borderId="3" fillId="6" fontId="16" numFmtId="0" xfId="0" applyAlignment="1" applyBorder="1" applyFont="1">
      <alignment horizontal="center"/>
    </xf>
    <xf borderId="2" fillId="5" fontId="6" numFmtId="0" xfId="0" applyAlignment="1" applyBorder="1" applyFont="1">
      <alignment horizontal="left" vertical="center"/>
    </xf>
    <xf borderId="21" fillId="5" fontId="10" numFmtId="0" xfId="0" applyAlignment="1" applyBorder="1" applyFont="1">
      <alignment horizontal="left" vertical="center"/>
    </xf>
    <xf borderId="15" fillId="6" fontId="5" numFmtId="0" xfId="0" applyBorder="1" applyFont="1"/>
    <xf borderId="23" fillId="6" fontId="5" numFmtId="0" xfId="0" applyAlignment="1" applyBorder="1" applyFont="1">
      <alignment vertical="bottom"/>
    </xf>
    <xf borderId="19" fillId="6" fontId="5" numFmtId="0" xfId="0" applyBorder="1" applyFont="1"/>
    <xf borderId="20" fillId="5" fontId="6" numFmtId="0" xfId="0" applyAlignment="1" applyBorder="1" applyFont="1">
      <alignment horizontal="left"/>
    </xf>
    <xf borderId="20" fillId="6" fontId="5" numFmtId="0" xfId="0" applyAlignment="1" applyBorder="1" applyFont="1">
      <alignment vertical="bottom"/>
    </xf>
    <xf borderId="3" fillId="3" fontId="16" numFmtId="0" xfId="0" applyAlignment="1" applyBorder="1" applyFont="1">
      <alignment horizontal="center"/>
    </xf>
    <xf borderId="15" fillId="0" fontId="8" numFmtId="0" xfId="0" applyBorder="1" applyFont="1"/>
    <xf borderId="15" fillId="0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3" fillId="0" fontId="7" numFmtId="0" xfId="0" applyBorder="1" applyFont="1"/>
    <xf borderId="3" fillId="6" fontId="5" numFmtId="0" xfId="0" applyAlignment="1" applyBorder="1" applyFont="1">
      <alignment vertical="bottom"/>
    </xf>
    <xf borderId="0" fillId="0" fontId="11" numFmtId="0" xfId="0" applyFont="1"/>
    <xf borderId="0" fillId="0" fontId="17" numFmtId="0" xfId="0" applyFont="1"/>
    <xf borderId="0" fillId="0" fontId="11" numFmtId="0" xfId="0" applyAlignment="1" applyFont="1">
      <alignment horizontal="left"/>
    </xf>
    <xf borderId="0" fillId="0" fontId="11" numFmtId="165" xfId="0" applyAlignment="1" applyFont="1" applyNumberFormat="1">
      <alignment horizontal="center"/>
    </xf>
    <xf borderId="0" fillId="0" fontId="11" numFmtId="165" xfId="0" applyFont="1" applyNumberFormat="1"/>
    <xf borderId="0" fillId="0" fontId="17" numFmtId="0" xfId="0" applyAlignment="1" applyFont="1">
      <alignment readingOrder="0"/>
    </xf>
    <xf borderId="0" fillId="0" fontId="17" numFmtId="0" xfId="0" applyAlignment="1" applyFont="1">
      <alignment horizontal="left"/>
    </xf>
    <xf borderId="0" fillId="0" fontId="17" numFmtId="165" xfId="0" applyAlignment="1" applyFont="1" applyNumberFormat="1">
      <alignment horizontal="center"/>
    </xf>
    <xf borderId="0" fillId="0" fontId="18" numFmtId="3" xfId="0" applyAlignment="1" applyFont="1" applyNumberFormat="1">
      <alignment horizontal="center"/>
    </xf>
    <xf borderId="1" fillId="6" fontId="18" numFmtId="3" xfId="0" applyAlignment="1" applyBorder="1" applyFont="1" applyNumberFormat="1">
      <alignment horizontal="right"/>
    </xf>
    <xf borderId="3" fillId="4" fontId="19" numFmtId="0" xfId="0" applyBorder="1" applyFont="1"/>
    <xf borderId="3" fillId="11" fontId="19" numFmtId="0" xfId="0" applyBorder="1" applyFill="1" applyFont="1"/>
    <xf borderId="3" fillId="4" fontId="19" numFmtId="0" xfId="0" applyAlignment="1" applyBorder="1" applyFont="1">
      <alignment horizontal="left"/>
    </xf>
    <xf borderId="3" fillId="4" fontId="19" numFmtId="165" xfId="0" applyAlignment="1" applyBorder="1" applyFont="1" applyNumberFormat="1">
      <alignment horizontal="center"/>
    </xf>
    <xf borderId="3" fillId="11" fontId="19" numFmtId="3" xfId="0" applyAlignment="1" applyBorder="1" applyFont="1" applyNumberFormat="1">
      <alignment horizontal="center"/>
    </xf>
    <xf borderId="2" fillId="11" fontId="19" numFmtId="3" xfId="0" applyAlignment="1" applyBorder="1" applyFont="1" applyNumberFormat="1">
      <alignment horizontal="right"/>
    </xf>
    <xf borderId="24" fillId="4" fontId="19" numFmtId="165" xfId="0" applyAlignment="1" applyBorder="1" applyFont="1" applyNumberFormat="1">
      <alignment horizontal="center"/>
    </xf>
    <xf borderId="25" fillId="4" fontId="19" numFmtId="0" xfId="0" applyAlignment="1" applyBorder="1" applyFont="1">
      <alignment horizontal="center"/>
    </xf>
    <xf borderId="1" fillId="4" fontId="19" numFmtId="0" xfId="0" applyAlignment="1" applyBorder="1" applyFont="1">
      <alignment horizontal="center"/>
    </xf>
    <xf borderId="3" fillId="11" fontId="13" numFmtId="0" xfId="0" applyAlignment="1" applyBorder="1" applyFont="1">
      <alignment horizontal="center"/>
    </xf>
    <xf borderId="2" fillId="5" fontId="5" numFmtId="0" xfId="0" applyAlignment="1" applyBorder="1" applyFont="1">
      <alignment horizontal="left" vertical="center"/>
    </xf>
    <xf borderId="3" fillId="6" fontId="6" numFmtId="3" xfId="0" applyAlignment="1" applyBorder="1" applyFont="1" applyNumberFormat="1">
      <alignment horizontal="center" readingOrder="0"/>
    </xf>
    <xf borderId="2" fillId="6" fontId="11" numFmtId="3" xfId="0" applyAlignment="1" applyBorder="1" applyFont="1" applyNumberFormat="1">
      <alignment horizontal="right" vertical="center"/>
    </xf>
    <xf borderId="25" fillId="6" fontId="11" numFmtId="3" xfId="0" applyAlignment="1" applyBorder="1" applyFont="1" applyNumberFormat="1">
      <alignment horizontal="right" vertical="center"/>
    </xf>
    <xf borderId="3" fillId="6" fontId="20" numFmtId="3" xfId="0" applyAlignment="1" applyBorder="1" applyFont="1" applyNumberFormat="1">
      <alignment horizontal="right" vertical="center"/>
    </xf>
    <xf borderId="3" fillId="5" fontId="5" numFmtId="165" xfId="0" applyAlignment="1" applyBorder="1" applyFont="1" applyNumberFormat="1">
      <alignment horizontal="center" vertical="center"/>
    </xf>
    <xf borderId="3" fillId="5" fontId="5" numFmtId="170" xfId="0" applyAlignment="1" applyBorder="1" applyFont="1" applyNumberFormat="1">
      <alignment horizontal="center" vertical="center"/>
    </xf>
    <xf borderId="3" fillId="0" fontId="11" numFmtId="0" xfId="0" applyBorder="1" applyFont="1"/>
    <xf borderId="15" fillId="0" fontId="17" numFmtId="171" xfId="0" applyAlignment="1" applyBorder="1" applyFont="1" applyNumberFormat="1">
      <alignment horizontal="center"/>
    </xf>
    <xf borderId="3" fillId="6" fontId="6" numFmtId="3" xfId="0" applyAlignment="1" applyBorder="1" applyFont="1" applyNumberFormat="1">
      <alignment horizontal="center"/>
    </xf>
    <xf borderId="3" fillId="5" fontId="5" numFmtId="170" xfId="0" applyAlignment="1" applyBorder="1" applyFont="1" applyNumberFormat="1">
      <alignment vertical="center"/>
    </xf>
    <xf borderId="3" fillId="5" fontId="5" numFmtId="170" xfId="0" applyAlignment="1" applyBorder="1" applyFont="1" applyNumberFormat="1">
      <alignment horizontal="center" readingOrder="0" vertical="center"/>
    </xf>
    <xf borderId="3" fillId="6" fontId="11" numFmtId="0" xfId="0" applyBorder="1" applyFont="1"/>
    <xf borderId="3" fillId="5" fontId="5" numFmtId="165" xfId="0" applyAlignment="1" applyBorder="1" applyFont="1" applyNumberFormat="1">
      <alignment horizontal="center" readingOrder="0" vertical="center"/>
    </xf>
    <xf borderId="3" fillId="0" fontId="11" numFmtId="0" xfId="0" applyAlignment="1" applyBorder="1" applyFont="1">
      <alignment horizontal="left"/>
    </xf>
    <xf borderId="0" fillId="0" fontId="8" numFmtId="3" xfId="0" applyAlignment="1" applyFont="1" applyNumberFormat="1">
      <alignment horizontal="center" readingOrder="0"/>
    </xf>
    <xf borderId="3" fillId="5" fontId="5" numFmtId="165" xfId="0" applyAlignment="1" applyBorder="1" applyFont="1" applyNumberFormat="1">
      <alignment vertical="center"/>
    </xf>
    <xf borderId="3" fillId="0" fontId="8" numFmtId="0" xfId="0" applyAlignment="1" applyBorder="1" applyFont="1">
      <alignment horizontal="center"/>
    </xf>
    <xf borderId="3" fillId="5" fontId="5" numFmtId="165" xfId="0" applyAlignment="1" applyBorder="1" applyFont="1" applyNumberFormat="1">
      <alignment horizontal="center"/>
    </xf>
    <xf borderId="3" fillId="5" fontId="5" numFmtId="170" xfId="0" applyAlignment="1" applyBorder="1" applyFont="1" applyNumberFormat="1">
      <alignment horizontal="center"/>
    </xf>
    <xf borderId="3" fillId="5" fontId="5" numFmtId="165" xfId="0" applyBorder="1" applyFont="1" applyNumberFormat="1"/>
    <xf borderId="3" fillId="5" fontId="5" numFmtId="170" xfId="0" applyBorder="1" applyFont="1" applyNumberFormat="1"/>
    <xf borderId="15" fillId="5" fontId="5" numFmtId="165" xfId="0" applyAlignment="1" applyBorder="1" applyFont="1" applyNumberFormat="1">
      <alignment horizontal="center" vertical="center"/>
    </xf>
    <xf borderId="2" fillId="5" fontId="5" numFmtId="170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left"/>
    </xf>
    <xf borderId="3" fillId="5" fontId="21" numFmtId="165" xfId="0" applyAlignment="1" applyBorder="1" applyFont="1" applyNumberFormat="1">
      <alignment horizontal="center" vertical="center"/>
    </xf>
    <xf borderId="3" fillId="5" fontId="21" numFmtId="170" xfId="0" applyAlignment="1" applyBorder="1" applyFont="1" applyNumberFormat="1">
      <alignment horizontal="center" vertical="center"/>
    </xf>
    <xf borderId="3" fillId="6" fontId="8" numFmtId="0" xfId="0" applyBorder="1" applyFont="1"/>
    <xf borderId="3" fillId="5" fontId="8" numFmtId="165" xfId="0" applyAlignment="1" applyBorder="1" applyFont="1" applyNumberFormat="1">
      <alignment horizontal="center" vertical="center"/>
    </xf>
    <xf borderId="3" fillId="5" fontId="8" numFmtId="170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vertical="center"/>
    </xf>
    <xf borderId="3" fillId="5" fontId="6" numFmtId="0" xfId="0" applyAlignment="1" applyBorder="1" applyFont="1">
      <alignment horizontal="left" readingOrder="1"/>
    </xf>
    <xf borderId="26" fillId="5" fontId="6" numFmtId="0" xfId="0" applyAlignment="1" applyBorder="1" applyFont="1">
      <alignment horizontal="left" readingOrder="1"/>
    </xf>
    <xf borderId="27" fillId="5" fontId="6" numFmtId="0" xfId="0" applyBorder="1" applyFont="1"/>
    <xf borderId="2" fillId="5" fontId="5" numFmtId="0" xfId="0" applyAlignment="1" applyBorder="1" applyFont="1">
      <alignment vertical="center"/>
    </xf>
    <xf borderId="23" fillId="5" fontId="6" numFmtId="0" xfId="0" applyBorder="1" applyFont="1"/>
    <xf borderId="27" fillId="5" fontId="6" numFmtId="0" xfId="0" applyAlignment="1" applyBorder="1" applyFont="1">
      <alignment vertical="center"/>
    </xf>
    <xf borderId="16" fillId="5" fontId="6" numFmtId="0" xfId="0" applyBorder="1" applyFont="1"/>
    <xf borderId="3" fillId="5" fontId="22" numFmtId="0" xfId="0" applyBorder="1" applyFont="1"/>
    <xf borderId="2" fillId="5" fontId="22" numFmtId="0" xfId="0" applyBorder="1" applyFont="1"/>
    <xf borderId="3" fillId="5" fontId="5" numFmtId="171" xfId="0" applyAlignment="1" applyBorder="1" applyFont="1" applyNumberFormat="1">
      <alignment horizontal="center" vertical="center"/>
    </xf>
    <xf borderId="3" fillId="0" fontId="8" numFmtId="4" xfId="0" applyBorder="1" applyFont="1" applyNumberFormat="1"/>
    <xf borderId="3" fillId="0" fontId="23" numFmtId="4" xfId="0" applyBorder="1" applyFont="1" applyNumberFormat="1"/>
    <xf borderId="27" fillId="5" fontId="6" numFmtId="0" xfId="0" applyAlignment="1" applyBorder="1" applyFont="1">
      <alignment horizontal="left"/>
    </xf>
    <xf borderId="23" fillId="5" fontId="6" numFmtId="0" xfId="0" applyAlignment="1" applyBorder="1" applyFont="1">
      <alignment horizontal="left"/>
    </xf>
    <xf borderId="27" fillId="5" fontId="6" numFmtId="0" xfId="0" applyAlignment="1" applyBorder="1" applyFont="1">
      <alignment horizontal="left" vertical="center"/>
    </xf>
    <xf borderId="7" fillId="5" fontId="10" numFmtId="0" xfId="0" applyAlignment="1" applyBorder="1" applyFont="1">
      <alignment horizontal="left" vertical="center"/>
    </xf>
    <xf borderId="14" fillId="5" fontId="10" numFmtId="0" xfId="0" applyAlignment="1" applyBorder="1" applyFont="1">
      <alignment horizontal="left" vertical="center"/>
    </xf>
    <xf borderId="3" fillId="5" fontId="10" numFmtId="0" xfId="0" applyAlignment="1" applyBorder="1" applyFont="1">
      <alignment horizontal="left" readingOrder="0" vertical="center"/>
    </xf>
    <xf borderId="3" fillId="5" fontId="9" numFmtId="0" xfId="0" applyAlignment="1" applyBorder="1" applyFont="1">
      <alignment horizontal="left"/>
    </xf>
    <xf borderId="2" fillId="6" fontId="20" numFmtId="3" xfId="0" applyAlignment="1" applyBorder="1" applyFont="1" applyNumberFormat="1">
      <alignment horizontal="right" vertical="center"/>
    </xf>
    <xf borderId="2" fillId="5" fontId="5" numFmtId="165" xfId="0" applyAlignment="1" applyBorder="1" applyFont="1" applyNumberFormat="1">
      <alignment horizontal="center" vertical="center"/>
    </xf>
    <xf borderId="28" fillId="5" fontId="9" numFmtId="0" xfId="0" applyAlignment="1" applyBorder="1" applyFont="1">
      <alignment horizontal="left"/>
    </xf>
    <xf borderId="3" fillId="5" fontId="5" numFmtId="0" xfId="0" applyAlignment="1" applyBorder="1" applyFont="1">
      <alignment horizontal="left" vertical="center"/>
    </xf>
    <xf borderId="3" fillId="6" fontId="11" numFmtId="3" xfId="0" applyAlignment="1" applyBorder="1" applyFont="1" applyNumberFormat="1">
      <alignment horizontal="right" vertical="center"/>
    </xf>
    <xf borderId="3" fillId="0" fontId="17" numFmtId="171" xfId="0" applyAlignment="1" applyBorder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1" fillId="6" fontId="8" numFmtId="3" xfId="0" applyAlignment="1" applyBorder="1" applyFont="1" applyNumberFormat="1">
      <alignment horizontal="right"/>
    </xf>
    <xf borderId="0" fillId="0" fontId="7" numFmtId="165" xfId="0" applyFont="1" applyNumberFormat="1"/>
    <xf borderId="0" fillId="0" fontId="24" numFmtId="0" xfId="0" applyFont="1"/>
    <xf quotePrefix="1" borderId="0" fillId="0" fontId="25" numFmtId="0" xfId="0" applyAlignment="1" applyFont="1">
      <alignment horizontal="center" readingOrder="0" vertical="center"/>
    </xf>
    <xf borderId="29" fillId="6" fontId="26" numFmtId="0" xfId="0" applyAlignment="1" applyBorder="1" applyFont="1">
      <alignment horizontal="center" vertical="center"/>
    </xf>
    <xf borderId="30" fillId="0" fontId="27" numFmtId="0" xfId="0" applyBorder="1" applyFont="1"/>
    <xf borderId="31" fillId="0" fontId="27" numFmtId="0" xfId="0" applyBorder="1" applyFont="1"/>
    <xf borderId="32" fillId="0" fontId="27" numFmtId="0" xfId="0" applyBorder="1" applyFont="1"/>
    <xf borderId="33" fillId="0" fontId="27" numFmtId="0" xfId="0" applyBorder="1" applyFont="1"/>
    <xf borderId="34" fillId="0" fontId="27" numFmtId="0" xfId="0" applyBorder="1" applyFont="1"/>
    <xf borderId="3" fillId="0" fontId="17" numFmtId="0" xfId="0" applyBorder="1" applyFont="1"/>
    <xf borderId="3" fillId="0" fontId="11" numFmtId="0" xfId="0" applyAlignment="1" applyBorder="1" applyFont="1">
      <alignment horizontal="center"/>
    </xf>
    <xf borderId="3" fillId="0" fontId="11" numFmtId="165" xfId="0" applyBorder="1" applyFont="1" applyNumberFormat="1"/>
    <xf borderId="3" fillId="0" fontId="17" numFmtId="0" xfId="0" applyAlignment="1" applyBorder="1" applyFont="1">
      <alignment readingOrder="0"/>
    </xf>
    <xf borderId="3" fillId="0" fontId="11" numFmtId="14" xfId="0" applyAlignment="1" applyBorder="1" applyFont="1" applyNumberFormat="1">
      <alignment horizontal="center"/>
    </xf>
    <xf borderId="3" fillId="12" fontId="11" numFmtId="0" xfId="0" applyAlignment="1" applyBorder="1" applyFill="1" applyFont="1">
      <alignment horizontal="center"/>
    </xf>
    <xf borderId="3" fillId="12" fontId="11" numFmtId="165" xfId="0" applyAlignment="1" applyBorder="1" applyFont="1" applyNumberFormat="1">
      <alignment horizontal="center"/>
    </xf>
    <xf borderId="3" fillId="12" fontId="11" numFmtId="0" xfId="0" applyBorder="1" applyFont="1"/>
    <xf borderId="3" fillId="0" fontId="2" numFmtId="0" xfId="0" applyAlignment="1" applyBorder="1" applyFont="1">
      <alignment horizontal="left"/>
    </xf>
    <xf borderId="3" fillId="6" fontId="11" numFmtId="0" xfId="0" applyAlignment="1" applyBorder="1" applyFont="1">
      <alignment horizontal="center"/>
    </xf>
    <xf borderId="4" fillId="6" fontId="6" numFmtId="0" xfId="0" applyAlignment="1" applyBorder="1" applyFont="1">
      <alignment horizontal="left" vertical="center"/>
    </xf>
    <xf borderId="7" fillId="6" fontId="6" numFmtId="0" xfId="0" applyAlignment="1" applyBorder="1" applyFont="1">
      <alignment horizontal="left"/>
    </xf>
    <xf borderId="3" fillId="6" fontId="2" numFmtId="1" xfId="0" applyBorder="1" applyFont="1" applyNumberFormat="1"/>
    <xf borderId="3" fillId="5" fontId="2" numFmtId="1" xfId="0" applyBorder="1" applyFont="1" applyNumberFormat="1"/>
    <xf borderId="15" fillId="0" fontId="11" numFmtId="0" xfId="0" applyBorder="1" applyFont="1"/>
    <xf borderId="35" fillId="0" fontId="11" numFmtId="0" xfId="0" applyBorder="1" applyFont="1"/>
    <xf borderId="10" fillId="0" fontId="27" numFmtId="0" xfId="0" applyBorder="1" applyFont="1"/>
    <xf borderId="36" fillId="0" fontId="27" numFmtId="0" xfId="0" applyBorder="1" applyFont="1"/>
    <xf borderId="6" fillId="0" fontId="27" numFmtId="0" xfId="0" applyBorder="1" applyFont="1"/>
    <xf borderId="37" fillId="0" fontId="27" numFmtId="0" xfId="0" applyBorder="1" applyFont="1"/>
    <xf borderId="9" fillId="0" fontId="27" numFmtId="0" xfId="0" applyBorder="1" applyFont="1"/>
    <xf borderId="5" fillId="0" fontId="27" numFmtId="0" xfId="0" applyBorder="1" applyFont="1"/>
    <xf borderId="18" fillId="0" fontId="11" numFmtId="0" xfId="0" applyBorder="1" applyFont="1"/>
    <xf borderId="38" fillId="0" fontId="27" numFmtId="0" xfId="0" applyBorder="1" applyFont="1"/>
    <xf borderId="19" fillId="0" fontId="27" numFmtId="0" xfId="0" applyBorder="1" applyFont="1"/>
    <xf borderId="0" fillId="0" fontId="25" numFmtId="0" xfId="0" applyAlignment="1" applyFont="1">
      <alignment horizontal="center" vertical="center"/>
    </xf>
    <xf borderId="3" fillId="0" fontId="17" numFmtId="165" xfId="0" applyBorder="1" applyFont="1" applyNumberFormat="1"/>
    <xf borderId="1" fillId="5" fontId="6" numFmtId="4" xfId="0" applyAlignment="1" applyBorder="1" applyFont="1" applyNumberFormat="1">
      <alignment horizontal="left"/>
    </xf>
    <xf borderId="0" fillId="0" fontId="8" numFmtId="4" xfId="0" applyFont="1" applyNumberFormat="1"/>
    <xf borderId="3" fillId="5" fontId="28" numFmtId="0" xfId="0" applyAlignment="1" applyBorder="1" applyFont="1">
      <alignment horizontal="center" vertical="center"/>
    </xf>
    <xf borderId="3" fillId="5" fontId="28" numFmtId="4" xfId="0" applyAlignment="1" applyBorder="1" applyFont="1" applyNumberFormat="1">
      <alignment horizontal="center"/>
    </xf>
    <xf borderId="18" fillId="0" fontId="12" numFmtId="4" xfId="0" applyAlignment="1" applyBorder="1" applyFont="1" applyNumberFormat="1">
      <alignment horizontal="center"/>
    </xf>
    <xf borderId="3" fillId="5" fontId="6" numFmtId="4" xfId="0" applyAlignment="1" applyBorder="1" applyFont="1" applyNumberFormat="1">
      <alignment horizontal="left"/>
    </xf>
    <xf borderId="3" fillId="0" fontId="8" numFmtId="4" xfId="0" applyAlignment="1" applyBorder="1" applyFont="1" applyNumberFormat="1">
      <alignment horizontal="center"/>
    </xf>
    <xf borderId="3" fillId="0" fontId="6" numFmtId="4" xfId="0" applyAlignment="1" applyBorder="1" applyFont="1" applyNumberFormat="1">
      <alignment horizontal="left"/>
    </xf>
    <xf borderId="3" fillId="0" fontId="8" numFmtId="4" xfId="0" applyAlignment="1" applyBorder="1" applyFont="1" applyNumberFormat="1">
      <alignment readingOrder="0"/>
    </xf>
    <xf borderId="3" fillId="0" fontId="6" numFmtId="4" xfId="0" applyAlignment="1" applyBorder="1" applyFont="1" applyNumberFormat="1">
      <alignment horizontal="left" vertical="center"/>
    </xf>
    <xf borderId="3" fillId="0" fontId="6" numFmtId="4" xfId="0" applyAlignment="1" applyBorder="1" applyFont="1" applyNumberFormat="1">
      <alignment vertical="center"/>
    </xf>
    <xf borderId="3" fillId="0" fontId="2" numFmtId="4" xfId="0" applyBorder="1" applyFont="1" applyNumberFormat="1"/>
    <xf borderId="3" fillId="5" fontId="10" numFmtId="4" xfId="0" applyAlignment="1" applyBorder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172" xfId="0" applyAlignment="1" applyFont="1" applyNumberFormat="1">
      <alignment horizontal="left" shrinkToFit="0" vertical="center" wrapText="1"/>
    </xf>
    <xf borderId="0" fillId="13" fontId="8" numFmtId="0" xfId="0" applyAlignment="1" applyFill="1" applyFont="1">
      <alignment horizontal="left" vertical="center"/>
    </xf>
    <xf borderId="0" fillId="13" fontId="8" numFmtId="0" xfId="0" applyAlignment="1" applyFont="1">
      <alignment horizontal="left" shrinkToFit="0" vertical="center" wrapText="1"/>
    </xf>
    <xf borderId="0" fillId="13" fontId="8" numFmtId="0" xfId="0" applyAlignment="1" applyFont="1">
      <alignment horizontal="center" shrinkToFit="0" vertical="center" wrapText="1"/>
    </xf>
    <xf borderId="0" fillId="13" fontId="8" numFmtId="0" xfId="0" applyAlignment="1" applyFont="1">
      <alignment horizontal="center" readingOrder="0" shrinkToFit="0" vertical="center" wrapText="1"/>
    </xf>
    <xf borderId="39" fillId="13" fontId="8" numFmtId="0" xfId="0" applyAlignment="1" applyBorder="1" applyFont="1">
      <alignment horizontal="center" shrinkToFit="0" vertical="center" wrapText="1"/>
    </xf>
    <xf borderId="40" fillId="13" fontId="8" numFmtId="0" xfId="0" applyAlignment="1" applyBorder="1" applyFont="1">
      <alignment horizontal="center" shrinkToFit="0" vertical="center" wrapText="1"/>
    </xf>
    <xf borderId="40" fillId="13" fontId="8" numFmtId="0" xfId="0" applyAlignment="1" applyBorder="1" applyFont="1">
      <alignment horizontal="left" shrinkToFit="0" vertical="center" wrapText="1"/>
    </xf>
    <xf borderId="41" fillId="13" fontId="8" numFmtId="0" xfId="0" applyAlignment="1" applyBorder="1" applyFont="1">
      <alignment horizontal="left" shrinkToFit="0" vertical="center" wrapText="1"/>
    </xf>
    <xf borderId="0" fillId="13" fontId="12" numFmtId="0" xfId="0" applyAlignment="1" applyFont="1">
      <alignment horizontal="center" readingOrder="0" shrinkToFit="0" vertical="center" wrapText="1"/>
    </xf>
    <xf borderId="0" fillId="13" fontId="12" numFmtId="0" xfId="0" applyAlignment="1" applyFont="1">
      <alignment horizontal="center" readingOrder="0" shrinkToFit="0" vertical="center" wrapText="1"/>
    </xf>
    <xf borderId="1" fillId="5" fontId="6" numFmtId="0" xfId="0" applyAlignment="1" applyBorder="1" applyFont="1">
      <alignment horizontal="left" vertical="center"/>
    </xf>
    <xf borderId="1" fillId="6" fontId="6" numFmtId="0" xfId="0" applyAlignment="1" applyBorder="1" applyFont="1">
      <alignment horizontal="left"/>
    </xf>
    <xf borderId="0" fillId="6" fontId="8" numFmtId="49" xfId="0" applyAlignment="1" applyFont="1" applyNumberFormat="1">
      <alignment horizontal="center" vertical="center"/>
    </xf>
    <xf borderId="0" fillId="6" fontId="8" numFmtId="4" xfId="0" applyAlignment="1" applyFont="1" applyNumberFormat="1">
      <alignment horizontal="center" readingOrder="0" vertical="center"/>
    </xf>
    <xf borderId="0" fillId="6" fontId="8" numFmtId="4" xfId="0" applyAlignment="1" applyFont="1" applyNumberFormat="1">
      <alignment horizontal="center" vertical="center"/>
    </xf>
    <xf borderId="0" fillId="6" fontId="8" numFmtId="4" xfId="0" applyAlignment="1" applyFont="1" applyNumberFormat="1">
      <alignment vertical="center"/>
    </xf>
    <xf borderId="0" fillId="6" fontId="8" numFmtId="4" xfId="0" applyAlignment="1" applyFont="1" applyNumberFormat="1">
      <alignment readingOrder="0" vertical="center"/>
    </xf>
    <xf borderId="1" fillId="14" fontId="8" numFmtId="0" xfId="0" applyAlignment="1" applyBorder="1" applyFill="1" applyFont="1">
      <alignment vertical="center"/>
    </xf>
    <xf borderId="0" fillId="14" fontId="8" numFmtId="49" xfId="0" applyAlignment="1" applyFont="1" applyNumberFormat="1">
      <alignment horizontal="center" vertical="center"/>
    </xf>
    <xf borderId="0" fillId="14" fontId="8" numFmtId="4" xfId="0" applyAlignment="1" applyFont="1" applyNumberFormat="1">
      <alignment horizontal="center" readingOrder="0" vertical="center"/>
    </xf>
    <xf borderId="0" fillId="14" fontId="8" numFmtId="4" xfId="0" applyAlignment="1" applyFont="1" applyNumberFormat="1">
      <alignment horizontal="center" vertical="center"/>
    </xf>
    <xf borderId="0" fillId="14" fontId="8" numFmtId="4" xfId="0" applyAlignment="1" applyFont="1" applyNumberFormat="1">
      <alignment vertical="center"/>
    </xf>
    <xf borderId="0" fillId="14" fontId="8" numFmtId="4" xfId="0" applyAlignment="1" applyFont="1" applyNumberFormat="1">
      <alignment readingOrder="0" vertical="center"/>
    </xf>
    <xf borderId="1" fillId="6" fontId="8" numFmtId="49" xfId="0" applyAlignment="1" applyBorder="1" applyFont="1" applyNumberFormat="1">
      <alignment vertical="center"/>
    </xf>
    <xf borderId="0" fillId="6" fontId="29" numFmtId="4" xfId="0" applyAlignment="1" applyFont="1" applyNumberFormat="1">
      <alignment horizontal="center" readingOrder="0" shrinkToFit="0" vertical="bottom" wrapText="0"/>
    </xf>
    <xf borderId="1" fillId="14" fontId="8" numFmtId="49" xfId="0" applyAlignment="1" applyBorder="1" applyFont="1" applyNumberFormat="1">
      <alignment vertical="center"/>
    </xf>
    <xf borderId="0" fillId="14" fontId="29" numFmtId="4" xfId="0" applyAlignment="1" applyFont="1" applyNumberFormat="1">
      <alignment horizontal="center" readingOrder="0" shrinkToFit="0" vertical="bottom" wrapText="0"/>
    </xf>
    <xf borderId="13" fillId="6" fontId="8" numFmtId="0" xfId="0" applyAlignment="1" applyBorder="1" applyFont="1">
      <alignment vertical="center"/>
    </xf>
    <xf borderId="0" fillId="14" fontId="8" numFmtId="49" xfId="0" applyAlignment="1" applyFont="1" applyNumberFormat="1">
      <alignment vertical="center"/>
    </xf>
    <xf borderId="0" fillId="6" fontId="8" numFmtId="49" xfId="0" applyAlignment="1" applyFont="1" applyNumberFormat="1">
      <alignment vertical="center"/>
    </xf>
    <xf borderId="0" fillId="14" fontId="8" numFmtId="0" xfId="0" applyAlignment="1" applyFont="1">
      <alignment vertical="center"/>
    </xf>
    <xf borderId="0" fillId="6" fontId="8" numFmtId="0" xfId="0" applyAlignment="1" applyFont="1">
      <alignment vertical="center"/>
    </xf>
    <xf borderId="42" fillId="14" fontId="8" numFmtId="49" xfId="0" applyAlignment="1" applyBorder="1" applyFont="1" applyNumberFormat="1">
      <alignment vertical="center"/>
    </xf>
    <xf borderId="1" fillId="6" fontId="8" numFmtId="0" xfId="0" applyAlignment="1" applyBorder="1" applyFont="1">
      <alignment vertical="center"/>
    </xf>
    <xf borderId="1" fillId="14" fontId="8" numFmtId="0" xfId="0" applyAlignment="1" applyBorder="1" applyFont="1">
      <alignment readingOrder="0" vertical="center"/>
    </xf>
    <xf borderId="1" fillId="6" fontId="8" numFmtId="0" xfId="0" applyAlignment="1" applyBorder="1" applyFont="1">
      <alignment readingOrder="0" vertical="center"/>
    </xf>
    <xf borderId="0" fillId="0" fontId="7" numFmtId="3" xfId="0" applyAlignment="1" applyFont="1" applyNumberFormat="1">
      <alignment readingOrder="0"/>
    </xf>
    <xf borderId="0" fillId="0" fontId="8" numFmtId="1" xfId="0" applyAlignment="1" applyFont="1" applyNumberFormat="1">
      <alignment horizontal="right"/>
    </xf>
    <xf borderId="0" fillId="0" fontId="8" numFmtId="165" xfId="0" applyFont="1" applyNumberFormat="1"/>
    <xf borderId="0" fillId="0" fontId="8" numFmtId="0" xfId="0" applyAlignment="1" applyFont="1">
      <alignment horizontal="center" vertical="center"/>
    </xf>
    <xf borderId="0" fillId="0" fontId="12" numFmtId="0" xfId="0" applyAlignment="1" applyFont="1">
      <alignment horizontal="left"/>
    </xf>
    <xf borderId="2" fillId="4" fontId="13" numFmtId="0" xfId="0" applyBorder="1" applyFont="1"/>
    <xf borderId="2" fillId="4" fontId="13" numFmtId="0" xfId="0" applyAlignment="1" applyBorder="1" applyFont="1">
      <alignment horizontal="left"/>
    </xf>
    <xf borderId="3" fillId="4" fontId="13" numFmtId="1" xfId="0" applyAlignment="1" applyBorder="1" applyFont="1" applyNumberFormat="1">
      <alignment horizontal="center"/>
    </xf>
    <xf borderId="25" fillId="4" fontId="13" numFmtId="165" xfId="0" applyAlignment="1" applyBorder="1" applyFont="1" applyNumberFormat="1">
      <alignment horizontal="center"/>
    </xf>
    <xf borderId="1" fillId="4" fontId="13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center"/>
    </xf>
    <xf borderId="3" fillId="5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vertical="center"/>
    </xf>
    <xf borderId="2" fillId="10" fontId="12" numFmtId="165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center"/>
    </xf>
    <xf borderId="15" fillId="0" fontId="24" numFmtId="171" xfId="0" applyAlignment="1" applyBorder="1" applyFont="1" applyNumberFormat="1">
      <alignment horizontal="center"/>
    </xf>
    <xf borderId="3" fillId="0" fontId="8" numFmtId="0" xfId="0" applyAlignment="1" applyBorder="1" applyFont="1">
      <alignment horizontal="left"/>
    </xf>
    <xf borderId="3" fillId="0" fontId="24" numFmtId="171" xfId="0" applyAlignment="1" applyBorder="1" applyFont="1" applyNumberFormat="1">
      <alignment horizontal="center"/>
    </xf>
    <xf borderId="3" fillId="10" fontId="12" numFmtId="165" xfId="0" applyAlignment="1" applyBorder="1" applyFont="1" applyNumberFormat="1">
      <alignment horizontal="right"/>
    </xf>
    <xf borderId="2" fillId="5" fontId="8" numFmtId="0" xfId="0" applyAlignment="1" applyBorder="1" applyFont="1">
      <alignment horizontal="left" vertical="center"/>
    </xf>
    <xf borderId="3" fillId="5" fontId="8" numFmtId="0" xfId="0" applyAlignment="1" applyBorder="1" applyFont="1">
      <alignment horizontal="left"/>
    </xf>
    <xf borderId="3" fillId="10" fontId="12" numFmtId="165" xfId="0" applyAlignment="1" applyBorder="1" applyFont="1" applyNumberFormat="1">
      <alignment horizontal="center" vertical="center"/>
    </xf>
    <xf borderId="0" fillId="0" fontId="12" numFmtId="3" xfId="0" applyAlignment="1" applyFont="1" applyNumberFormat="1">
      <alignment horizontal="right"/>
    </xf>
    <xf borderId="0" fillId="0" fontId="24" numFmtId="171" xfId="0" applyFont="1" applyNumberFormat="1"/>
    <xf borderId="15" fillId="0" fontId="8" numFmtId="0" xfId="0" applyAlignment="1" applyBorder="1" applyFont="1">
      <alignment vertical="center"/>
    </xf>
    <xf borderId="3" fillId="0" fontId="12" numFmtId="0" xfId="0" applyBorder="1" applyFont="1"/>
    <xf borderId="27" fillId="5" fontId="8" numFmtId="0" xfId="0" applyAlignment="1" applyBorder="1" applyFont="1">
      <alignment horizontal="left" vertical="center"/>
    </xf>
    <xf borderId="4" fillId="5" fontId="8" numFmtId="0" xfId="0" applyAlignment="1" applyBorder="1" applyFont="1">
      <alignment horizontal="left" vertical="center"/>
    </xf>
    <xf borderId="2" fillId="10" fontId="12" numFmtId="173" xfId="0" applyAlignment="1" applyBorder="1" applyFont="1" applyNumberFormat="1">
      <alignment horizontal="center" vertical="center"/>
    </xf>
    <xf borderId="3" fillId="5" fontId="8" numFmtId="0" xfId="0" applyAlignment="1" applyBorder="1" applyFont="1">
      <alignment horizontal="left" shrinkToFit="0" vertical="center" wrapText="1"/>
    </xf>
    <xf borderId="3" fillId="5" fontId="29" numFmtId="0" xfId="0" applyAlignment="1" applyBorder="1" applyFont="1">
      <alignment horizontal="left" shrinkToFit="0" vertical="center" wrapText="1"/>
    </xf>
    <xf borderId="27" fillId="5" fontId="29" numFmtId="0" xfId="0" applyAlignment="1" applyBorder="1" applyFont="1">
      <alignment horizontal="left"/>
    </xf>
    <xf borderId="3" fillId="10" fontId="12" numFmtId="173" xfId="0" applyAlignment="1" applyBorder="1" applyFont="1" applyNumberFormat="1">
      <alignment horizontal="center" vertical="center"/>
    </xf>
    <xf borderId="0" fillId="0" fontId="30" numFmtId="0" xfId="0" applyAlignment="1" applyFont="1">
      <alignment horizontal="center"/>
    </xf>
    <xf borderId="0" fillId="0" fontId="12" numFmtId="0" xfId="0" applyAlignment="1" applyFont="1">
      <alignment horizontal="center"/>
    </xf>
    <xf borderId="3" fillId="0" fontId="30" numFmtId="0" xfId="0" applyAlignment="1" applyBorder="1" applyFont="1">
      <alignment horizontal="center"/>
    </xf>
    <xf borderId="3" fillId="11" fontId="31" numFmtId="0" xfId="0" applyAlignment="1" applyBorder="1" applyFont="1">
      <alignment horizontal="center"/>
    </xf>
    <xf quotePrefix="1" borderId="3" fillId="0" fontId="22" numFmtId="0" xfId="0" applyAlignment="1" applyBorder="1" applyFont="1">
      <alignment horizontal="center"/>
    </xf>
    <xf borderId="3" fillId="0" fontId="32" numFmtId="0" xfId="0" applyAlignment="1" applyBorder="1" applyFont="1">
      <alignment horizontal="center"/>
    </xf>
    <xf borderId="19" fillId="0" fontId="32" numFmtId="0" xfId="0" applyAlignment="1" applyBorder="1" applyFont="1">
      <alignment horizontal="center"/>
    </xf>
    <xf borderId="27" fillId="15" fontId="32" numFmtId="0" xfId="0" applyAlignment="1" applyBorder="1" applyFill="1" applyFont="1">
      <alignment horizontal="center"/>
    </xf>
    <xf borderId="19" fillId="0" fontId="32" numFmtId="0" xfId="0" applyAlignment="1" applyBorder="1" applyFont="1">
      <alignment horizontal="right"/>
    </xf>
    <xf borderId="19" fillId="0" fontId="33" numFmtId="0" xfId="0" applyAlignment="1" applyBorder="1" applyFont="1">
      <alignment horizontal="center"/>
    </xf>
    <xf borderId="27" fillId="6" fontId="33" numFmtId="0" xfId="0" applyAlignment="1" applyBorder="1" applyFont="1">
      <alignment horizontal="center"/>
    </xf>
    <xf borderId="27" fillId="15" fontId="34" numFmtId="0" xfId="0" applyAlignment="1" applyBorder="1" applyFont="1">
      <alignment horizontal="center"/>
    </xf>
    <xf borderId="3" fillId="0" fontId="22" numFmtId="0" xfId="0" applyAlignment="1" applyBorder="1" applyFont="1">
      <alignment horizontal="center"/>
    </xf>
    <xf borderId="6" fillId="0" fontId="32" numFmtId="0" xfId="0" applyAlignment="1" applyBorder="1" applyFont="1">
      <alignment horizontal="center"/>
    </xf>
    <xf borderId="5" fillId="0" fontId="32" numFmtId="0" xfId="0" applyAlignment="1" applyBorder="1" applyFont="1">
      <alignment horizontal="center"/>
    </xf>
    <xf borderId="7" fillId="15" fontId="32" numFmtId="0" xfId="0" applyAlignment="1" applyBorder="1" applyFont="1">
      <alignment horizontal="center"/>
    </xf>
    <xf borderId="5" fillId="0" fontId="33" numFmtId="0" xfId="0" applyBorder="1" applyFont="1"/>
    <xf borderId="5" fillId="0" fontId="33" numFmtId="0" xfId="0" applyAlignment="1" applyBorder="1" applyFont="1">
      <alignment horizontal="center"/>
    </xf>
    <xf borderId="7" fillId="6" fontId="33" numFmtId="0" xfId="0" applyAlignment="1" applyBorder="1" applyFont="1">
      <alignment horizontal="center"/>
    </xf>
    <xf borderId="7" fillId="15" fontId="34" numFmtId="0" xfId="0" applyAlignment="1" applyBorder="1" applyFont="1">
      <alignment horizontal="center"/>
    </xf>
    <xf borderId="5" fillId="0" fontId="33" numFmtId="0" xfId="0" applyAlignment="1" applyBorder="1" applyFont="1">
      <alignment horizontal="right"/>
    </xf>
  </cellXfs>
  <cellStyles count="1">
    <cellStyle xfId="0" name="Normal" builtinId="0"/>
  </cellStyles>
  <dxfs count="5">
    <dxf>
      <font>
        <b/>
        <color theme="1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28575</xdr:rowOff>
    </xdr:from>
    <xdr:ext cx="86677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</xdr:rowOff>
    </xdr:from>
    <xdr:ext cx="86677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9525</xdr:rowOff>
    </xdr:from>
    <xdr:ext cx="88582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85725</xdr:rowOff>
    </xdr:from>
    <xdr:ext cx="733425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28</xdr:row>
      <xdr:rowOff>114300</xdr:rowOff>
    </xdr:from>
    <xdr:ext cx="695325" cy="47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19050</xdr:rowOff>
    </xdr:from>
    <xdr:ext cx="5619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19050</xdr:rowOff>
    </xdr:from>
    <xdr:ext cx="561975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38100</xdr:rowOff>
    </xdr:from>
    <xdr:ext cx="8572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Inter"/>
        <a:ea typeface="Inter"/>
        <a:cs typeface="Inter"/>
      </a:majorFont>
      <a:minorFont>
        <a:latin typeface="Inter"/>
        <a:ea typeface="Inter"/>
        <a:cs typeface="Int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hidden="1" min="2" max="2" width="10.14"/>
    <col customWidth="1" min="3" max="3" width="10.14"/>
    <col customWidth="1" min="4" max="4" width="40.86"/>
    <col customWidth="1" min="5" max="5" width="11.29"/>
    <col customWidth="1" hidden="1" min="6" max="6" width="7.43"/>
    <col customWidth="1" min="7" max="7" width="18.57"/>
    <col customWidth="1" min="8" max="8" width="16.43"/>
    <col customWidth="1" min="9" max="10" width="24.86"/>
    <col customWidth="1" min="11" max="11" width="27.86"/>
  </cols>
  <sheetData>
    <row r="1" ht="12.75" customHeight="1">
      <c r="A1" s="1" t="s">
        <v>0</v>
      </c>
      <c r="B1" s="2"/>
      <c r="C1" s="3"/>
      <c r="D1" s="4"/>
      <c r="E1" s="5"/>
      <c r="F1" s="6"/>
      <c r="G1" s="6"/>
      <c r="H1" s="7"/>
      <c r="I1" s="8" t="s">
        <v>1</v>
      </c>
      <c r="J1" s="8"/>
      <c r="K1" s="9"/>
    </row>
    <row r="2" ht="12.75" customHeight="1">
      <c r="A2" s="1"/>
      <c r="B2" s="2"/>
      <c r="C2" s="3"/>
      <c r="D2" s="4"/>
      <c r="E2" s="5"/>
      <c r="F2" s="6"/>
      <c r="G2" s="6"/>
      <c r="H2" s="7"/>
      <c r="I2" s="10"/>
      <c r="J2" s="8" t="s">
        <v>2</v>
      </c>
      <c r="K2" s="9"/>
    </row>
    <row r="3" ht="12.75" customHeight="1">
      <c r="A3" s="1"/>
      <c r="B3" s="2"/>
      <c r="C3" s="3"/>
      <c r="D3" s="4"/>
      <c r="E3" s="5"/>
      <c r="F3" s="6"/>
      <c r="G3" s="6"/>
      <c r="H3" s="7"/>
      <c r="I3" s="11"/>
      <c r="J3" s="8" t="s">
        <v>3</v>
      </c>
      <c r="K3" s="9"/>
    </row>
    <row r="4" ht="12.75" customHeight="1">
      <c r="A4" s="12"/>
      <c r="B4" s="8"/>
      <c r="C4" s="7"/>
      <c r="D4" s="7"/>
      <c r="E4" s="5"/>
      <c r="F4" s="6"/>
      <c r="G4" s="6"/>
      <c r="H4" s="7"/>
      <c r="I4" s="8"/>
      <c r="J4" s="8"/>
      <c r="K4" s="9"/>
    </row>
    <row r="5" ht="12.75" customHeight="1">
      <c r="A5" s="13" t="s">
        <v>4</v>
      </c>
      <c r="B5" s="14" t="s">
        <v>5</v>
      </c>
      <c r="C5" s="15" t="s">
        <v>6</v>
      </c>
      <c r="D5" s="15" t="s">
        <v>7</v>
      </c>
      <c r="E5" s="16" t="s">
        <v>8</v>
      </c>
      <c r="F5" s="17" t="s">
        <v>9</v>
      </c>
      <c r="G5" s="18" t="s">
        <v>10</v>
      </c>
      <c r="H5" s="19" t="s">
        <v>11</v>
      </c>
      <c r="I5" s="14" t="s">
        <v>12</v>
      </c>
      <c r="J5" s="14" t="s">
        <v>13</v>
      </c>
      <c r="K5" s="20" t="s">
        <v>14</v>
      </c>
    </row>
    <row r="6" ht="12.75" customHeight="1">
      <c r="A6" s="21"/>
      <c r="B6" s="22"/>
      <c r="C6" s="23"/>
      <c r="D6" s="24" t="s">
        <v>15</v>
      </c>
      <c r="E6" s="25"/>
      <c r="F6" s="26"/>
      <c r="G6" s="27"/>
      <c r="H6" s="28"/>
      <c r="I6" s="22"/>
      <c r="J6" s="22"/>
      <c r="K6" s="29"/>
    </row>
    <row r="7" ht="15.75" customHeight="1">
      <c r="A7" s="30">
        <v>45810.0</v>
      </c>
      <c r="B7" s="31"/>
      <c r="C7" s="32" t="s">
        <v>16</v>
      </c>
      <c r="D7" s="33" t="s">
        <v>17</v>
      </c>
      <c r="E7" s="34">
        <v>500.0</v>
      </c>
      <c r="F7" s="31"/>
      <c r="G7" s="35" t="s">
        <v>18</v>
      </c>
      <c r="H7" s="31"/>
      <c r="I7" s="36"/>
      <c r="J7" s="37" t="s">
        <v>19</v>
      </c>
      <c r="K7" s="38" t="s">
        <v>20</v>
      </c>
    </row>
    <row r="8" ht="15.75" customHeight="1">
      <c r="A8" s="31"/>
      <c r="B8" s="31"/>
      <c r="C8" s="32" t="s">
        <v>21</v>
      </c>
      <c r="D8" s="33" t="s">
        <v>22</v>
      </c>
      <c r="E8" s="34">
        <v>500.0</v>
      </c>
      <c r="F8" s="31"/>
      <c r="G8" s="39"/>
      <c r="H8" s="31"/>
      <c r="I8" s="36"/>
      <c r="J8" s="37" t="s">
        <v>23</v>
      </c>
      <c r="K8" s="38" t="s">
        <v>24</v>
      </c>
    </row>
    <row r="9" ht="15.75" customHeight="1">
      <c r="A9" s="31"/>
      <c r="B9" s="31"/>
      <c r="C9" s="40"/>
      <c r="D9" s="41"/>
      <c r="E9" s="42"/>
      <c r="F9" s="31"/>
      <c r="G9" s="39"/>
      <c r="H9" s="31"/>
      <c r="I9" s="36"/>
      <c r="J9" s="36"/>
      <c r="K9" s="43"/>
    </row>
    <row r="10" ht="15.75" customHeight="1">
      <c r="A10" s="30">
        <v>45812.0</v>
      </c>
      <c r="B10" s="31"/>
      <c r="C10" s="44" t="s">
        <v>25</v>
      </c>
      <c r="D10" s="45" t="s">
        <v>26</v>
      </c>
      <c r="E10" s="34">
        <v>4375.0</v>
      </c>
      <c r="F10" s="46">
        <f t="shared" ref="F10:F12" si="1">E10/25</f>
        <v>175</v>
      </c>
      <c r="G10" s="35" t="s">
        <v>27</v>
      </c>
      <c r="H10" s="47" t="s">
        <v>28</v>
      </c>
      <c r="I10" s="36"/>
      <c r="J10" s="37" t="s">
        <v>29</v>
      </c>
      <c r="K10" s="38" t="s">
        <v>30</v>
      </c>
    </row>
    <row r="11" ht="15.75" customHeight="1">
      <c r="A11" s="31"/>
      <c r="B11" s="31"/>
      <c r="C11" s="44" t="s">
        <v>31</v>
      </c>
      <c r="D11" s="45" t="s">
        <v>32</v>
      </c>
      <c r="E11" s="34">
        <f>1875+400</f>
        <v>2275</v>
      </c>
      <c r="F11" s="46">
        <f t="shared" si="1"/>
        <v>91</v>
      </c>
      <c r="G11" s="39"/>
      <c r="H11" s="31"/>
      <c r="I11" s="36"/>
      <c r="J11" s="37" t="s">
        <v>29</v>
      </c>
      <c r="K11" s="38" t="s">
        <v>30</v>
      </c>
    </row>
    <row r="12" ht="15.75" customHeight="1">
      <c r="A12" s="31"/>
      <c r="B12" s="31"/>
      <c r="C12" s="48" t="s">
        <v>33</v>
      </c>
      <c r="D12" s="49" t="s">
        <v>34</v>
      </c>
      <c r="E12" s="34">
        <v>850.0</v>
      </c>
      <c r="F12" s="46">
        <f t="shared" si="1"/>
        <v>34</v>
      </c>
      <c r="G12" s="39"/>
      <c r="H12" s="31"/>
      <c r="I12" s="36"/>
      <c r="J12" s="37" t="s">
        <v>29</v>
      </c>
      <c r="K12" s="38" t="s">
        <v>30</v>
      </c>
    </row>
    <row r="13" ht="15.75" customHeight="1">
      <c r="A13" s="31"/>
      <c r="B13" s="31"/>
      <c r="C13" s="40"/>
      <c r="D13" s="41"/>
      <c r="E13" s="42"/>
      <c r="F13" s="31"/>
      <c r="G13" s="39"/>
      <c r="H13" s="31"/>
      <c r="I13" s="36"/>
      <c r="J13" s="36"/>
      <c r="K13" s="43"/>
    </row>
    <row r="14" ht="15.75" customHeight="1">
      <c r="A14" s="30">
        <v>45812.0</v>
      </c>
      <c r="B14" s="31"/>
      <c r="C14" s="44" t="s">
        <v>25</v>
      </c>
      <c r="D14" s="45" t="s">
        <v>26</v>
      </c>
      <c r="E14" s="34">
        <v>3690.0</v>
      </c>
      <c r="F14" s="46">
        <f t="shared" ref="F14:F16" si="2">E14/30</f>
        <v>123</v>
      </c>
      <c r="G14" s="35" t="s">
        <v>35</v>
      </c>
      <c r="H14" s="47" t="s">
        <v>36</v>
      </c>
      <c r="I14" s="36"/>
      <c r="J14" s="37" t="s">
        <v>37</v>
      </c>
      <c r="K14" s="38" t="s">
        <v>38</v>
      </c>
    </row>
    <row r="15" ht="15.75" customHeight="1">
      <c r="A15" s="31"/>
      <c r="B15" s="31"/>
      <c r="C15" s="44" t="s">
        <v>31</v>
      </c>
      <c r="D15" s="45" t="s">
        <v>32</v>
      </c>
      <c r="E15" s="34">
        <v>1950.0</v>
      </c>
      <c r="F15" s="46">
        <f t="shared" si="2"/>
        <v>65</v>
      </c>
      <c r="G15" s="39"/>
      <c r="H15" s="31"/>
      <c r="I15" s="36"/>
      <c r="J15" s="37" t="s">
        <v>37</v>
      </c>
      <c r="K15" s="38" t="s">
        <v>38</v>
      </c>
    </row>
    <row r="16" ht="15.75" customHeight="1">
      <c r="A16" s="31"/>
      <c r="B16" s="31"/>
      <c r="C16" s="44" t="s">
        <v>39</v>
      </c>
      <c r="D16" s="45" t="s">
        <v>40</v>
      </c>
      <c r="E16" s="34">
        <v>9900.0</v>
      </c>
      <c r="F16" s="46">
        <f t="shared" si="2"/>
        <v>330</v>
      </c>
      <c r="G16" s="39"/>
      <c r="H16" s="31"/>
      <c r="I16" s="36"/>
      <c r="J16" s="37" t="s">
        <v>37</v>
      </c>
      <c r="K16" s="38" t="s">
        <v>38</v>
      </c>
    </row>
    <row r="17" ht="15.75" customHeight="1">
      <c r="A17" s="31"/>
      <c r="B17" s="31"/>
      <c r="C17" s="40"/>
      <c r="D17" s="41"/>
      <c r="E17" s="42"/>
      <c r="F17" s="31"/>
      <c r="G17" s="39"/>
      <c r="H17" s="31"/>
      <c r="I17" s="36"/>
      <c r="J17" s="36"/>
      <c r="K17" s="43"/>
    </row>
    <row r="18" ht="15.75" customHeight="1">
      <c r="A18" s="30">
        <v>45814.0</v>
      </c>
      <c r="B18" s="31"/>
      <c r="C18" s="44" t="s">
        <v>41</v>
      </c>
      <c r="D18" s="45" t="s">
        <v>42</v>
      </c>
      <c r="E18" s="34">
        <v>17500.0</v>
      </c>
      <c r="F18" s="46">
        <f>E18/25</f>
        <v>700</v>
      </c>
      <c r="G18" s="35" t="s">
        <v>43</v>
      </c>
      <c r="H18" s="47" t="s">
        <v>44</v>
      </c>
      <c r="I18" s="36"/>
      <c r="J18" s="50" t="s">
        <v>45</v>
      </c>
      <c r="K18" s="38" t="s">
        <v>46</v>
      </c>
    </row>
    <row r="19" ht="15.75" customHeight="1">
      <c r="A19" s="31"/>
      <c r="B19" s="31"/>
      <c r="C19" s="40"/>
      <c r="D19" s="41"/>
      <c r="E19" s="42"/>
      <c r="F19" s="31"/>
      <c r="G19" s="39"/>
      <c r="H19" s="31"/>
      <c r="I19" s="36"/>
      <c r="J19" s="36"/>
      <c r="K19" s="43"/>
    </row>
    <row r="20" ht="15.75" customHeight="1">
      <c r="A20" s="30">
        <v>45814.0</v>
      </c>
      <c r="B20" s="31"/>
      <c r="C20" s="44" t="s">
        <v>47</v>
      </c>
      <c r="D20" s="44" t="s">
        <v>48</v>
      </c>
      <c r="E20" s="34">
        <v>10000.0</v>
      </c>
      <c r="F20" s="46">
        <f t="shared" ref="F20:F21" si="3">E20/25</f>
        <v>400</v>
      </c>
      <c r="G20" s="35" t="s">
        <v>43</v>
      </c>
      <c r="H20" s="47" t="s">
        <v>49</v>
      </c>
      <c r="I20" s="36"/>
      <c r="J20" s="50" t="s">
        <v>50</v>
      </c>
      <c r="K20" s="38" t="s">
        <v>51</v>
      </c>
    </row>
    <row r="21" ht="15.75" customHeight="1">
      <c r="A21" s="31"/>
      <c r="B21" s="31"/>
      <c r="C21" s="44" t="s">
        <v>41</v>
      </c>
      <c r="D21" s="45" t="s">
        <v>42</v>
      </c>
      <c r="E21" s="34">
        <v>7500.0</v>
      </c>
      <c r="F21" s="46">
        <f t="shared" si="3"/>
        <v>300</v>
      </c>
      <c r="G21" s="35" t="s">
        <v>43</v>
      </c>
      <c r="H21" s="31"/>
      <c r="I21" s="36"/>
      <c r="J21" s="50" t="s">
        <v>45</v>
      </c>
      <c r="K21" s="38" t="s">
        <v>52</v>
      </c>
    </row>
    <row r="22" ht="15.75" customHeight="1">
      <c r="A22" s="31"/>
      <c r="B22" s="31"/>
      <c r="C22" s="40"/>
      <c r="D22" s="41"/>
      <c r="E22" s="42"/>
      <c r="F22" s="31"/>
      <c r="G22" s="39"/>
      <c r="H22" s="31"/>
      <c r="I22" s="36"/>
      <c r="J22" s="36"/>
      <c r="K22" s="43"/>
    </row>
    <row r="23" ht="15.75" customHeight="1">
      <c r="A23" s="30">
        <v>45814.0</v>
      </c>
      <c r="B23" s="31"/>
      <c r="C23" s="51" t="s">
        <v>53</v>
      </c>
      <c r="D23" s="52" t="s">
        <v>54</v>
      </c>
      <c r="E23" s="34">
        <v>17500.0</v>
      </c>
      <c r="F23" s="46">
        <f>E23/25</f>
        <v>700</v>
      </c>
      <c r="G23" s="35" t="s">
        <v>43</v>
      </c>
      <c r="H23" s="47" t="s">
        <v>55</v>
      </c>
      <c r="I23" s="36"/>
      <c r="J23" s="50" t="s">
        <v>56</v>
      </c>
      <c r="K23" s="38" t="s">
        <v>57</v>
      </c>
    </row>
    <row r="24" ht="15.75" customHeight="1">
      <c r="A24" s="31"/>
      <c r="B24" s="31"/>
      <c r="C24" s="40"/>
      <c r="D24" s="41"/>
      <c r="E24" s="42"/>
      <c r="F24" s="31"/>
      <c r="G24" s="39"/>
      <c r="H24" s="31"/>
      <c r="I24" s="36"/>
      <c r="J24" s="36"/>
      <c r="K24" s="43"/>
    </row>
    <row r="25" ht="15.75" customHeight="1">
      <c r="A25" s="30">
        <v>45815.0</v>
      </c>
      <c r="B25" s="31"/>
      <c r="C25" s="44" t="s">
        <v>41</v>
      </c>
      <c r="D25" s="45" t="s">
        <v>42</v>
      </c>
      <c r="E25" s="34">
        <v>17500.0</v>
      </c>
      <c r="F25" s="46">
        <f>E25/25</f>
        <v>700</v>
      </c>
      <c r="G25" s="35" t="s">
        <v>43</v>
      </c>
      <c r="H25" s="47" t="s">
        <v>58</v>
      </c>
      <c r="I25" s="36"/>
      <c r="J25" s="50" t="s">
        <v>45</v>
      </c>
      <c r="K25" s="38" t="s">
        <v>59</v>
      </c>
    </row>
    <row r="26" ht="15.75" customHeight="1">
      <c r="A26" s="31"/>
      <c r="B26" s="31"/>
      <c r="C26" s="40"/>
      <c r="D26" s="41"/>
      <c r="E26" s="42"/>
      <c r="F26" s="31"/>
      <c r="G26" s="39"/>
      <c r="H26" s="31"/>
      <c r="I26" s="36"/>
      <c r="J26" s="36"/>
      <c r="K26" s="43"/>
    </row>
    <row r="27" ht="15.75" customHeight="1">
      <c r="A27" s="30">
        <v>45817.0</v>
      </c>
      <c r="B27" s="31"/>
      <c r="C27" s="32" t="s">
        <v>16</v>
      </c>
      <c r="D27" s="33" t="s">
        <v>17</v>
      </c>
      <c r="E27" s="34">
        <v>500.0</v>
      </c>
      <c r="F27" s="31"/>
      <c r="G27" s="35" t="s">
        <v>18</v>
      </c>
      <c r="H27" s="31"/>
      <c r="I27" s="36"/>
      <c r="J27" s="37" t="s">
        <v>23</v>
      </c>
      <c r="K27" s="38" t="s">
        <v>60</v>
      </c>
    </row>
    <row r="28" ht="15.75" customHeight="1">
      <c r="A28" s="31"/>
      <c r="B28" s="31"/>
      <c r="C28" s="32" t="s">
        <v>21</v>
      </c>
      <c r="D28" s="33" t="s">
        <v>22</v>
      </c>
      <c r="E28" s="34">
        <v>500.0</v>
      </c>
      <c r="F28" s="31"/>
      <c r="G28" s="39"/>
      <c r="H28" s="31"/>
      <c r="I28" s="36"/>
      <c r="J28" s="37" t="s">
        <v>23</v>
      </c>
      <c r="K28" s="38" t="s">
        <v>60</v>
      </c>
    </row>
    <row r="29" ht="15.75" customHeight="1">
      <c r="A29" s="31"/>
      <c r="B29" s="31"/>
      <c r="C29" s="53"/>
      <c r="D29" s="54"/>
      <c r="E29" s="42"/>
      <c r="F29" s="31"/>
      <c r="G29" s="39"/>
      <c r="H29" s="31"/>
      <c r="I29" s="36"/>
      <c r="J29" s="36"/>
      <c r="K29" s="43"/>
    </row>
    <row r="30" ht="15.75" customHeight="1">
      <c r="A30" s="30">
        <v>45817.0</v>
      </c>
      <c r="B30" s="31"/>
      <c r="C30" s="51" t="s">
        <v>61</v>
      </c>
      <c r="D30" s="52" t="s">
        <v>62</v>
      </c>
      <c r="E30" s="34">
        <v>17500.0</v>
      </c>
      <c r="F30" s="31"/>
      <c r="G30" s="35" t="s">
        <v>43</v>
      </c>
      <c r="H30" s="47" t="s">
        <v>63</v>
      </c>
      <c r="I30" s="36"/>
      <c r="J30" s="37" t="s">
        <v>64</v>
      </c>
      <c r="K30" s="38" t="s">
        <v>65</v>
      </c>
    </row>
    <row r="31" ht="15.75" customHeight="1">
      <c r="A31" s="31"/>
      <c r="B31" s="31"/>
      <c r="C31" s="53"/>
      <c r="D31" s="54"/>
      <c r="E31" s="42"/>
      <c r="F31" s="31"/>
      <c r="G31" s="39"/>
      <c r="H31" s="31"/>
      <c r="I31" s="36"/>
      <c r="J31" s="36"/>
      <c r="K31" s="43"/>
    </row>
    <row r="32" ht="15.75" customHeight="1">
      <c r="A32" s="55">
        <v>45819.0</v>
      </c>
      <c r="B32" s="31"/>
      <c r="C32" s="44" t="s">
        <v>25</v>
      </c>
      <c r="D32" s="45" t="s">
        <v>26</v>
      </c>
      <c r="E32" s="34">
        <v>7230.0</v>
      </c>
      <c r="F32" s="31"/>
      <c r="G32" s="35" t="s">
        <v>43</v>
      </c>
      <c r="H32" s="47" t="s">
        <v>66</v>
      </c>
      <c r="I32" s="36"/>
      <c r="J32" s="37" t="s">
        <v>67</v>
      </c>
      <c r="K32" s="38" t="s">
        <v>68</v>
      </c>
    </row>
    <row r="33" ht="15.75" customHeight="1">
      <c r="A33" s="31"/>
      <c r="B33" s="31"/>
      <c r="C33" s="44" t="s">
        <v>39</v>
      </c>
      <c r="D33" s="45" t="s">
        <v>40</v>
      </c>
      <c r="E33" s="34">
        <v>1290.0</v>
      </c>
      <c r="F33" s="31"/>
      <c r="G33" s="39"/>
      <c r="H33" s="31"/>
      <c r="I33" s="36"/>
      <c r="J33" s="37" t="s">
        <v>67</v>
      </c>
      <c r="K33" s="38" t="s">
        <v>68</v>
      </c>
    </row>
    <row r="34" ht="15.75" customHeight="1">
      <c r="A34" s="31"/>
      <c r="B34" s="31"/>
      <c r="C34" s="32" t="s">
        <v>69</v>
      </c>
      <c r="D34" s="56" t="s">
        <v>70</v>
      </c>
      <c r="E34" s="34">
        <v>93000.0</v>
      </c>
      <c r="F34" s="31"/>
      <c r="G34" s="35" t="s">
        <v>71</v>
      </c>
      <c r="H34" s="31"/>
      <c r="I34" s="37">
        <v>5041.0</v>
      </c>
      <c r="J34" s="37" t="s">
        <v>72</v>
      </c>
      <c r="K34" s="38" t="s">
        <v>73</v>
      </c>
    </row>
    <row r="35" ht="15.75" customHeight="1">
      <c r="A35" s="31"/>
      <c r="B35" s="31"/>
      <c r="C35" s="32" t="s">
        <v>74</v>
      </c>
      <c r="D35" s="56" t="s">
        <v>75</v>
      </c>
      <c r="E35" s="34">
        <v>111200.0</v>
      </c>
      <c r="F35" s="31"/>
      <c r="G35" s="39"/>
      <c r="H35" s="31"/>
      <c r="I35" s="37">
        <v>5041.0</v>
      </c>
      <c r="J35" s="37" t="s">
        <v>76</v>
      </c>
      <c r="K35" s="38" t="s">
        <v>77</v>
      </c>
    </row>
    <row r="36" ht="15.75" customHeight="1">
      <c r="A36" s="31"/>
      <c r="B36" s="31"/>
      <c r="C36" s="53"/>
      <c r="D36" s="54"/>
      <c r="E36" s="42"/>
      <c r="F36" s="31"/>
      <c r="G36" s="39"/>
      <c r="H36" s="31"/>
      <c r="I36" s="36"/>
      <c r="J36" s="36"/>
      <c r="K36" s="43"/>
    </row>
    <row r="37" ht="15.75" customHeight="1">
      <c r="A37" s="30">
        <v>45819.0</v>
      </c>
      <c r="B37" s="31"/>
      <c r="C37" s="45" t="s">
        <v>25</v>
      </c>
      <c r="D37" s="45" t="s">
        <v>26</v>
      </c>
      <c r="E37" s="34">
        <v>4800.0</v>
      </c>
      <c r="F37" s="31"/>
      <c r="G37" s="35" t="s">
        <v>43</v>
      </c>
      <c r="H37" s="47" t="s">
        <v>78</v>
      </c>
      <c r="I37" s="36"/>
      <c r="J37" s="37" t="s">
        <v>67</v>
      </c>
      <c r="K37" s="38" t="s">
        <v>68</v>
      </c>
    </row>
    <row r="38" ht="15.75" customHeight="1">
      <c r="A38" s="31"/>
      <c r="B38" s="31"/>
      <c r="C38" s="45" t="s">
        <v>39</v>
      </c>
      <c r="D38" s="45" t="s">
        <v>40</v>
      </c>
      <c r="E38" s="34">
        <v>1200.0</v>
      </c>
      <c r="F38" s="31"/>
      <c r="G38" s="35" t="s">
        <v>43</v>
      </c>
      <c r="H38" s="31"/>
      <c r="I38" s="36"/>
      <c r="J38" s="37" t="s">
        <v>67</v>
      </c>
      <c r="K38" s="38" t="s">
        <v>68</v>
      </c>
    </row>
    <row r="39" ht="15.75" customHeight="1">
      <c r="A39" s="31"/>
      <c r="B39" s="31"/>
      <c r="C39" s="48" t="s">
        <v>74</v>
      </c>
      <c r="D39" s="49" t="s">
        <v>75</v>
      </c>
      <c r="E39" s="34">
        <v>125600.0</v>
      </c>
      <c r="F39" s="31"/>
      <c r="G39" s="35" t="s">
        <v>71</v>
      </c>
      <c r="H39" s="31"/>
      <c r="I39" s="36"/>
      <c r="J39" s="37" t="s">
        <v>79</v>
      </c>
      <c r="K39" s="38" t="s">
        <v>80</v>
      </c>
      <c r="L39" s="57" t="s">
        <v>81</v>
      </c>
      <c r="M39" s="57" t="s">
        <v>82</v>
      </c>
      <c r="N39" s="57" t="s">
        <v>83</v>
      </c>
    </row>
    <row r="40" ht="15.75" customHeight="1">
      <c r="A40" s="31"/>
      <c r="B40" s="31"/>
      <c r="C40" s="48" t="s">
        <v>84</v>
      </c>
      <c r="D40" s="58" t="s">
        <v>85</v>
      </c>
      <c r="E40" s="34">
        <v>1000.0</v>
      </c>
      <c r="F40" s="31"/>
      <c r="G40" s="35" t="s">
        <v>43</v>
      </c>
      <c r="H40" s="31"/>
      <c r="I40" s="36"/>
      <c r="J40" s="37" t="s">
        <v>86</v>
      </c>
      <c r="K40" s="38" t="s">
        <v>87</v>
      </c>
    </row>
    <row r="41" ht="15.75" customHeight="1">
      <c r="A41" s="31"/>
      <c r="B41" s="31"/>
      <c r="C41" s="48" t="s">
        <v>88</v>
      </c>
      <c r="D41" s="59" t="s">
        <v>89</v>
      </c>
      <c r="E41" s="34">
        <v>1000.0</v>
      </c>
      <c r="F41" s="31"/>
      <c r="G41" s="35" t="s">
        <v>90</v>
      </c>
      <c r="H41" s="31"/>
      <c r="I41" s="36"/>
      <c r="J41" s="37" t="s">
        <v>86</v>
      </c>
      <c r="K41" s="38" t="s">
        <v>87</v>
      </c>
    </row>
    <row r="42" ht="15.75" customHeight="1">
      <c r="A42" s="31"/>
      <c r="B42" s="31"/>
      <c r="C42" s="32" t="s">
        <v>91</v>
      </c>
      <c r="D42" s="60" t="s">
        <v>92</v>
      </c>
      <c r="E42" s="34">
        <v>20000.0</v>
      </c>
      <c r="F42" s="31"/>
      <c r="G42" s="35" t="s">
        <v>93</v>
      </c>
      <c r="H42" s="31"/>
      <c r="J42" s="37" t="s">
        <v>94</v>
      </c>
      <c r="K42" s="38" t="s">
        <v>95</v>
      </c>
    </row>
    <row r="43" ht="15.75" customHeight="1">
      <c r="A43" s="31"/>
      <c r="B43" s="31"/>
      <c r="C43" s="53"/>
      <c r="D43" s="54"/>
      <c r="E43" s="42"/>
      <c r="F43" s="31"/>
      <c r="G43" s="39"/>
      <c r="H43" s="31"/>
      <c r="I43" s="36"/>
      <c r="J43" s="36"/>
      <c r="K43" s="43"/>
    </row>
    <row r="44" ht="15.75" customHeight="1">
      <c r="A44" s="30">
        <v>45819.0</v>
      </c>
      <c r="B44" s="31"/>
      <c r="C44" s="61" t="s">
        <v>96</v>
      </c>
      <c r="D44" s="52" t="s">
        <v>97</v>
      </c>
      <c r="E44" s="34">
        <v>17500.0</v>
      </c>
      <c r="F44" s="31"/>
      <c r="G44" s="35" t="s">
        <v>43</v>
      </c>
      <c r="H44" s="47" t="s">
        <v>98</v>
      </c>
      <c r="I44" s="36"/>
      <c r="J44" s="37" t="s">
        <v>99</v>
      </c>
      <c r="K44" s="38" t="s">
        <v>100</v>
      </c>
    </row>
    <row r="45" ht="15.75" customHeight="1">
      <c r="A45" s="31"/>
      <c r="B45" s="31"/>
      <c r="C45" s="53"/>
      <c r="D45" s="54"/>
      <c r="E45" s="42"/>
      <c r="F45" s="31"/>
      <c r="G45" s="39"/>
      <c r="H45" s="31"/>
      <c r="I45" s="36"/>
      <c r="J45" s="36"/>
      <c r="K45" s="43"/>
    </row>
    <row r="46" ht="15.75" customHeight="1">
      <c r="A46" s="30">
        <v>45820.0</v>
      </c>
      <c r="B46" s="31"/>
      <c r="C46" s="51" t="s">
        <v>101</v>
      </c>
      <c r="D46" s="52" t="s">
        <v>102</v>
      </c>
      <c r="E46" s="62">
        <f>450</f>
        <v>450</v>
      </c>
      <c r="F46" s="31"/>
      <c r="G46" s="35" t="s">
        <v>103</v>
      </c>
      <c r="H46" s="47" t="s">
        <v>104</v>
      </c>
      <c r="I46" s="36"/>
      <c r="J46" s="37" t="s">
        <v>105</v>
      </c>
      <c r="K46" s="38" t="s">
        <v>106</v>
      </c>
    </row>
    <row r="47" ht="15.75" customHeight="1">
      <c r="A47" s="31"/>
      <c r="B47" s="31"/>
      <c r="C47" s="40"/>
      <c r="D47" s="41"/>
      <c r="E47" s="42"/>
      <c r="F47" s="31"/>
      <c r="G47" s="39"/>
      <c r="H47" s="31"/>
      <c r="I47" s="36"/>
      <c r="J47" s="36"/>
      <c r="K47" s="43"/>
    </row>
    <row r="48" ht="15.75" customHeight="1">
      <c r="A48" s="30">
        <v>45820.0</v>
      </c>
      <c r="B48" s="31"/>
      <c r="C48" s="48" t="s">
        <v>74</v>
      </c>
      <c r="D48" s="49" t="s">
        <v>75</v>
      </c>
      <c r="E48" s="62">
        <f>148000+800</f>
        <v>148800</v>
      </c>
      <c r="F48" s="31"/>
      <c r="G48" s="35" t="s">
        <v>71</v>
      </c>
      <c r="H48" s="47" t="s">
        <v>107</v>
      </c>
      <c r="I48" s="36"/>
      <c r="J48" s="37" t="s">
        <v>76</v>
      </c>
      <c r="K48" s="38" t="s">
        <v>108</v>
      </c>
    </row>
    <row r="49" ht="15.75" customHeight="1">
      <c r="A49" s="31"/>
      <c r="B49" s="31"/>
      <c r="C49" s="32" t="s">
        <v>109</v>
      </c>
      <c r="D49" s="60" t="s">
        <v>110</v>
      </c>
      <c r="E49" s="34">
        <v>30000.0</v>
      </c>
      <c r="F49" s="31"/>
      <c r="G49" s="39"/>
      <c r="H49" s="31"/>
      <c r="I49" s="37">
        <v>5033.0</v>
      </c>
      <c r="J49" s="37" t="s">
        <v>111</v>
      </c>
      <c r="K49" s="38" t="s">
        <v>112</v>
      </c>
    </row>
    <row r="50" ht="15.75" customHeight="1">
      <c r="A50" s="31"/>
      <c r="B50" s="31"/>
      <c r="C50" s="32" t="s">
        <v>113</v>
      </c>
      <c r="D50" s="60" t="s">
        <v>114</v>
      </c>
      <c r="E50" s="34">
        <v>61500.0</v>
      </c>
      <c r="F50" s="31"/>
      <c r="G50" s="39"/>
      <c r="H50" s="31"/>
      <c r="I50" s="37">
        <v>5033.0</v>
      </c>
      <c r="J50" s="37" t="s">
        <v>115</v>
      </c>
      <c r="K50" s="38" t="s">
        <v>116</v>
      </c>
    </row>
    <row r="51" ht="15.75" customHeight="1">
      <c r="A51" s="31"/>
      <c r="B51" s="31"/>
      <c r="C51" s="32" t="s">
        <v>69</v>
      </c>
      <c r="D51" s="56" t="s">
        <v>70</v>
      </c>
      <c r="E51" s="34">
        <v>345000.0</v>
      </c>
      <c r="F51" s="31"/>
      <c r="G51" s="39"/>
      <c r="H51" s="31"/>
      <c r="I51" s="37">
        <v>5009.0</v>
      </c>
      <c r="J51" s="37" t="s">
        <v>117</v>
      </c>
      <c r="K51" s="38" t="s">
        <v>118</v>
      </c>
      <c r="L51" s="57" t="s">
        <v>119</v>
      </c>
      <c r="M51" s="57" t="s">
        <v>120</v>
      </c>
    </row>
    <row r="52" ht="15.75" customHeight="1">
      <c r="A52" s="31"/>
      <c r="B52" s="31"/>
      <c r="C52" s="53"/>
      <c r="D52" s="54"/>
      <c r="E52" s="42"/>
      <c r="F52" s="31"/>
      <c r="G52" s="39"/>
      <c r="H52" s="31"/>
      <c r="I52" s="36"/>
      <c r="J52" s="36"/>
      <c r="K52" s="43"/>
    </row>
    <row r="53" ht="15.75" customHeight="1">
      <c r="A53" s="30">
        <v>45822.0</v>
      </c>
      <c r="B53" s="31"/>
      <c r="C53" s="44" t="s">
        <v>25</v>
      </c>
      <c r="D53" s="45" t="s">
        <v>26</v>
      </c>
      <c r="E53" s="34">
        <v>1200.0</v>
      </c>
      <c r="F53" s="31"/>
      <c r="G53" s="35" t="s">
        <v>35</v>
      </c>
      <c r="H53" s="47" t="s">
        <v>121</v>
      </c>
      <c r="I53" s="36"/>
      <c r="J53" s="37" t="s">
        <v>122</v>
      </c>
      <c r="K53" s="38" t="s">
        <v>123</v>
      </c>
    </row>
    <row r="54" ht="15.75" customHeight="1">
      <c r="A54" s="31"/>
      <c r="B54" s="31"/>
      <c r="C54" s="44" t="s">
        <v>31</v>
      </c>
      <c r="D54" s="45" t="s">
        <v>32</v>
      </c>
      <c r="E54" s="34">
        <v>1200.0</v>
      </c>
      <c r="F54" s="31"/>
      <c r="G54" s="39"/>
      <c r="H54" s="31"/>
      <c r="I54" s="36"/>
      <c r="J54" s="37" t="s">
        <v>122</v>
      </c>
      <c r="K54" s="38" t="s">
        <v>123</v>
      </c>
    </row>
    <row r="55" ht="15.75" customHeight="1">
      <c r="A55" s="31"/>
      <c r="B55" s="31"/>
      <c r="C55" s="44" t="s">
        <v>124</v>
      </c>
      <c r="D55" s="45" t="s">
        <v>125</v>
      </c>
      <c r="E55" s="34">
        <v>900.0</v>
      </c>
      <c r="F55" s="31"/>
      <c r="G55" s="39"/>
      <c r="H55" s="31"/>
      <c r="I55" s="36"/>
      <c r="J55" s="37" t="s">
        <v>122</v>
      </c>
      <c r="K55" s="38" t="s">
        <v>123</v>
      </c>
    </row>
    <row r="56" ht="15.75" customHeight="1">
      <c r="A56" s="31"/>
      <c r="B56" s="31"/>
      <c r="C56" s="44" t="s">
        <v>101</v>
      </c>
      <c r="D56" s="45" t="s">
        <v>102</v>
      </c>
      <c r="E56" s="34">
        <v>8040.0</v>
      </c>
      <c r="F56" s="31"/>
      <c r="G56" s="39"/>
      <c r="H56" s="31"/>
      <c r="I56" s="36"/>
      <c r="J56" s="37" t="s">
        <v>122</v>
      </c>
      <c r="K56" s="38" t="s">
        <v>123</v>
      </c>
    </row>
    <row r="57" ht="15.75" customHeight="1">
      <c r="A57" s="31"/>
      <c r="B57" s="31"/>
      <c r="C57" s="44" t="s">
        <v>39</v>
      </c>
      <c r="D57" s="45" t="s">
        <v>40</v>
      </c>
      <c r="E57" s="34">
        <v>4290.0</v>
      </c>
      <c r="F57" s="31"/>
      <c r="G57" s="39"/>
      <c r="H57" s="31"/>
      <c r="I57" s="36"/>
      <c r="J57" s="37" t="s">
        <v>122</v>
      </c>
      <c r="K57" s="38" t="s">
        <v>123</v>
      </c>
    </row>
    <row r="58" ht="15.75" customHeight="1">
      <c r="A58" s="31"/>
      <c r="B58" s="31"/>
      <c r="C58" s="44" t="s">
        <v>126</v>
      </c>
      <c r="D58" s="45" t="s">
        <v>127</v>
      </c>
      <c r="E58" s="34">
        <v>600.0</v>
      </c>
      <c r="F58" s="31"/>
      <c r="G58" s="39"/>
      <c r="H58" s="31"/>
      <c r="I58" s="36"/>
      <c r="J58" s="37" t="s">
        <v>122</v>
      </c>
      <c r="K58" s="38" t="s">
        <v>123</v>
      </c>
    </row>
    <row r="59" ht="15.75" customHeight="1">
      <c r="A59" s="31"/>
      <c r="B59" s="31"/>
      <c r="C59" s="53"/>
      <c r="D59" s="54"/>
      <c r="E59" s="42"/>
      <c r="F59" s="31"/>
      <c r="G59" s="39"/>
      <c r="H59" s="31"/>
      <c r="I59" s="36"/>
      <c r="J59" s="36"/>
      <c r="K59" s="43"/>
    </row>
    <row r="60" ht="15.75" customHeight="1">
      <c r="A60" s="30">
        <v>45825.0</v>
      </c>
      <c r="B60" s="31"/>
      <c r="C60" s="44" t="s">
        <v>25</v>
      </c>
      <c r="D60" s="45" t="s">
        <v>26</v>
      </c>
      <c r="E60" s="34">
        <v>3875.0</v>
      </c>
      <c r="F60" s="31"/>
      <c r="G60" s="35" t="s">
        <v>27</v>
      </c>
      <c r="H60" s="47" t="s">
        <v>128</v>
      </c>
      <c r="I60" s="36"/>
      <c r="J60" s="37" t="s">
        <v>129</v>
      </c>
      <c r="K60" s="38" t="s">
        <v>130</v>
      </c>
    </row>
    <row r="61" ht="15.75" customHeight="1">
      <c r="A61" s="31"/>
      <c r="B61" s="31"/>
      <c r="C61" s="44" t="s">
        <v>101</v>
      </c>
      <c r="D61" s="45" t="s">
        <v>102</v>
      </c>
      <c r="E61" s="34">
        <v>12950.0</v>
      </c>
      <c r="F61" s="31"/>
      <c r="G61" s="39"/>
      <c r="H61" s="31"/>
      <c r="I61" s="36"/>
      <c r="J61" s="37" t="s">
        <v>129</v>
      </c>
      <c r="K61" s="38" t="s">
        <v>130</v>
      </c>
    </row>
    <row r="62" ht="15.75" customHeight="1">
      <c r="A62" s="31"/>
      <c r="B62" s="31"/>
      <c r="C62" s="53"/>
      <c r="D62" s="54"/>
      <c r="E62" s="42"/>
      <c r="F62" s="31"/>
      <c r="G62" s="39"/>
      <c r="H62" s="31"/>
      <c r="I62" s="36"/>
      <c r="J62" s="36"/>
      <c r="K62" s="43"/>
    </row>
    <row r="63" ht="15.75" customHeight="1">
      <c r="A63" s="30">
        <v>45825.0</v>
      </c>
      <c r="B63" s="31"/>
      <c r="C63" s="44" t="s">
        <v>101</v>
      </c>
      <c r="D63" s="45" t="s">
        <v>102</v>
      </c>
      <c r="E63" s="34">
        <v>8550.0</v>
      </c>
      <c r="F63" s="31"/>
      <c r="G63" s="35" t="s">
        <v>103</v>
      </c>
      <c r="H63" s="47" t="s">
        <v>131</v>
      </c>
      <c r="I63" s="36"/>
      <c r="J63" s="63" t="s">
        <v>105</v>
      </c>
      <c r="K63" s="38" t="s">
        <v>132</v>
      </c>
    </row>
    <row r="64" ht="15.75" customHeight="1">
      <c r="A64" s="31"/>
      <c r="B64" s="31"/>
      <c r="C64" s="44" t="s">
        <v>25</v>
      </c>
      <c r="D64" s="45" t="s">
        <v>26</v>
      </c>
      <c r="E64" s="34">
        <v>4770.0</v>
      </c>
      <c r="F64" s="31"/>
      <c r="G64" s="35" t="s">
        <v>43</v>
      </c>
      <c r="H64" s="31"/>
      <c r="I64" s="36"/>
      <c r="J64" s="37" t="s">
        <v>133</v>
      </c>
      <c r="K64" s="38" t="s">
        <v>134</v>
      </c>
      <c r="L64" s="57" t="s">
        <v>135</v>
      </c>
      <c r="M64" s="57" t="s">
        <v>136</v>
      </c>
      <c r="N64" s="57" t="s">
        <v>137</v>
      </c>
      <c r="O64" s="57" t="s">
        <v>138</v>
      </c>
    </row>
    <row r="65" ht="15.75" customHeight="1">
      <c r="A65" s="31"/>
      <c r="B65" s="31"/>
      <c r="C65" s="44" t="s">
        <v>39</v>
      </c>
      <c r="D65" s="45" t="s">
        <v>40</v>
      </c>
      <c r="E65" s="34">
        <v>2280.0</v>
      </c>
      <c r="F65" s="31"/>
      <c r="G65" s="39"/>
      <c r="H65" s="31"/>
      <c r="I65" s="36"/>
      <c r="J65" s="37" t="s">
        <v>67</v>
      </c>
      <c r="K65" s="38" t="s">
        <v>139</v>
      </c>
    </row>
    <row r="66" ht="15.75" customHeight="1">
      <c r="A66" s="31"/>
      <c r="B66" s="31"/>
      <c r="C66" s="40"/>
      <c r="D66" s="41"/>
      <c r="E66" s="42"/>
      <c r="F66" s="31"/>
      <c r="G66" s="39"/>
      <c r="H66" s="31"/>
      <c r="I66" s="36"/>
      <c r="J66" s="36"/>
      <c r="K66" s="43"/>
    </row>
    <row r="67" ht="15.75" customHeight="1">
      <c r="A67" s="30">
        <v>45825.0</v>
      </c>
      <c r="B67" s="31"/>
      <c r="C67" s="40" t="s">
        <v>25</v>
      </c>
      <c r="D67" s="64" t="s">
        <v>26</v>
      </c>
      <c r="E67" s="65">
        <v>5400.0</v>
      </c>
      <c r="F67" s="31"/>
      <c r="G67" s="35" t="s">
        <v>43</v>
      </c>
      <c r="H67" s="47" t="s">
        <v>140</v>
      </c>
      <c r="I67" s="36"/>
      <c r="J67" s="37"/>
      <c r="K67" s="43"/>
    </row>
    <row r="68" ht="15.75" customHeight="1">
      <c r="A68" s="31"/>
      <c r="B68" s="31"/>
      <c r="C68" s="44" t="s">
        <v>31</v>
      </c>
      <c r="D68" s="45" t="s">
        <v>32</v>
      </c>
      <c r="E68" s="34">
        <v>4800.0</v>
      </c>
      <c r="F68" s="31"/>
      <c r="G68" s="39"/>
      <c r="H68" s="31"/>
      <c r="I68" s="36"/>
      <c r="J68" s="37" t="s">
        <v>67</v>
      </c>
      <c r="K68" s="38" t="s">
        <v>141</v>
      </c>
    </row>
    <row r="69" ht="15.75" customHeight="1">
      <c r="A69" s="31"/>
      <c r="B69" s="31"/>
      <c r="C69" s="44" t="s">
        <v>126</v>
      </c>
      <c r="D69" s="45" t="s">
        <v>127</v>
      </c>
      <c r="E69" s="34">
        <v>360.0</v>
      </c>
      <c r="F69" s="31"/>
      <c r="G69" s="39"/>
      <c r="H69" s="31"/>
      <c r="I69" s="36"/>
      <c r="J69" s="37" t="s">
        <v>142</v>
      </c>
      <c r="K69" s="38" t="s">
        <v>143</v>
      </c>
    </row>
    <row r="70" ht="15.75" customHeight="1">
      <c r="A70" s="31"/>
      <c r="B70" s="31"/>
      <c r="C70" s="32" t="s">
        <v>144</v>
      </c>
      <c r="D70" s="66" t="s">
        <v>145</v>
      </c>
      <c r="E70" s="34">
        <v>2500.0</v>
      </c>
      <c r="F70" s="31"/>
      <c r="G70" s="39"/>
      <c r="H70" s="31"/>
      <c r="I70" s="36"/>
      <c r="J70" s="37" t="s">
        <v>146</v>
      </c>
      <c r="K70" s="38" t="s">
        <v>147</v>
      </c>
    </row>
    <row r="71" ht="15.75" customHeight="1">
      <c r="A71" s="31"/>
      <c r="B71" s="31"/>
      <c r="C71" s="67" t="s">
        <v>148</v>
      </c>
      <c r="D71" s="68" t="s">
        <v>149</v>
      </c>
      <c r="E71" s="69">
        <v>107.0</v>
      </c>
      <c r="F71" s="31"/>
      <c r="G71" s="39"/>
      <c r="H71" s="31"/>
      <c r="I71" s="36"/>
      <c r="J71" s="37" t="s">
        <v>150</v>
      </c>
      <c r="K71" s="38" t="s">
        <v>151</v>
      </c>
      <c r="L71" s="57" t="s">
        <v>152</v>
      </c>
    </row>
    <row r="72" ht="15.75" customHeight="1">
      <c r="A72" s="31"/>
      <c r="B72" s="31"/>
      <c r="C72" s="53"/>
      <c r="D72" s="54"/>
      <c r="E72" s="42"/>
      <c r="F72" s="31"/>
      <c r="G72" s="39"/>
      <c r="H72" s="31"/>
      <c r="I72" s="36"/>
      <c r="J72" s="36"/>
      <c r="K72" s="43"/>
    </row>
    <row r="73" ht="15.75" customHeight="1">
      <c r="A73" s="30">
        <v>45826.0</v>
      </c>
      <c r="B73" s="31"/>
      <c r="C73" s="51" t="s">
        <v>61</v>
      </c>
      <c r="D73" s="52" t="s">
        <v>62</v>
      </c>
      <c r="E73" s="34">
        <v>17500.0</v>
      </c>
      <c r="F73" s="31"/>
      <c r="G73" s="35" t="s">
        <v>43</v>
      </c>
      <c r="H73" s="47" t="s">
        <v>153</v>
      </c>
      <c r="I73" s="36"/>
      <c r="J73" s="37" t="s">
        <v>64</v>
      </c>
      <c r="K73" s="38" t="s">
        <v>154</v>
      </c>
    </row>
    <row r="74" ht="15.75" customHeight="1">
      <c r="A74" s="31"/>
      <c r="B74" s="31"/>
      <c r="C74" s="53"/>
      <c r="D74" s="54"/>
      <c r="E74" s="42"/>
      <c r="F74" s="31"/>
      <c r="G74" s="39"/>
      <c r="H74" s="31"/>
      <c r="I74" s="36"/>
      <c r="J74" s="36"/>
      <c r="K74" s="43"/>
    </row>
    <row r="75" ht="15.75" customHeight="1">
      <c r="A75" s="30">
        <v>45826.0</v>
      </c>
      <c r="B75" s="31"/>
      <c r="C75" s="51" t="s">
        <v>126</v>
      </c>
      <c r="D75" s="52" t="s">
        <v>127</v>
      </c>
      <c r="E75" s="34">
        <v>1440.0</v>
      </c>
      <c r="F75" s="31"/>
      <c r="G75" s="35" t="s">
        <v>43</v>
      </c>
      <c r="H75" s="47" t="s">
        <v>155</v>
      </c>
      <c r="I75" s="36"/>
      <c r="J75" s="37" t="s">
        <v>142</v>
      </c>
      <c r="K75" s="38" t="s">
        <v>156</v>
      </c>
    </row>
    <row r="76" ht="15.75" customHeight="1">
      <c r="A76" s="31"/>
      <c r="B76" s="31"/>
      <c r="C76" s="48" t="s">
        <v>157</v>
      </c>
      <c r="D76" s="58" t="s">
        <v>158</v>
      </c>
      <c r="E76" s="34">
        <v>1000.0</v>
      </c>
      <c r="F76" s="31"/>
      <c r="G76" s="39"/>
      <c r="H76" s="31"/>
      <c r="I76" s="36"/>
      <c r="J76" s="37" t="s">
        <v>86</v>
      </c>
      <c r="K76" s="38" t="s">
        <v>159</v>
      </c>
    </row>
    <row r="77" ht="15.75" customHeight="1">
      <c r="A77" s="31"/>
      <c r="B77" s="31"/>
      <c r="C77" s="48" t="s">
        <v>160</v>
      </c>
      <c r="D77" s="49" t="s">
        <v>161</v>
      </c>
      <c r="E77" s="34">
        <v>1000.0</v>
      </c>
      <c r="F77" s="31"/>
      <c r="G77" s="39"/>
      <c r="H77" s="31"/>
      <c r="I77" s="36"/>
      <c r="J77" s="37" t="s">
        <v>86</v>
      </c>
      <c r="K77" s="38" t="s">
        <v>159</v>
      </c>
    </row>
    <row r="78" ht="15.75" customHeight="1">
      <c r="A78" s="31"/>
      <c r="B78" s="31"/>
      <c r="C78" s="70" t="s">
        <v>162</v>
      </c>
      <c r="D78" s="71" t="s">
        <v>163</v>
      </c>
      <c r="E78" s="69">
        <v>750.0</v>
      </c>
      <c r="F78" s="31"/>
      <c r="G78" s="39"/>
      <c r="H78" s="31"/>
      <c r="I78" s="36"/>
      <c r="J78" s="37" t="s">
        <v>86</v>
      </c>
      <c r="K78" s="38" t="s">
        <v>159</v>
      </c>
      <c r="L78" s="57" t="s">
        <v>164</v>
      </c>
    </row>
    <row r="79" ht="15.75" customHeight="1">
      <c r="A79" s="31"/>
      <c r="B79" s="31"/>
      <c r="C79" s="48" t="s">
        <v>165</v>
      </c>
      <c r="D79" s="58" t="s">
        <v>166</v>
      </c>
      <c r="E79" s="34">
        <v>1000.0</v>
      </c>
      <c r="F79" s="31"/>
      <c r="G79" s="39"/>
      <c r="H79" s="31"/>
      <c r="I79" s="36"/>
      <c r="J79" s="37" t="s">
        <v>86</v>
      </c>
      <c r="K79" s="38" t="s">
        <v>159</v>
      </c>
    </row>
    <row r="80" ht="15.75" customHeight="1">
      <c r="A80" s="31"/>
      <c r="B80" s="31"/>
      <c r="C80" s="48" t="s">
        <v>167</v>
      </c>
      <c r="D80" s="59" t="s">
        <v>168</v>
      </c>
      <c r="E80" s="34">
        <v>750.0</v>
      </c>
      <c r="F80" s="31"/>
      <c r="G80" s="39"/>
      <c r="H80" s="31"/>
      <c r="I80" s="36"/>
      <c r="J80" s="37" t="s">
        <v>86</v>
      </c>
      <c r="K80" s="38" t="s">
        <v>159</v>
      </c>
    </row>
    <row r="81" ht="15.75" customHeight="1">
      <c r="A81" s="31"/>
      <c r="B81" s="31"/>
      <c r="C81" s="72" t="s">
        <v>69</v>
      </c>
      <c r="D81" s="73" t="s">
        <v>70</v>
      </c>
      <c r="E81" s="65">
        <v>459000.0</v>
      </c>
      <c r="F81" s="31"/>
      <c r="G81" s="35" t="s">
        <v>71</v>
      </c>
      <c r="H81" s="31"/>
      <c r="I81" s="36"/>
      <c r="J81" s="37" t="s">
        <v>169</v>
      </c>
      <c r="K81" s="43"/>
    </row>
    <row r="82" ht="15.75" customHeight="1">
      <c r="A82" s="31"/>
      <c r="B82" s="31"/>
      <c r="C82" s="32" t="s">
        <v>91</v>
      </c>
      <c r="D82" s="60" t="s">
        <v>92</v>
      </c>
      <c r="E82" s="34">
        <v>30000.0</v>
      </c>
      <c r="F82" s="31"/>
      <c r="G82" s="35" t="s">
        <v>170</v>
      </c>
      <c r="H82" s="31"/>
      <c r="I82" s="36"/>
      <c r="J82" s="37" t="s">
        <v>94</v>
      </c>
      <c r="K82" s="38" t="s">
        <v>171</v>
      </c>
    </row>
    <row r="83" ht="15.75" customHeight="1">
      <c r="A83" s="31"/>
      <c r="B83" s="31"/>
      <c r="C83" s="53"/>
      <c r="D83" s="54"/>
      <c r="E83" s="42"/>
      <c r="F83" s="31"/>
      <c r="G83" s="39"/>
      <c r="H83" s="31"/>
      <c r="I83" s="36"/>
      <c r="J83" s="36"/>
      <c r="K83" s="43"/>
    </row>
    <row r="84" ht="15.75" customHeight="1">
      <c r="A84" s="30">
        <v>45827.0</v>
      </c>
      <c r="B84" s="31"/>
      <c r="C84" s="44" t="s">
        <v>25</v>
      </c>
      <c r="D84" s="45" t="s">
        <v>26</v>
      </c>
      <c r="E84" s="34">
        <v>4775.0</v>
      </c>
      <c r="F84" s="31"/>
      <c r="G84" s="35" t="s">
        <v>27</v>
      </c>
      <c r="H84" s="47" t="s">
        <v>172</v>
      </c>
      <c r="I84" s="36"/>
      <c r="J84" s="37" t="s">
        <v>173</v>
      </c>
      <c r="K84" s="38" t="s">
        <v>174</v>
      </c>
    </row>
    <row r="85" ht="15.75" customHeight="1">
      <c r="A85" s="31"/>
      <c r="B85" s="31"/>
      <c r="C85" s="44" t="s">
        <v>31</v>
      </c>
      <c r="D85" s="45" t="s">
        <v>32</v>
      </c>
      <c r="E85" s="34">
        <v>6175.0</v>
      </c>
      <c r="F85" s="31"/>
      <c r="G85" s="39"/>
      <c r="H85" s="31"/>
      <c r="I85" s="36"/>
      <c r="J85" s="37" t="s">
        <v>173</v>
      </c>
      <c r="K85" s="38" t="s">
        <v>174</v>
      </c>
    </row>
    <row r="86" ht="15.75" customHeight="1">
      <c r="A86" s="31"/>
      <c r="B86" s="31"/>
      <c r="C86" s="44" t="s">
        <v>101</v>
      </c>
      <c r="D86" s="45" t="s">
        <v>102</v>
      </c>
      <c r="E86" s="34">
        <v>4175.0</v>
      </c>
      <c r="F86" s="31"/>
      <c r="G86" s="39"/>
      <c r="H86" s="31"/>
      <c r="I86" s="36"/>
      <c r="J86" s="37" t="s">
        <v>173</v>
      </c>
      <c r="K86" s="38" t="s">
        <v>174</v>
      </c>
    </row>
    <row r="87" ht="15.75" customHeight="1">
      <c r="A87" s="31"/>
      <c r="B87" s="31"/>
      <c r="C87" s="48" t="s">
        <v>33</v>
      </c>
      <c r="D87" s="49" t="s">
        <v>34</v>
      </c>
      <c r="E87" s="34">
        <v>1200.0</v>
      </c>
      <c r="F87" s="31"/>
      <c r="G87" s="39"/>
      <c r="H87" s="31"/>
      <c r="I87" s="36"/>
      <c r="J87" s="37" t="s">
        <v>173</v>
      </c>
      <c r="K87" s="38" t="s">
        <v>174</v>
      </c>
    </row>
    <row r="88" ht="15.75" customHeight="1">
      <c r="A88" s="31"/>
      <c r="B88" s="31"/>
      <c r="C88" s="53"/>
      <c r="D88" s="54"/>
      <c r="E88" s="42"/>
      <c r="F88" s="31"/>
      <c r="G88" s="39"/>
      <c r="H88" s="31"/>
      <c r="I88" s="36"/>
      <c r="J88" s="36"/>
      <c r="K88" s="43"/>
    </row>
    <row r="89" ht="15.75" customHeight="1">
      <c r="A89" s="30">
        <v>45827.0</v>
      </c>
      <c r="B89" s="31"/>
      <c r="C89" s="44" t="s">
        <v>25</v>
      </c>
      <c r="D89" s="45" t="s">
        <v>26</v>
      </c>
      <c r="E89" s="34">
        <v>630.0</v>
      </c>
      <c r="F89" s="31"/>
      <c r="G89" s="35" t="s">
        <v>175</v>
      </c>
      <c r="H89" s="47" t="s">
        <v>176</v>
      </c>
      <c r="I89" s="36"/>
      <c r="J89" s="37" t="s">
        <v>177</v>
      </c>
      <c r="K89" s="38" t="s">
        <v>178</v>
      </c>
    </row>
    <row r="90" ht="15.75" customHeight="1">
      <c r="A90" s="31"/>
      <c r="B90" s="31"/>
      <c r="C90" s="44" t="s">
        <v>31</v>
      </c>
      <c r="D90" s="45" t="s">
        <v>32</v>
      </c>
      <c r="E90" s="34">
        <v>1770.0</v>
      </c>
      <c r="F90" s="31"/>
      <c r="G90" s="39"/>
      <c r="H90" s="31"/>
      <c r="I90" s="36"/>
      <c r="J90" s="37" t="s">
        <v>142</v>
      </c>
      <c r="K90" s="38" t="s">
        <v>179</v>
      </c>
    </row>
    <row r="91" ht="15.75" customHeight="1">
      <c r="A91" s="31"/>
      <c r="B91" s="31"/>
      <c r="C91" s="74" t="s">
        <v>39</v>
      </c>
      <c r="D91" s="75" t="s">
        <v>40</v>
      </c>
      <c r="E91" s="69">
        <v>9570.0</v>
      </c>
      <c r="F91" s="31"/>
      <c r="G91" s="39"/>
      <c r="H91" s="31"/>
      <c r="I91" s="36"/>
      <c r="J91" s="37" t="s">
        <v>180</v>
      </c>
      <c r="K91" s="38" t="s">
        <v>178</v>
      </c>
      <c r="L91" s="57" t="s">
        <v>181</v>
      </c>
      <c r="M91" s="57" t="s">
        <v>182</v>
      </c>
    </row>
    <row r="92" ht="15.75" customHeight="1">
      <c r="A92" s="31"/>
      <c r="B92" s="31"/>
      <c r="C92" s="76" t="s">
        <v>183</v>
      </c>
      <c r="D92" s="54" t="s">
        <v>184</v>
      </c>
      <c r="E92" s="65">
        <v>2500.0</v>
      </c>
      <c r="F92" s="31"/>
      <c r="G92" s="39"/>
      <c r="H92" s="31"/>
      <c r="I92" s="36"/>
      <c r="J92" s="36"/>
      <c r="K92" s="43"/>
    </row>
    <row r="93" ht="15.75" customHeight="1">
      <c r="A93" s="31"/>
      <c r="B93" s="31"/>
      <c r="C93" s="76" t="s">
        <v>109</v>
      </c>
      <c r="D93" s="77" t="s">
        <v>110</v>
      </c>
      <c r="E93" s="65">
        <v>25000.0</v>
      </c>
      <c r="F93" s="31"/>
      <c r="G93" s="35" t="s">
        <v>71</v>
      </c>
      <c r="H93" s="31"/>
      <c r="I93" s="36"/>
      <c r="J93" s="37" t="s">
        <v>111</v>
      </c>
      <c r="K93" s="43"/>
    </row>
    <row r="94" ht="15.75" customHeight="1">
      <c r="A94" s="31"/>
      <c r="B94" s="31"/>
      <c r="C94" s="53"/>
      <c r="D94" s="54"/>
      <c r="E94" s="42"/>
      <c r="F94" s="31"/>
      <c r="G94" s="39"/>
      <c r="H94" s="31"/>
      <c r="I94" s="36"/>
      <c r="J94" s="36"/>
      <c r="K94" s="43"/>
    </row>
    <row r="95" ht="15.75" customHeight="1">
      <c r="A95" s="30">
        <v>45827.0</v>
      </c>
      <c r="B95" s="31"/>
      <c r="C95" s="32" t="s">
        <v>185</v>
      </c>
      <c r="D95" s="33" t="s">
        <v>186</v>
      </c>
      <c r="E95" s="34">
        <v>1000.0</v>
      </c>
      <c r="F95" s="31"/>
      <c r="G95" s="35" t="s">
        <v>187</v>
      </c>
      <c r="H95" s="31"/>
      <c r="I95" s="36"/>
      <c r="J95" s="37" t="s">
        <v>188</v>
      </c>
      <c r="K95" s="38" t="s">
        <v>189</v>
      </c>
    </row>
    <row r="96" ht="15.75" customHeight="1">
      <c r="A96" s="31"/>
      <c r="B96" s="31"/>
      <c r="C96" s="53"/>
      <c r="D96" s="54"/>
      <c r="E96" s="42"/>
      <c r="F96" s="31"/>
      <c r="G96" s="39"/>
      <c r="H96" s="31"/>
      <c r="I96" s="36"/>
      <c r="J96" s="36"/>
      <c r="K96" s="43"/>
    </row>
    <row r="97" ht="15.75" customHeight="1">
      <c r="A97" s="30">
        <v>45828.0</v>
      </c>
      <c r="B97" s="31"/>
      <c r="C97" s="32" t="s">
        <v>21</v>
      </c>
      <c r="D97" s="33" t="s">
        <v>22</v>
      </c>
      <c r="E97" s="34">
        <v>500.0</v>
      </c>
      <c r="F97" s="31"/>
      <c r="G97" s="35" t="s">
        <v>190</v>
      </c>
      <c r="H97" s="31"/>
      <c r="I97" s="36"/>
      <c r="J97" s="37" t="s">
        <v>191</v>
      </c>
      <c r="K97" s="38" t="s">
        <v>192</v>
      </c>
    </row>
    <row r="98" ht="15.75" customHeight="1">
      <c r="A98" s="31"/>
      <c r="B98" s="31"/>
      <c r="C98" s="53"/>
      <c r="D98" s="54"/>
      <c r="E98" s="42"/>
      <c r="F98" s="31"/>
      <c r="G98" s="39"/>
      <c r="H98" s="31"/>
      <c r="I98" s="36"/>
      <c r="J98" s="36"/>
      <c r="K98" s="43"/>
    </row>
    <row r="99" ht="15.75" customHeight="1">
      <c r="A99" s="31"/>
      <c r="B99" s="31"/>
      <c r="C99" s="53"/>
      <c r="D99" s="54"/>
      <c r="E99" s="42"/>
      <c r="F99" s="31"/>
      <c r="G99" s="39"/>
      <c r="H99" s="31"/>
      <c r="I99" s="36"/>
      <c r="J99" s="36"/>
      <c r="K99" s="43"/>
    </row>
    <row r="100" ht="15.75" customHeight="1">
      <c r="A100" s="31"/>
      <c r="B100" s="31"/>
      <c r="C100" s="53"/>
      <c r="D100" s="54"/>
      <c r="E100" s="42"/>
      <c r="F100" s="31"/>
      <c r="G100" s="39"/>
      <c r="H100" s="31"/>
      <c r="I100" s="36"/>
      <c r="J100" s="36"/>
      <c r="K100" s="43"/>
    </row>
    <row r="101" ht="15.75" customHeight="1">
      <c r="A101" s="31"/>
      <c r="B101" s="31"/>
      <c r="C101" s="53"/>
      <c r="D101" s="54"/>
      <c r="E101" s="42"/>
      <c r="F101" s="31"/>
      <c r="G101" s="39"/>
      <c r="H101" s="31"/>
      <c r="I101" s="36"/>
      <c r="J101" s="36"/>
      <c r="K101" s="43"/>
    </row>
    <row r="102" ht="15.75" customHeight="1">
      <c r="A102" s="31"/>
      <c r="B102" s="31"/>
      <c r="C102" s="53"/>
      <c r="D102" s="54"/>
      <c r="E102" s="42"/>
      <c r="F102" s="31"/>
      <c r="G102" s="39"/>
      <c r="H102" s="31"/>
      <c r="I102" s="36"/>
      <c r="J102" s="36"/>
      <c r="K102" s="43"/>
    </row>
    <row r="103" ht="15.75" customHeight="1">
      <c r="A103" s="31"/>
      <c r="B103" s="31"/>
      <c r="C103" s="53"/>
      <c r="D103" s="54"/>
      <c r="E103" s="42"/>
      <c r="F103" s="31"/>
      <c r="G103" s="39"/>
      <c r="H103" s="31"/>
      <c r="I103" s="36"/>
      <c r="J103" s="36"/>
      <c r="K103" s="43"/>
    </row>
    <row r="104" ht="15.75" customHeight="1">
      <c r="A104" s="31"/>
      <c r="B104" s="31"/>
      <c r="C104" s="40"/>
      <c r="D104" s="41"/>
      <c r="E104" s="42"/>
      <c r="F104" s="31"/>
      <c r="G104" s="39"/>
      <c r="H104" s="31"/>
      <c r="I104" s="36"/>
      <c r="J104" s="36"/>
      <c r="K104" s="43"/>
    </row>
    <row r="105" ht="15.75" customHeight="1">
      <c r="A105" s="78"/>
      <c r="B105" s="78"/>
      <c r="C105" s="78"/>
      <c r="D105" s="78"/>
      <c r="E105" s="79"/>
      <c r="F105" s="78"/>
      <c r="G105" s="80"/>
      <c r="H105" s="78"/>
      <c r="I105" s="81"/>
      <c r="J105" s="81"/>
      <c r="K105" s="82"/>
    </row>
    <row r="106" ht="15.75" customHeight="1">
      <c r="A106" s="78"/>
      <c r="B106" s="78"/>
      <c r="C106" s="78"/>
      <c r="D106" s="78"/>
      <c r="E106" s="79"/>
      <c r="F106" s="78"/>
      <c r="G106" s="80"/>
      <c r="H106" s="78"/>
      <c r="I106" s="81"/>
      <c r="J106" s="81"/>
      <c r="K106" s="82"/>
    </row>
    <row r="107" ht="15.75" customHeight="1">
      <c r="A107" s="78"/>
      <c r="B107" s="78"/>
      <c r="C107" s="78"/>
      <c r="D107" s="78"/>
      <c r="E107" s="79"/>
      <c r="F107" s="78"/>
      <c r="G107" s="80"/>
      <c r="H107" s="78"/>
      <c r="I107" s="81"/>
      <c r="J107" s="81"/>
      <c r="K107" s="82"/>
    </row>
    <row r="108" ht="15.75" customHeight="1">
      <c r="A108" s="78"/>
      <c r="B108" s="78"/>
      <c r="C108" s="78"/>
      <c r="D108" s="78"/>
      <c r="E108" s="79"/>
      <c r="F108" s="78"/>
      <c r="G108" s="80"/>
      <c r="H108" s="78"/>
      <c r="I108" s="81"/>
      <c r="J108" s="81"/>
      <c r="K108" s="82"/>
    </row>
    <row r="109" ht="15.75" customHeight="1">
      <c r="A109" s="78"/>
      <c r="B109" s="78"/>
      <c r="C109" s="78"/>
      <c r="D109" s="78"/>
      <c r="E109" s="79"/>
      <c r="F109" s="78"/>
      <c r="G109" s="80"/>
      <c r="H109" s="78"/>
      <c r="I109" s="81"/>
      <c r="J109" s="81"/>
      <c r="K109" s="82"/>
    </row>
    <row r="110" ht="15.75" customHeight="1">
      <c r="A110" s="78"/>
      <c r="B110" s="78"/>
      <c r="C110" s="78"/>
      <c r="D110" s="78"/>
      <c r="E110" s="79"/>
      <c r="F110" s="78"/>
      <c r="G110" s="80"/>
      <c r="H110" s="78"/>
      <c r="I110" s="81"/>
      <c r="J110" s="81"/>
      <c r="K110" s="82"/>
    </row>
    <row r="111" ht="15.75" customHeight="1">
      <c r="A111" s="78"/>
      <c r="B111" s="78"/>
      <c r="C111" s="78"/>
      <c r="D111" s="78"/>
      <c r="E111" s="79"/>
      <c r="F111" s="78"/>
      <c r="G111" s="80"/>
      <c r="H111" s="78"/>
      <c r="I111" s="81"/>
      <c r="J111" s="81"/>
      <c r="K111" s="82"/>
    </row>
    <row r="112" ht="15.75" customHeight="1">
      <c r="A112" s="78"/>
      <c r="B112" s="78"/>
      <c r="C112" s="78"/>
      <c r="D112" s="78"/>
      <c r="E112" s="79"/>
      <c r="F112" s="78"/>
      <c r="G112" s="80"/>
      <c r="H112" s="78"/>
      <c r="I112" s="81"/>
      <c r="J112" s="81"/>
      <c r="K112" s="82"/>
    </row>
    <row r="113" ht="15.75" customHeight="1">
      <c r="A113" s="78"/>
      <c r="B113" s="78"/>
      <c r="C113" s="78"/>
      <c r="D113" s="78"/>
      <c r="E113" s="79"/>
      <c r="F113" s="78"/>
      <c r="G113" s="80"/>
      <c r="H113" s="78"/>
      <c r="I113" s="81"/>
      <c r="J113" s="81"/>
      <c r="K113" s="82"/>
    </row>
    <row r="114" ht="15.75" customHeight="1">
      <c r="A114" s="78"/>
      <c r="B114" s="78"/>
      <c r="C114" s="78"/>
      <c r="D114" s="78"/>
      <c r="E114" s="79"/>
      <c r="F114" s="78"/>
      <c r="G114" s="80"/>
      <c r="H114" s="78"/>
      <c r="I114" s="81"/>
      <c r="J114" s="81"/>
      <c r="K114" s="82"/>
    </row>
    <row r="115" ht="15.75" customHeight="1">
      <c r="A115" s="78"/>
      <c r="B115" s="78"/>
      <c r="C115" s="78"/>
      <c r="D115" s="78"/>
      <c r="E115" s="79"/>
      <c r="F115" s="78"/>
      <c r="G115" s="80"/>
      <c r="H115" s="78"/>
      <c r="I115" s="81"/>
      <c r="J115" s="81"/>
      <c r="K115" s="82"/>
    </row>
    <row r="116" ht="15.75" customHeight="1">
      <c r="A116" s="78"/>
      <c r="B116" s="78"/>
      <c r="C116" s="78"/>
      <c r="D116" s="78"/>
      <c r="E116" s="79"/>
      <c r="F116" s="78"/>
      <c r="G116" s="80"/>
      <c r="H116" s="78"/>
      <c r="I116" s="81"/>
      <c r="J116" s="81"/>
      <c r="K116" s="82"/>
    </row>
    <row r="117" ht="15.75" customHeight="1">
      <c r="A117" s="83"/>
      <c r="B117" s="83"/>
      <c r="C117" s="83"/>
      <c r="D117" s="83"/>
      <c r="E117" s="84"/>
      <c r="F117" s="83"/>
      <c r="G117" s="85"/>
      <c r="H117" s="83"/>
      <c r="I117" s="86"/>
      <c r="J117" s="86"/>
      <c r="K117" s="87"/>
    </row>
    <row r="118" ht="15.75" customHeight="1">
      <c r="A118" s="83"/>
      <c r="B118" s="83"/>
      <c r="C118" s="83"/>
      <c r="D118" s="83"/>
      <c r="E118" s="84"/>
      <c r="F118" s="83"/>
      <c r="G118" s="85"/>
      <c r="H118" s="83"/>
      <c r="I118" s="86"/>
      <c r="J118" s="86"/>
      <c r="K118" s="87"/>
    </row>
    <row r="119" ht="15.75" customHeight="1">
      <c r="A119" s="83"/>
      <c r="B119" s="83"/>
      <c r="C119" s="83"/>
      <c r="D119" s="83"/>
      <c r="E119" s="84"/>
      <c r="F119" s="83"/>
      <c r="G119" s="85"/>
      <c r="H119" s="83"/>
      <c r="I119" s="86"/>
      <c r="J119" s="86"/>
      <c r="K119" s="87"/>
    </row>
    <row r="120" ht="15.75" customHeight="1">
      <c r="A120" s="83"/>
      <c r="B120" s="83"/>
      <c r="C120" s="83"/>
      <c r="D120" s="83"/>
      <c r="E120" s="84"/>
      <c r="F120" s="83"/>
      <c r="G120" s="85"/>
      <c r="H120" s="83"/>
      <c r="I120" s="86"/>
      <c r="J120" s="86"/>
      <c r="K120" s="87"/>
    </row>
    <row r="121" ht="15.75" customHeight="1">
      <c r="A121" s="83"/>
      <c r="B121" s="83"/>
      <c r="C121" s="83"/>
      <c r="D121" s="83"/>
      <c r="E121" s="84"/>
      <c r="F121" s="83"/>
      <c r="G121" s="85"/>
      <c r="H121" s="83"/>
      <c r="I121" s="86"/>
      <c r="J121" s="86"/>
      <c r="K121" s="87"/>
    </row>
    <row r="122" ht="15.75" customHeight="1">
      <c r="A122" s="83"/>
      <c r="B122" s="83"/>
      <c r="C122" s="83"/>
      <c r="D122" s="83"/>
      <c r="E122" s="84"/>
      <c r="F122" s="83"/>
      <c r="G122" s="85"/>
      <c r="H122" s="83"/>
      <c r="I122" s="86"/>
      <c r="J122" s="86"/>
      <c r="K122" s="87"/>
    </row>
    <row r="123" ht="15.75" customHeight="1">
      <c r="A123" s="83"/>
      <c r="B123" s="83"/>
      <c r="C123" s="83"/>
      <c r="D123" s="83"/>
      <c r="E123" s="84"/>
      <c r="F123" s="83"/>
      <c r="G123" s="85"/>
      <c r="H123" s="83"/>
      <c r="I123" s="86"/>
      <c r="J123" s="86"/>
      <c r="K123" s="87"/>
    </row>
    <row r="124" ht="15.75" customHeight="1">
      <c r="A124" s="83"/>
      <c r="B124" s="83"/>
      <c r="C124" s="83"/>
      <c r="D124" s="83"/>
      <c r="E124" s="84"/>
      <c r="F124" s="83"/>
      <c r="G124" s="85"/>
      <c r="H124" s="83"/>
      <c r="I124" s="86"/>
      <c r="J124" s="86"/>
      <c r="K124" s="87"/>
    </row>
    <row r="125" ht="15.75" customHeight="1">
      <c r="A125" s="83"/>
      <c r="B125" s="83"/>
      <c r="C125" s="83"/>
      <c r="D125" s="83"/>
      <c r="E125" s="84"/>
      <c r="F125" s="83"/>
      <c r="G125" s="85"/>
      <c r="H125" s="83"/>
      <c r="I125" s="86"/>
      <c r="J125" s="86"/>
      <c r="K125" s="87"/>
    </row>
    <row r="126" ht="15.75" customHeight="1">
      <c r="A126" s="83"/>
      <c r="B126" s="83"/>
      <c r="C126" s="83"/>
      <c r="D126" s="83"/>
      <c r="E126" s="84"/>
      <c r="F126" s="83"/>
      <c r="G126" s="85"/>
      <c r="H126" s="83"/>
      <c r="I126" s="86"/>
      <c r="J126" s="86"/>
      <c r="K126" s="87"/>
    </row>
    <row r="127" ht="15.75" customHeight="1">
      <c r="A127" s="83"/>
      <c r="B127" s="83"/>
      <c r="C127" s="83"/>
      <c r="D127" s="83"/>
      <c r="E127" s="84"/>
      <c r="F127" s="83"/>
      <c r="G127" s="85"/>
      <c r="H127" s="83"/>
      <c r="I127" s="86"/>
      <c r="J127" s="86"/>
      <c r="K127" s="87"/>
    </row>
    <row r="128" ht="15.75" customHeight="1">
      <c r="A128" s="83"/>
      <c r="B128" s="83"/>
      <c r="C128" s="83"/>
      <c r="D128" s="83"/>
      <c r="E128" s="84"/>
      <c r="F128" s="83"/>
      <c r="G128" s="85"/>
      <c r="H128" s="83"/>
      <c r="I128" s="86"/>
      <c r="J128" s="86"/>
      <c r="K128" s="87"/>
    </row>
    <row r="129" ht="15.75" customHeight="1">
      <c r="A129" s="83"/>
      <c r="B129" s="83"/>
      <c r="C129" s="83"/>
      <c r="D129" s="83"/>
      <c r="E129" s="84"/>
      <c r="F129" s="83"/>
      <c r="G129" s="85"/>
      <c r="H129" s="83"/>
      <c r="I129" s="86"/>
      <c r="J129" s="86"/>
      <c r="K129" s="87"/>
    </row>
    <row r="130" ht="15.75" customHeight="1">
      <c r="E130" s="88"/>
      <c r="G130" s="89"/>
      <c r="I130" s="90"/>
      <c r="J130" s="90"/>
      <c r="K130" s="87"/>
    </row>
    <row r="131" ht="15.75" customHeight="1">
      <c r="E131" s="88"/>
      <c r="G131" s="89"/>
      <c r="I131" s="90"/>
      <c r="J131" s="90"/>
      <c r="K131" s="87"/>
    </row>
    <row r="132" ht="15.75" customHeight="1">
      <c r="E132" s="88"/>
      <c r="G132" s="89"/>
      <c r="I132" s="90"/>
      <c r="J132" s="90"/>
      <c r="K132" s="87"/>
    </row>
    <row r="133" ht="15.75" customHeight="1">
      <c r="E133" s="88"/>
      <c r="G133" s="89"/>
      <c r="I133" s="90"/>
      <c r="J133" s="90"/>
      <c r="K133" s="87"/>
    </row>
    <row r="134" ht="15.75" customHeight="1">
      <c r="E134" s="88"/>
      <c r="G134" s="89"/>
      <c r="I134" s="90"/>
      <c r="J134" s="90"/>
      <c r="K134" s="87"/>
    </row>
    <row r="135" ht="15.75" customHeight="1">
      <c r="E135" s="88"/>
      <c r="G135" s="89"/>
      <c r="I135" s="90"/>
      <c r="J135" s="90"/>
      <c r="K135" s="87"/>
    </row>
    <row r="136" ht="15.75" customHeight="1">
      <c r="E136" s="88"/>
      <c r="G136" s="89"/>
      <c r="I136" s="90"/>
      <c r="J136" s="90"/>
      <c r="K136" s="87"/>
    </row>
    <row r="137" ht="15.75" customHeight="1">
      <c r="E137" s="88"/>
      <c r="G137" s="89"/>
      <c r="I137" s="90"/>
      <c r="J137" s="90"/>
      <c r="K137" s="87"/>
    </row>
    <row r="138" ht="15.75" customHeight="1">
      <c r="E138" s="88"/>
      <c r="G138" s="89"/>
      <c r="I138" s="90"/>
      <c r="J138" s="90"/>
      <c r="K138" s="87"/>
    </row>
    <row r="139" ht="15.75" customHeight="1">
      <c r="E139" s="88"/>
      <c r="G139" s="89"/>
      <c r="I139" s="90"/>
      <c r="J139" s="90"/>
      <c r="K139" s="87"/>
    </row>
    <row r="140" ht="15.75" customHeight="1">
      <c r="E140" s="88"/>
      <c r="G140" s="89"/>
      <c r="I140" s="90"/>
      <c r="J140" s="90"/>
      <c r="K140" s="87"/>
    </row>
    <row r="141" ht="15.75" customHeight="1">
      <c r="E141" s="88"/>
      <c r="G141" s="89"/>
      <c r="I141" s="90"/>
      <c r="J141" s="90"/>
      <c r="K141" s="87"/>
    </row>
    <row r="142" ht="15.75" customHeight="1">
      <c r="E142" s="88"/>
      <c r="G142" s="89"/>
      <c r="I142" s="90"/>
      <c r="J142" s="90"/>
      <c r="K142" s="87"/>
    </row>
    <row r="143" ht="15.75" customHeight="1">
      <c r="E143" s="88"/>
      <c r="G143" s="89"/>
      <c r="I143" s="90"/>
      <c r="J143" s="90"/>
      <c r="K143" s="87"/>
    </row>
    <row r="144" ht="15.75" customHeight="1">
      <c r="E144" s="88"/>
      <c r="G144" s="89"/>
      <c r="I144" s="90"/>
      <c r="J144" s="90"/>
      <c r="K144" s="87"/>
    </row>
    <row r="145" ht="15.75" customHeight="1">
      <c r="E145" s="88"/>
      <c r="G145" s="89"/>
      <c r="I145" s="90"/>
      <c r="J145" s="90"/>
      <c r="K145" s="87"/>
    </row>
    <row r="146" ht="15.75" customHeight="1">
      <c r="E146" s="88"/>
      <c r="G146" s="89"/>
      <c r="I146" s="90"/>
      <c r="J146" s="90"/>
      <c r="K146" s="87"/>
    </row>
    <row r="147" ht="15.75" customHeight="1">
      <c r="E147" s="88"/>
      <c r="G147" s="89"/>
      <c r="I147" s="90"/>
      <c r="J147" s="90"/>
      <c r="K147" s="87"/>
    </row>
    <row r="148" ht="15.75" customHeight="1">
      <c r="E148" s="88"/>
      <c r="G148" s="89"/>
      <c r="I148" s="90"/>
      <c r="J148" s="90"/>
      <c r="K148" s="87"/>
    </row>
    <row r="149" ht="15.75" customHeight="1">
      <c r="E149" s="88"/>
      <c r="G149" s="89"/>
      <c r="I149" s="90"/>
      <c r="J149" s="90"/>
      <c r="K149" s="87"/>
    </row>
    <row r="150" ht="15.75" customHeight="1">
      <c r="E150" s="88"/>
      <c r="G150" s="89"/>
      <c r="I150" s="90"/>
      <c r="J150" s="90"/>
      <c r="K150" s="87"/>
    </row>
    <row r="151" ht="15.75" customHeight="1">
      <c r="E151" s="88"/>
      <c r="G151" s="89"/>
      <c r="I151" s="90"/>
      <c r="J151" s="90"/>
      <c r="K151" s="87"/>
    </row>
    <row r="152" ht="15.75" customHeight="1">
      <c r="E152" s="88"/>
      <c r="G152" s="89"/>
      <c r="I152" s="90"/>
      <c r="J152" s="90"/>
      <c r="K152" s="87"/>
    </row>
    <row r="153" ht="15.75" customHeight="1">
      <c r="E153" s="88"/>
      <c r="G153" s="89"/>
      <c r="I153" s="90"/>
      <c r="J153" s="90"/>
      <c r="K153" s="87"/>
    </row>
    <row r="154" ht="15.75" customHeight="1">
      <c r="E154" s="88"/>
      <c r="G154" s="89"/>
      <c r="I154" s="90"/>
      <c r="J154" s="90"/>
      <c r="K154" s="87"/>
    </row>
    <row r="155" ht="15.75" customHeight="1">
      <c r="E155" s="88"/>
      <c r="G155" s="89"/>
      <c r="I155" s="90"/>
      <c r="J155" s="90"/>
      <c r="K155" s="87"/>
    </row>
    <row r="156" ht="15.75" customHeight="1">
      <c r="E156" s="88"/>
      <c r="G156" s="89"/>
      <c r="I156" s="90"/>
      <c r="J156" s="90"/>
      <c r="K156" s="87"/>
    </row>
    <row r="157" ht="15.75" customHeight="1">
      <c r="E157" s="88"/>
      <c r="G157" s="89"/>
      <c r="I157" s="90"/>
      <c r="J157" s="90"/>
      <c r="K157" s="87"/>
    </row>
    <row r="158" ht="15.75" customHeight="1">
      <c r="E158" s="88"/>
      <c r="G158" s="89"/>
      <c r="I158" s="90"/>
      <c r="J158" s="90"/>
      <c r="K158" s="87"/>
    </row>
    <row r="159" ht="15.75" customHeight="1">
      <c r="E159" s="88"/>
      <c r="G159" s="89"/>
      <c r="I159" s="90"/>
      <c r="J159" s="90"/>
      <c r="K159" s="87"/>
    </row>
    <row r="160" ht="15.75" customHeight="1">
      <c r="E160" s="88"/>
      <c r="G160" s="89"/>
      <c r="I160" s="90"/>
      <c r="J160" s="90"/>
      <c r="K160" s="87"/>
    </row>
    <row r="161" ht="15.75" customHeight="1">
      <c r="E161" s="88"/>
      <c r="G161" s="89"/>
      <c r="I161" s="90"/>
      <c r="J161" s="90"/>
      <c r="K161" s="87"/>
    </row>
    <row r="162" ht="15.75" customHeight="1">
      <c r="E162" s="88"/>
      <c r="G162" s="89"/>
      <c r="I162" s="90"/>
      <c r="J162" s="90"/>
      <c r="K162" s="87"/>
    </row>
    <row r="163" ht="15.75" customHeight="1">
      <c r="E163" s="88"/>
      <c r="G163" s="89"/>
      <c r="I163" s="90"/>
      <c r="J163" s="90"/>
      <c r="K163" s="87"/>
    </row>
    <row r="164" ht="15.75" customHeight="1">
      <c r="E164" s="88"/>
      <c r="G164" s="89"/>
      <c r="I164" s="90"/>
      <c r="J164" s="90"/>
      <c r="K164" s="87"/>
    </row>
    <row r="165" ht="15.75" customHeight="1">
      <c r="E165" s="88"/>
      <c r="G165" s="89"/>
      <c r="I165" s="90"/>
      <c r="J165" s="90"/>
      <c r="K165" s="87"/>
    </row>
    <row r="166" ht="15.75" customHeight="1">
      <c r="E166" s="88"/>
      <c r="G166" s="89"/>
      <c r="I166" s="90"/>
      <c r="J166" s="90"/>
      <c r="K166" s="87"/>
    </row>
    <row r="167" ht="15.75" customHeight="1">
      <c r="E167" s="88"/>
      <c r="G167" s="89"/>
      <c r="I167" s="90"/>
      <c r="J167" s="90"/>
      <c r="K167" s="87"/>
    </row>
    <row r="168" ht="15.75" customHeight="1">
      <c r="E168" s="88"/>
      <c r="G168" s="89"/>
      <c r="I168" s="90"/>
      <c r="J168" s="90"/>
      <c r="K168" s="87"/>
    </row>
    <row r="169" ht="15.75" customHeight="1">
      <c r="E169" s="88"/>
      <c r="G169" s="89"/>
      <c r="I169" s="90"/>
      <c r="J169" s="90"/>
      <c r="K169" s="87"/>
    </row>
    <row r="170" ht="15.75" customHeight="1">
      <c r="E170" s="88"/>
      <c r="G170" s="89"/>
      <c r="I170" s="90"/>
      <c r="J170" s="90"/>
      <c r="K170" s="87"/>
    </row>
    <row r="171" ht="15.75" customHeight="1">
      <c r="E171" s="88"/>
      <c r="G171" s="89"/>
      <c r="I171" s="90"/>
      <c r="J171" s="90"/>
      <c r="K171" s="87"/>
    </row>
    <row r="172" ht="15.75" customHeight="1">
      <c r="E172" s="88"/>
      <c r="G172" s="89"/>
      <c r="I172" s="90"/>
      <c r="J172" s="90"/>
      <c r="K172" s="87"/>
    </row>
    <row r="173" ht="15.75" customHeight="1">
      <c r="E173" s="88"/>
      <c r="G173" s="89"/>
      <c r="I173" s="90"/>
      <c r="J173" s="90"/>
      <c r="K173" s="87"/>
    </row>
    <row r="174" ht="15.75" customHeight="1">
      <c r="E174" s="88"/>
      <c r="I174" s="90"/>
      <c r="J174" s="90"/>
      <c r="K174" s="87"/>
    </row>
    <row r="175" ht="15.75" customHeight="1">
      <c r="E175" s="88"/>
      <c r="I175" s="90"/>
      <c r="J175" s="90"/>
      <c r="K175" s="87"/>
    </row>
    <row r="176" ht="15.75" customHeight="1">
      <c r="E176" s="88"/>
      <c r="I176" s="90"/>
      <c r="J176" s="90"/>
      <c r="K176" s="87"/>
    </row>
    <row r="177" ht="15.75" customHeight="1">
      <c r="E177" s="88"/>
      <c r="I177" s="90"/>
      <c r="J177" s="90"/>
      <c r="K177" s="87"/>
    </row>
    <row r="178" ht="15.75" customHeight="1">
      <c r="E178" s="88"/>
      <c r="I178" s="90"/>
      <c r="J178" s="90"/>
      <c r="K178" s="87"/>
    </row>
    <row r="179" ht="15.75" customHeight="1">
      <c r="E179" s="88"/>
      <c r="I179" s="90"/>
      <c r="J179" s="90"/>
      <c r="K179" s="87"/>
    </row>
    <row r="180" ht="15.75" customHeight="1">
      <c r="E180" s="88"/>
      <c r="I180" s="90"/>
      <c r="J180" s="90"/>
      <c r="K180" s="87"/>
    </row>
    <row r="181" ht="15.75" customHeight="1">
      <c r="E181" s="88"/>
      <c r="I181" s="90"/>
      <c r="J181" s="90"/>
      <c r="K181" s="87"/>
    </row>
    <row r="182" ht="15.75" customHeight="1">
      <c r="E182" s="88"/>
      <c r="I182" s="90"/>
      <c r="J182" s="90"/>
      <c r="K182" s="87"/>
    </row>
    <row r="183" ht="15.75" customHeight="1">
      <c r="E183" s="88"/>
      <c r="I183" s="90"/>
      <c r="J183" s="90"/>
      <c r="K183" s="87"/>
    </row>
    <row r="184" ht="15.75" customHeight="1">
      <c r="E184" s="88"/>
      <c r="I184" s="90"/>
      <c r="J184" s="90"/>
      <c r="K184" s="87"/>
    </row>
    <row r="185" ht="15.75" customHeight="1">
      <c r="E185" s="88"/>
      <c r="I185" s="90"/>
      <c r="J185" s="90"/>
      <c r="K185" s="87"/>
    </row>
    <row r="186" ht="15.75" customHeight="1">
      <c r="E186" s="88"/>
      <c r="I186" s="90"/>
      <c r="J186" s="90"/>
      <c r="K186" s="87"/>
    </row>
    <row r="187" ht="15.75" customHeight="1">
      <c r="E187" s="88"/>
      <c r="I187" s="90"/>
      <c r="J187" s="90"/>
      <c r="K187" s="87"/>
    </row>
    <row r="188" ht="15.75" customHeight="1">
      <c r="E188" s="88"/>
      <c r="I188" s="90"/>
      <c r="J188" s="90"/>
      <c r="K188" s="87"/>
    </row>
    <row r="189" ht="15.75" customHeight="1">
      <c r="E189" s="88"/>
      <c r="I189" s="90"/>
      <c r="J189" s="90"/>
      <c r="K189" s="87"/>
    </row>
    <row r="190" ht="15.75" customHeight="1">
      <c r="E190" s="88"/>
      <c r="I190" s="90"/>
      <c r="J190" s="90"/>
      <c r="K190" s="87"/>
    </row>
    <row r="191" ht="15.75" customHeight="1">
      <c r="E191" s="88"/>
      <c r="I191" s="90"/>
      <c r="J191" s="90"/>
      <c r="K191" s="87"/>
    </row>
    <row r="192" ht="15.75" customHeight="1">
      <c r="E192" s="88"/>
      <c r="I192" s="90"/>
      <c r="J192" s="90"/>
      <c r="K192" s="87"/>
    </row>
    <row r="193" ht="15.75" customHeight="1">
      <c r="E193" s="88"/>
      <c r="I193" s="90"/>
      <c r="J193" s="90"/>
      <c r="K193" s="87"/>
    </row>
    <row r="194" ht="15.75" customHeight="1">
      <c r="E194" s="88"/>
      <c r="I194" s="90"/>
      <c r="J194" s="90"/>
      <c r="K194" s="87"/>
    </row>
    <row r="195" ht="15.75" customHeight="1">
      <c r="E195" s="88"/>
      <c r="I195" s="90"/>
      <c r="J195" s="90"/>
      <c r="K195" s="90"/>
    </row>
    <row r="196" ht="15.75" customHeight="1">
      <c r="E196" s="88"/>
      <c r="I196" s="90"/>
      <c r="J196" s="90"/>
      <c r="K196" s="90"/>
    </row>
    <row r="197" ht="15.75" customHeight="1">
      <c r="E197" s="88"/>
      <c r="I197" s="90"/>
      <c r="J197" s="90"/>
      <c r="K197" s="90"/>
    </row>
    <row r="198" ht="15.75" customHeight="1">
      <c r="E198" s="88"/>
      <c r="I198" s="90"/>
      <c r="J198" s="90"/>
      <c r="K198" s="90"/>
    </row>
    <row r="199" ht="15.75" customHeight="1">
      <c r="E199" s="88"/>
      <c r="I199" s="90"/>
      <c r="J199" s="90"/>
      <c r="K199" s="90"/>
    </row>
    <row r="200" ht="15.75" customHeight="1">
      <c r="E200" s="88"/>
      <c r="I200" s="90"/>
      <c r="J200" s="90"/>
      <c r="K200" s="90"/>
    </row>
    <row r="201" ht="15.75" customHeight="1">
      <c r="E201" s="88"/>
      <c r="I201" s="90"/>
      <c r="J201" s="90"/>
      <c r="K201" s="90"/>
    </row>
    <row r="202" ht="15.75" customHeight="1">
      <c r="E202" s="88"/>
      <c r="I202" s="90"/>
      <c r="J202" s="90"/>
      <c r="K202" s="90"/>
    </row>
    <row r="203" ht="15.75" customHeight="1">
      <c r="E203" s="88"/>
      <c r="I203" s="90"/>
      <c r="J203" s="90"/>
      <c r="K203" s="90"/>
    </row>
    <row r="204" ht="15.75" customHeight="1">
      <c r="E204" s="88"/>
      <c r="I204" s="90"/>
      <c r="J204" s="90"/>
      <c r="K204" s="90"/>
    </row>
    <row r="205" ht="15.75" customHeight="1">
      <c r="E205" s="88"/>
      <c r="I205" s="90"/>
      <c r="J205" s="90"/>
      <c r="K205" s="90"/>
    </row>
    <row r="206" ht="15.75" customHeight="1">
      <c r="E206" s="88"/>
      <c r="I206" s="90"/>
      <c r="J206" s="90"/>
      <c r="K206" s="90"/>
    </row>
    <row r="207" ht="15.75" customHeight="1">
      <c r="E207" s="88"/>
      <c r="I207" s="90"/>
      <c r="J207" s="90"/>
      <c r="K207" s="90"/>
    </row>
    <row r="208" ht="15.75" customHeight="1">
      <c r="E208" s="88"/>
      <c r="I208" s="90"/>
      <c r="J208" s="90"/>
      <c r="K208" s="90"/>
    </row>
    <row r="209" ht="15.75" customHeight="1">
      <c r="E209" s="88"/>
      <c r="I209" s="90"/>
      <c r="J209" s="90"/>
      <c r="K209" s="90"/>
    </row>
    <row r="210" ht="15.75" customHeight="1">
      <c r="E210" s="88"/>
      <c r="I210" s="90"/>
      <c r="J210" s="90"/>
      <c r="K210" s="90"/>
    </row>
    <row r="211" ht="15.75" customHeight="1">
      <c r="E211" s="88"/>
      <c r="I211" s="90"/>
      <c r="J211" s="90"/>
      <c r="K211" s="90"/>
    </row>
    <row r="212" ht="15.75" customHeight="1">
      <c r="E212" s="88"/>
      <c r="I212" s="90"/>
      <c r="J212" s="90"/>
      <c r="K212" s="90"/>
    </row>
    <row r="213" ht="15.75" customHeight="1">
      <c r="E213" s="88"/>
      <c r="I213" s="90"/>
      <c r="J213" s="90"/>
      <c r="K213" s="90"/>
    </row>
    <row r="214" ht="15.75" customHeight="1">
      <c r="E214" s="88"/>
      <c r="I214" s="90"/>
      <c r="J214" s="90"/>
      <c r="K214" s="90"/>
    </row>
    <row r="215" ht="15.75" customHeight="1">
      <c r="E215" s="88"/>
      <c r="I215" s="90"/>
      <c r="J215" s="90"/>
      <c r="K215" s="90"/>
    </row>
    <row r="216" ht="15.75" customHeight="1">
      <c r="E216" s="88"/>
      <c r="I216" s="90"/>
      <c r="J216" s="90"/>
      <c r="K216" s="90"/>
    </row>
    <row r="217" ht="15.75" customHeight="1">
      <c r="E217" s="88"/>
      <c r="I217" s="90"/>
      <c r="J217" s="90"/>
      <c r="K217" s="90"/>
    </row>
    <row r="218" ht="15.75" customHeight="1">
      <c r="E218" s="88"/>
      <c r="I218" s="90"/>
      <c r="J218" s="90"/>
      <c r="K218" s="90"/>
    </row>
    <row r="219" ht="15.75" customHeight="1">
      <c r="E219" s="88"/>
      <c r="I219" s="90"/>
      <c r="J219" s="90"/>
      <c r="K219" s="90"/>
    </row>
    <row r="220" ht="15.75" customHeight="1">
      <c r="E220" s="88"/>
      <c r="I220" s="90"/>
      <c r="J220" s="90"/>
      <c r="K220" s="90"/>
    </row>
    <row r="221" ht="15.75" customHeight="1">
      <c r="E221" s="88"/>
      <c r="I221" s="90"/>
      <c r="J221" s="90"/>
      <c r="K221" s="90"/>
    </row>
    <row r="222" ht="15.75" customHeight="1">
      <c r="E222" s="88"/>
      <c r="I222" s="90"/>
      <c r="J222" s="90"/>
      <c r="K222" s="90"/>
    </row>
    <row r="223" ht="15.75" customHeight="1">
      <c r="E223" s="88"/>
      <c r="I223" s="90"/>
      <c r="J223" s="90"/>
      <c r="K223" s="90"/>
    </row>
    <row r="224" ht="15.75" customHeight="1">
      <c r="E224" s="88"/>
      <c r="I224" s="90"/>
      <c r="J224" s="90"/>
      <c r="K224" s="90"/>
    </row>
    <row r="225" ht="15.75" customHeight="1">
      <c r="E225" s="88"/>
      <c r="I225" s="90"/>
      <c r="J225" s="90"/>
      <c r="K225" s="90"/>
    </row>
    <row r="226" ht="15.75" customHeight="1">
      <c r="E226" s="88"/>
      <c r="I226" s="90"/>
      <c r="J226" s="90"/>
      <c r="K226" s="90"/>
    </row>
    <row r="227" ht="15.75" customHeight="1">
      <c r="E227" s="88"/>
      <c r="I227" s="90"/>
      <c r="J227" s="90"/>
      <c r="K227" s="90"/>
    </row>
    <row r="228" ht="15.75" customHeight="1">
      <c r="E228" s="88"/>
      <c r="I228" s="90"/>
      <c r="J228" s="90"/>
      <c r="K228" s="90"/>
    </row>
    <row r="229" ht="15.75" customHeight="1">
      <c r="E229" s="88"/>
      <c r="I229" s="90"/>
      <c r="J229" s="90"/>
      <c r="K229" s="90"/>
    </row>
    <row r="230" ht="15.75" customHeight="1">
      <c r="E230" s="88"/>
      <c r="I230" s="90"/>
      <c r="J230" s="90"/>
      <c r="K230" s="90"/>
    </row>
    <row r="231" ht="15.75" customHeight="1">
      <c r="E231" s="88"/>
      <c r="I231" s="90"/>
      <c r="J231" s="90"/>
      <c r="K231" s="90"/>
    </row>
    <row r="232" ht="15.75" customHeight="1">
      <c r="E232" s="88"/>
      <c r="I232" s="90"/>
      <c r="J232" s="90"/>
      <c r="K232" s="90"/>
    </row>
    <row r="233" ht="15.75" customHeight="1">
      <c r="E233" s="88"/>
      <c r="I233" s="90"/>
      <c r="J233" s="90"/>
      <c r="K233" s="90"/>
    </row>
    <row r="234" ht="15.75" customHeight="1">
      <c r="E234" s="88"/>
      <c r="I234" s="90"/>
      <c r="J234" s="90"/>
      <c r="K234" s="90"/>
    </row>
    <row r="235" ht="15.75" customHeight="1">
      <c r="E235" s="88"/>
      <c r="I235" s="90"/>
      <c r="J235" s="90"/>
      <c r="K235" s="90"/>
    </row>
    <row r="236" ht="15.75" customHeight="1">
      <c r="E236" s="88"/>
      <c r="I236" s="90"/>
      <c r="J236" s="90"/>
      <c r="K236" s="90"/>
    </row>
    <row r="237" ht="15.75" customHeight="1">
      <c r="E237" s="88"/>
      <c r="I237" s="90"/>
      <c r="J237" s="90"/>
      <c r="K237" s="90"/>
    </row>
    <row r="238" ht="15.75" customHeight="1">
      <c r="E238" s="88"/>
      <c r="I238" s="90"/>
      <c r="J238" s="90"/>
      <c r="K238" s="90"/>
    </row>
    <row r="239" ht="15.75" customHeight="1">
      <c r="E239" s="88"/>
      <c r="I239" s="90"/>
      <c r="J239" s="90"/>
      <c r="K239" s="90"/>
    </row>
    <row r="240" ht="15.75" customHeight="1">
      <c r="E240" s="88"/>
      <c r="I240" s="90"/>
      <c r="J240" s="90"/>
      <c r="K240" s="90"/>
    </row>
    <row r="241" ht="15.75" customHeight="1">
      <c r="E241" s="88"/>
      <c r="I241" s="90"/>
      <c r="J241" s="90"/>
      <c r="K241" s="90"/>
    </row>
    <row r="242" ht="15.75" customHeight="1">
      <c r="E242" s="88"/>
      <c r="I242" s="90"/>
      <c r="J242" s="90"/>
      <c r="K242" s="90"/>
    </row>
    <row r="243" ht="15.75" customHeight="1">
      <c r="E243" s="88"/>
      <c r="I243" s="90"/>
      <c r="J243" s="90"/>
      <c r="K243" s="90"/>
    </row>
    <row r="244" ht="15.75" customHeight="1">
      <c r="E244" s="88"/>
      <c r="I244" s="90"/>
      <c r="J244" s="90"/>
      <c r="K244" s="90"/>
    </row>
    <row r="245" ht="15.75" customHeight="1">
      <c r="E245" s="88"/>
      <c r="I245" s="90"/>
      <c r="J245" s="90"/>
      <c r="K245" s="90"/>
    </row>
    <row r="246" ht="15.75" customHeight="1">
      <c r="E246" s="88"/>
      <c r="I246" s="90"/>
      <c r="J246" s="90"/>
      <c r="K246" s="90"/>
    </row>
    <row r="247" ht="15.75" customHeight="1">
      <c r="E247" s="88"/>
      <c r="I247" s="90"/>
      <c r="J247" s="90"/>
      <c r="K247" s="90"/>
    </row>
    <row r="248" ht="15.75" customHeight="1">
      <c r="E248" s="88"/>
      <c r="I248" s="90"/>
      <c r="J248" s="90"/>
      <c r="K248" s="90"/>
    </row>
    <row r="249" ht="15.75" customHeight="1">
      <c r="E249" s="88"/>
      <c r="I249" s="90"/>
      <c r="J249" s="90"/>
      <c r="K249" s="90"/>
    </row>
    <row r="250" ht="15.75" customHeight="1">
      <c r="E250" s="88"/>
      <c r="I250" s="90"/>
      <c r="J250" s="90"/>
      <c r="K250" s="90"/>
    </row>
    <row r="251" ht="15.75" customHeight="1">
      <c r="E251" s="88"/>
      <c r="I251" s="90"/>
      <c r="J251" s="90"/>
      <c r="K251" s="90"/>
    </row>
    <row r="252" ht="15.75" customHeight="1">
      <c r="E252" s="88"/>
      <c r="I252" s="90"/>
      <c r="J252" s="90"/>
      <c r="K252" s="90"/>
    </row>
    <row r="253" ht="15.75" customHeight="1">
      <c r="E253" s="88"/>
      <c r="I253" s="90"/>
      <c r="J253" s="90"/>
      <c r="K253" s="90"/>
    </row>
    <row r="254" ht="15.75" customHeight="1">
      <c r="E254" s="88"/>
      <c r="I254" s="90"/>
      <c r="J254" s="90"/>
      <c r="K254" s="90"/>
    </row>
    <row r="255" ht="15.75" customHeight="1">
      <c r="E255" s="88"/>
      <c r="I255" s="90"/>
      <c r="J255" s="90"/>
      <c r="K255" s="90"/>
    </row>
    <row r="256" ht="15.75" customHeight="1">
      <c r="E256" s="88"/>
      <c r="I256" s="90"/>
      <c r="J256" s="90"/>
      <c r="K256" s="90"/>
    </row>
    <row r="257" ht="15.75" customHeight="1">
      <c r="E257" s="88"/>
      <c r="I257" s="90"/>
      <c r="J257" s="90"/>
      <c r="K257" s="90"/>
    </row>
    <row r="258" ht="15.75" customHeight="1">
      <c r="E258" s="88"/>
      <c r="I258" s="90"/>
      <c r="J258" s="90"/>
      <c r="K258" s="90"/>
    </row>
    <row r="259" ht="15.75" customHeight="1">
      <c r="E259" s="88"/>
      <c r="I259" s="90"/>
      <c r="J259" s="90"/>
      <c r="K259" s="90"/>
    </row>
    <row r="260" ht="15.75" customHeight="1">
      <c r="E260" s="88"/>
      <c r="I260" s="90"/>
      <c r="J260" s="90"/>
      <c r="K260" s="90"/>
    </row>
    <row r="261" ht="15.75" customHeight="1">
      <c r="E261" s="88"/>
      <c r="I261" s="90"/>
      <c r="J261" s="90"/>
      <c r="K261" s="90"/>
    </row>
    <row r="262" ht="15.75" customHeight="1">
      <c r="E262" s="88"/>
      <c r="I262" s="90"/>
      <c r="J262" s="90"/>
      <c r="K262" s="90"/>
    </row>
    <row r="263" ht="15.75" customHeight="1">
      <c r="E263" s="88"/>
      <c r="I263" s="90"/>
      <c r="J263" s="90"/>
      <c r="K263" s="90"/>
    </row>
    <row r="264" ht="15.75" customHeight="1">
      <c r="E264" s="88"/>
      <c r="I264" s="90"/>
      <c r="J264" s="90"/>
      <c r="K264" s="90"/>
    </row>
    <row r="265" ht="15.75" customHeight="1">
      <c r="E265" s="88"/>
      <c r="I265" s="90"/>
      <c r="J265" s="90"/>
      <c r="K265" s="90"/>
    </row>
    <row r="266" ht="15.75" customHeight="1">
      <c r="E266" s="88"/>
      <c r="I266" s="90"/>
      <c r="J266" s="90"/>
      <c r="K266" s="90"/>
    </row>
    <row r="267" ht="15.75" customHeight="1">
      <c r="E267" s="88"/>
      <c r="I267" s="90"/>
      <c r="J267" s="90"/>
      <c r="K267" s="90"/>
    </row>
    <row r="268" ht="15.75" customHeight="1">
      <c r="E268" s="88"/>
      <c r="I268" s="90"/>
      <c r="J268" s="90"/>
      <c r="K268" s="90"/>
    </row>
    <row r="269" ht="15.75" customHeight="1">
      <c r="E269" s="88"/>
      <c r="I269" s="90"/>
      <c r="J269" s="90"/>
      <c r="K269" s="90"/>
    </row>
    <row r="270" ht="15.75" customHeight="1">
      <c r="E270" s="88"/>
      <c r="I270" s="90"/>
      <c r="J270" s="90"/>
      <c r="K270" s="90"/>
    </row>
    <row r="271" ht="15.75" customHeight="1">
      <c r="E271" s="88"/>
      <c r="I271" s="90"/>
      <c r="J271" s="90"/>
      <c r="K271" s="90"/>
    </row>
    <row r="272" ht="15.75" customHeight="1">
      <c r="E272" s="88"/>
      <c r="I272" s="90"/>
      <c r="J272" s="90"/>
      <c r="K272" s="90"/>
    </row>
    <row r="273" ht="15.75" customHeight="1">
      <c r="E273" s="88"/>
      <c r="I273" s="90"/>
      <c r="J273" s="90"/>
      <c r="K273" s="90"/>
    </row>
    <row r="274" ht="15.75" customHeight="1">
      <c r="E274" s="88"/>
      <c r="I274" s="90"/>
      <c r="J274" s="90"/>
      <c r="K274" s="90"/>
    </row>
    <row r="275" ht="15.75" customHeight="1">
      <c r="E275" s="88"/>
      <c r="I275" s="90"/>
      <c r="J275" s="90"/>
      <c r="K275" s="90"/>
    </row>
    <row r="276" ht="15.75" customHeight="1">
      <c r="E276" s="88"/>
      <c r="I276" s="90"/>
      <c r="J276" s="90"/>
      <c r="K276" s="90"/>
    </row>
    <row r="277" ht="15.75" customHeight="1">
      <c r="E277" s="88"/>
      <c r="I277" s="90"/>
      <c r="J277" s="90"/>
      <c r="K277" s="90"/>
    </row>
    <row r="278" ht="15.75" customHeight="1">
      <c r="E278" s="88"/>
      <c r="I278" s="90"/>
      <c r="J278" s="90"/>
      <c r="K278" s="90"/>
    </row>
    <row r="279" ht="15.75" customHeight="1">
      <c r="E279" s="88"/>
      <c r="I279" s="90"/>
      <c r="J279" s="90"/>
      <c r="K279" s="90"/>
    </row>
    <row r="280" ht="15.75" customHeight="1">
      <c r="E280" s="88"/>
      <c r="I280" s="90"/>
      <c r="J280" s="90"/>
      <c r="K280" s="90"/>
    </row>
    <row r="281" ht="15.75" customHeight="1">
      <c r="E281" s="88"/>
      <c r="I281" s="90"/>
      <c r="J281" s="90"/>
      <c r="K281" s="90"/>
    </row>
    <row r="282" ht="15.75" customHeight="1">
      <c r="E282" s="88"/>
      <c r="I282" s="90"/>
      <c r="J282" s="90"/>
      <c r="K282" s="90"/>
    </row>
    <row r="283" ht="15.75" customHeight="1">
      <c r="E283" s="88"/>
      <c r="I283" s="90"/>
      <c r="J283" s="90"/>
      <c r="K283" s="90"/>
    </row>
    <row r="284" ht="15.75" customHeight="1">
      <c r="E284" s="88"/>
      <c r="I284" s="90"/>
      <c r="J284" s="90"/>
      <c r="K284" s="90"/>
    </row>
    <row r="285" ht="15.75" customHeight="1">
      <c r="E285" s="88"/>
      <c r="I285" s="90"/>
      <c r="J285" s="90"/>
      <c r="K285" s="90"/>
    </row>
    <row r="286" ht="15.75" customHeight="1">
      <c r="E286" s="88"/>
      <c r="I286" s="90"/>
      <c r="J286" s="90"/>
      <c r="K286" s="90"/>
    </row>
    <row r="287" ht="15.75" customHeight="1">
      <c r="E287" s="88"/>
      <c r="I287" s="90"/>
      <c r="J287" s="90"/>
      <c r="K287" s="90"/>
    </row>
    <row r="288" ht="15.75" customHeight="1">
      <c r="E288" s="88"/>
      <c r="I288" s="90"/>
      <c r="J288" s="90"/>
      <c r="K288" s="90"/>
    </row>
    <row r="289" ht="15.75" customHeight="1">
      <c r="E289" s="88"/>
      <c r="I289" s="90"/>
      <c r="J289" s="90"/>
      <c r="K289" s="90"/>
    </row>
    <row r="290" ht="15.75" customHeight="1">
      <c r="E290" s="88"/>
      <c r="I290" s="90"/>
      <c r="J290" s="90"/>
      <c r="K290" s="90"/>
    </row>
    <row r="291" ht="15.75" customHeight="1">
      <c r="E291" s="88"/>
      <c r="I291" s="90"/>
      <c r="J291" s="90"/>
      <c r="K291" s="90"/>
    </row>
    <row r="292" ht="15.75" customHeight="1">
      <c r="E292" s="88"/>
      <c r="I292" s="90"/>
      <c r="J292" s="90"/>
      <c r="K292" s="90"/>
    </row>
    <row r="293" ht="15.75" customHeight="1">
      <c r="E293" s="88"/>
      <c r="I293" s="90"/>
      <c r="J293" s="90"/>
      <c r="K293" s="90"/>
    </row>
    <row r="294" ht="15.75" customHeight="1">
      <c r="E294" s="88"/>
      <c r="I294" s="90"/>
      <c r="J294" s="90"/>
      <c r="K294" s="90"/>
    </row>
    <row r="295" ht="15.75" customHeight="1">
      <c r="E295" s="88"/>
      <c r="I295" s="90"/>
      <c r="J295" s="90"/>
      <c r="K295" s="90"/>
    </row>
    <row r="296" ht="15.75" customHeight="1">
      <c r="E296" s="88"/>
      <c r="I296" s="90"/>
      <c r="J296" s="90"/>
      <c r="K296" s="90"/>
    </row>
    <row r="297" ht="15.75" customHeight="1">
      <c r="E297" s="88"/>
      <c r="I297" s="90"/>
      <c r="J297" s="90"/>
      <c r="K297" s="90"/>
    </row>
    <row r="298" ht="15.75" customHeight="1">
      <c r="E298" s="88"/>
      <c r="I298" s="90"/>
      <c r="J298" s="90"/>
      <c r="K298" s="90"/>
    </row>
    <row r="299" ht="15.75" customHeight="1">
      <c r="E299" s="88"/>
      <c r="I299" s="90"/>
      <c r="J299" s="90"/>
      <c r="K299" s="90"/>
    </row>
    <row r="300" ht="15.75" customHeight="1">
      <c r="E300" s="88"/>
      <c r="I300" s="90"/>
      <c r="J300" s="90"/>
      <c r="K300" s="90"/>
    </row>
    <row r="301" ht="15.75" customHeight="1">
      <c r="E301" s="88"/>
      <c r="I301" s="90"/>
      <c r="J301" s="90"/>
      <c r="K301" s="90"/>
    </row>
    <row r="302" ht="15.75" customHeight="1">
      <c r="E302" s="88"/>
      <c r="I302" s="90"/>
      <c r="J302" s="90"/>
      <c r="K302" s="90"/>
    </row>
    <row r="303" ht="15.75" customHeight="1">
      <c r="E303" s="88"/>
      <c r="I303" s="90"/>
      <c r="J303" s="90"/>
      <c r="K303" s="90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</sheetData>
  <autoFilter ref="$A$5:$K$4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29"/>
    <col customWidth="1" min="2" max="2" width="13.29"/>
    <col customWidth="1" min="3" max="3" width="40.86"/>
    <col customWidth="1" min="4" max="4" width="11.29"/>
    <col customWidth="1" min="5" max="5" width="8.57"/>
    <col customWidth="1" min="6" max="6" width="26.43"/>
    <col customWidth="1" min="7" max="7" width="25.71"/>
    <col customWidth="1" min="8" max="8" width="10.71"/>
    <col customWidth="1" min="9" max="9" width="11.71"/>
  </cols>
  <sheetData>
    <row r="1" ht="12.75" customHeight="1">
      <c r="A1" s="1"/>
      <c r="B1" s="3"/>
      <c r="C1" s="4"/>
      <c r="D1" s="91"/>
      <c r="E1" s="6"/>
      <c r="F1" s="7"/>
      <c r="G1" s="7"/>
      <c r="H1" s="7"/>
      <c r="I1" s="7"/>
    </row>
    <row r="2" ht="12.75" customHeight="1">
      <c r="A2" s="1"/>
      <c r="B2" s="3"/>
      <c r="C2" s="4"/>
      <c r="D2" s="91"/>
      <c r="E2" s="6"/>
      <c r="F2" s="7"/>
      <c r="G2" s="7"/>
      <c r="H2" s="7"/>
      <c r="I2" s="7"/>
    </row>
    <row r="3" ht="12.75" customHeight="1">
      <c r="A3" s="1"/>
      <c r="B3" s="3"/>
      <c r="C3" s="4"/>
      <c r="D3" s="91"/>
      <c r="E3" s="6"/>
      <c r="F3" s="7"/>
      <c r="G3" s="7"/>
      <c r="H3" s="7"/>
      <c r="I3" s="7"/>
    </row>
    <row r="4" ht="12.75" customHeight="1">
      <c r="A4" s="12"/>
      <c r="B4" s="7"/>
      <c r="C4" s="7"/>
      <c r="D4" s="91"/>
      <c r="E4" s="6"/>
      <c r="F4" s="7"/>
      <c r="G4" s="7"/>
      <c r="H4" s="7"/>
      <c r="I4" s="7"/>
    </row>
    <row r="5" ht="12.75" customHeight="1">
      <c r="A5" s="13" t="s">
        <v>4</v>
      </c>
      <c r="B5" s="15" t="s">
        <v>6</v>
      </c>
      <c r="C5" s="15" t="s">
        <v>7</v>
      </c>
      <c r="D5" s="92" t="s">
        <v>8</v>
      </c>
      <c r="E5" s="17" t="s">
        <v>9</v>
      </c>
      <c r="F5" s="15" t="s">
        <v>193</v>
      </c>
      <c r="G5" s="15" t="s">
        <v>194</v>
      </c>
      <c r="H5" s="15" t="s">
        <v>195</v>
      </c>
      <c r="I5" s="15" t="s">
        <v>196</v>
      </c>
    </row>
    <row r="6" ht="16.5" customHeight="1">
      <c r="A6" s="93"/>
      <c r="B6" s="23"/>
      <c r="C6" s="24" t="s">
        <v>197</v>
      </c>
      <c r="D6" s="94"/>
      <c r="E6" s="27"/>
      <c r="F6" s="95"/>
      <c r="G6" s="95"/>
      <c r="H6" s="95"/>
      <c r="I6" s="95"/>
    </row>
    <row r="7" ht="15.0" customHeight="1">
      <c r="A7" s="96">
        <v>45808.0</v>
      </c>
      <c r="B7" s="40" t="s">
        <v>124</v>
      </c>
      <c r="C7" s="64" t="s">
        <v>125</v>
      </c>
      <c r="D7" s="97">
        <v>300.0</v>
      </c>
      <c r="E7" s="98"/>
      <c r="F7" s="99" t="s">
        <v>198</v>
      </c>
      <c r="G7" s="100"/>
      <c r="H7" s="100"/>
      <c r="I7" s="100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</row>
    <row r="8" ht="15.0" customHeight="1">
      <c r="A8" s="102"/>
      <c r="B8" s="40" t="s">
        <v>101</v>
      </c>
      <c r="C8" s="64" t="s">
        <v>102</v>
      </c>
      <c r="D8" s="102">
        <f>25+25</f>
        <v>50</v>
      </c>
      <c r="E8" s="103"/>
      <c r="F8" s="99" t="s">
        <v>198</v>
      </c>
      <c r="G8" s="100"/>
      <c r="H8" s="100"/>
      <c r="I8" s="100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</row>
    <row r="9" ht="15.0" customHeight="1">
      <c r="A9" s="102"/>
      <c r="B9" s="40" t="s">
        <v>126</v>
      </c>
      <c r="C9" s="64" t="s">
        <v>127</v>
      </c>
      <c r="D9" s="102">
        <f>675</f>
        <v>675</v>
      </c>
      <c r="E9" s="103"/>
      <c r="F9" s="99" t="s">
        <v>198</v>
      </c>
      <c r="G9" s="100"/>
      <c r="H9" s="100"/>
      <c r="I9" s="100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</row>
    <row r="10" ht="15.0" customHeight="1">
      <c r="A10" s="102"/>
      <c r="B10" s="40" t="s">
        <v>199</v>
      </c>
      <c r="C10" s="64" t="s">
        <v>200</v>
      </c>
      <c r="D10" s="97">
        <v>575.0</v>
      </c>
      <c r="E10" s="98"/>
      <c r="F10" s="99" t="s">
        <v>198</v>
      </c>
      <c r="G10" s="100"/>
      <c r="H10" s="100"/>
      <c r="I10" s="100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</row>
    <row r="11" ht="15.0" customHeight="1">
      <c r="A11" s="102"/>
      <c r="B11" s="40" t="s">
        <v>25</v>
      </c>
      <c r="C11" s="64" t="s">
        <v>26</v>
      </c>
      <c r="D11" s="97">
        <v>475.0</v>
      </c>
      <c r="E11" s="98"/>
      <c r="F11" s="99" t="s">
        <v>198</v>
      </c>
      <c r="G11" s="100"/>
      <c r="H11" s="100"/>
      <c r="I11" s="100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</row>
    <row r="12" ht="15.0" customHeight="1">
      <c r="A12" s="102"/>
      <c r="B12" s="40" t="s">
        <v>39</v>
      </c>
      <c r="C12" s="64" t="s">
        <v>40</v>
      </c>
      <c r="D12" s="97">
        <v>625.0</v>
      </c>
      <c r="E12" s="98"/>
      <c r="F12" s="99" t="s">
        <v>198</v>
      </c>
      <c r="G12" s="100"/>
      <c r="H12" s="100"/>
      <c r="I12" s="100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</row>
    <row r="13" ht="15.0" customHeight="1">
      <c r="A13" s="102"/>
      <c r="B13" s="100"/>
      <c r="C13" s="100"/>
      <c r="D13" s="104"/>
      <c r="E13" s="103"/>
      <c r="F13" s="100"/>
      <c r="G13" s="100"/>
      <c r="H13" s="100"/>
      <c r="I13" s="100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ht="15.0" customHeight="1">
      <c r="A14" s="96">
        <v>45810.0</v>
      </c>
      <c r="B14" s="40" t="s">
        <v>101</v>
      </c>
      <c r="C14" s="64" t="s">
        <v>102</v>
      </c>
      <c r="D14" s="104">
        <f>700+325</f>
        <v>1025</v>
      </c>
      <c r="E14" s="103"/>
      <c r="F14" s="99" t="s">
        <v>198</v>
      </c>
      <c r="G14" s="100"/>
      <c r="H14" s="100"/>
      <c r="I14" s="100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</row>
    <row r="15" ht="15.0" customHeight="1">
      <c r="A15" s="102"/>
      <c r="B15" s="40" t="s">
        <v>199</v>
      </c>
      <c r="C15" s="64" t="s">
        <v>200</v>
      </c>
      <c r="D15" s="104">
        <f>725</f>
        <v>725</v>
      </c>
      <c r="E15" s="103"/>
      <c r="F15" s="99" t="s">
        <v>198</v>
      </c>
      <c r="G15" s="100"/>
      <c r="H15" s="100"/>
      <c r="I15" s="100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ht="15.0" customHeight="1">
      <c r="A16" s="102"/>
      <c r="B16" s="40" t="s">
        <v>124</v>
      </c>
      <c r="C16" s="64" t="s">
        <v>125</v>
      </c>
      <c r="D16" s="105">
        <v>300.0</v>
      </c>
      <c r="E16" s="103"/>
      <c r="F16" s="99" t="s">
        <v>198</v>
      </c>
      <c r="G16" s="100"/>
      <c r="H16" s="100"/>
      <c r="I16" s="100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ht="15.0" customHeight="1">
      <c r="A17" s="102"/>
      <c r="B17" s="40" t="s">
        <v>39</v>
      </c>
      <c r="C17" s="64" t="s">
        <v>40</v>
      </c>
      <c r="D17" s="105">
        <v>275.0</v>
      </c>
      <c r="E17" s="103"/>
      <c r="F17" s="99" t="s">
        <v>198</v>
      </c>
      <c r="G17" s="100"/>
      <c r="H17" s="100"/>
      <c r="I17" s="100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ht="15.0" customHeight="1">
      <c r="A18" s="102"/>
      <c r="B18" s="100"/>
      <c r="C18" s="100"/>
      <c r="D18" s="104"/>
      <c r="E18" s="103"/>
      <c r="F18" s="100"/>
      <c r="G18" s="100"/>
      <c r="H18" s="100"/>
      <c r="I18" s="100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5.0" customHeight="1">
      <c r="A19" s="96">
        <v>45811.0</v>
      </c>
      <c r="B19" s="40" t="s">
        <v>101</v>
      </c>
      <c r="C19" s="64" t="s">
        <v>102</v>
      </c>
      <c r="D19" s="105">
        <f>1925+75</f>
        <v>2000</v>
      </c>
      <c r="E19" s="103"/>
      <c r="F19" s="99" t="s">
        <v>198</v>
      </c>
      <c r="G19" s="100"/>
      <c r="H19" s="100"/>
      <c r="I19" s="100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ht="15.0" customHeight="1">
      <c r="A20" s="102"/>
      <c r="B20" s="106" t="s">
        <v>31</v>
      </c>
      <c r="C20" s="107" t="s">
        <v>32</v>
      </c>
      <c r="D20" s="105">
        <v>325.0</v>
      </c>
      <c r="E20" s="103"/>
      <c r="F20" s="99" t="s">
        <v>198</v>
      </c>
      <c r="G20" s="100"/>
      <c r="H20" s="100"/>
      <c r="I20" s="100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ht="15.0" customHeight="1">
      <c r="A21" s="102"/>
      <c r="B21" s="106" t="s">
        <v>25</v>
      </c>
      <c r="C21" s="107" t="s">
        <v>26</v>
      </c>
      <c r="D21" s="105">
        <v>175.0</v>
      </c>
      <c r="E21" s="103"/>
      <c r="F21" s="99" t="s">
        <v>198</v>
      </c>
      <c r="G21" s="100"/>
      <c r="H21" s="100"/>
      <c r="I21" s="100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5.0" customHeight="1">
      <c r="A22" s="102"/>
      <c r="B22" s="40" t="s">
        <v>39</v>
      </c>
      <c r="C22" s="64" t="s">
        <v>40</v>
      </c>
      <c r="D22" s="105">
        <v>150.0</v>
      </c>
      <c r="E22" s="103"/>
      <c r="F22" s="99" t="s">
        <v>198</v>
      </c>
      <c r="G22" s="100"/>
      <c r="H22" s="100"/>
      <c r="I22" s="100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</row>
    <row r="23" ht="15.0" customHeight="1">
      <c r="A23" s="102"/>
      <c r="B23" s="100"/>
      <c r="C23" s="100"/>
      <c r="D23" s="104"/>
      <c r="E23" s="103"/>
      <c r="F23" s="100"/>
      <c r="G23" s="100"/>
      <c r="H23" s="100"/>
      <c r="I23" s="100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</row>
    <row r="24" ht="15.0" customHeight="1">
      <c r="A24" s="96">
        <v>45812.0</v>
      </c>
      <c r="B24" s="40" t="s">
        <v>124</v>
      </c>
      <c r="C24" s="64" t="s">
        <v>125</v>
      </c>
      <c r="D24" s="105">
        <v>225.0</v>
      </c>
      <c r="E24" s="103"/>
      <c r="F24" s="99" t="s">
        <v>198</v>
      </c>
      <c r="G24" s="100"/>
      <c r="H24" s="100"/>
      <c r="I24" s="100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</row>
    <row r="25" ht="15.0" customHeight="1">
      <c r="A25" s="102"/>
      <c r="B25" s="40" t="s">
        <v>101</v>
      </c>
      <c r="C25" s="64" t="s">
        <v>102</v>
      </c>
      <c r="D25" s="105">
        <v>1400.0</v>
      </c>
      <c r="E25" s="103"/>
      <c r="F25" s="99" t="s">
        <v>198</v>
      </c>
      <c r="G25" s="100"/>
      <c r="H25" s="100"/>
      <c r="I25" s="100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</row>
    <row r="26" ht="15.0" customHeight="1">
      <c r="A26" s="102"/>
      <c r="B26" s="40" t="s">
        <v>199</v>
      </c>
      <c r="C26" s="64" t="s">
        <v>200</v>
      </c>
      <c r="D26" s="105">
        <v>200.0</v>
      </c>
      <c r="E26" s="103"/>
      <c r="F26" s="99" t="s">
        <v>198</v>
      </c>
      <c r="G26" s="100"/>
      <c r="H26" s="100"/>
      <c r="I26" s="100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</row>
    <row r="27" ht="15.0" customHeight="1">
      <c r="A27" s="102"/>
      <c r="B27" s="106" t="s">
        <v>25</v>
      </c>
      <c r="C27" s="107" t="s">
        <v>26</v>
      </c>
      <c r="D27" s="105">
        <v>150.0</v>
      </c>
      <c r="E27" s="103"/>
      <c r="F27" s="99" t="s">
        <v>198</v>
      </c>
      <c r="G27" s="100"/>
      <c r="H27" s="100"/>
      <c r="I27" s="100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</row>
    <row r="28" ht="15.0" customHeight="1">
      <c r="A28" s="102"/>
      <c r="B28" s="40" t="s">
        <v>31</v>
      </c>
      <c r="C28" s="64" t="s">
        <v>32</v>
      </c>
      <c r="D28" s="105">
        <v>175.0</v>
      </c>
      <c r="E28" s="103"/>
      <c r="F28" s="99" t="s">
        <v>198</v>
      </c>
      <c r="G28" s="100"/>
      <c r="H28" s="100"/>
      <c r="I28" s="100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</row>
    <row r="29" ht="15.0" customHeight="1">
      <c r="A29" s="102"/>
      <c r="B29" s="40" t="s">
        <v>126</v>
      </c>
      <c r="C29" s="64" t="s">
        <v>127</v>
      </c>
      <c r="D29" s="105">
        <v>350.0</v>
      </c>
      <c r="E29" s="103"/>
      <c r="F29" s="99" t="s">
        <v>198</v>
      </c>
      <c r="G29" s="100"/>
      <c r="H29" s="100"/>
      <c r="I29" s="100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</row>
    <row r="30" ht="15.0" customHeight="1">
      <c r="A30" s="102"/>
      <c r="B30" s="100"/>
      <c r="C30" s="100"/>
      <c r="D30" s="104"/>
      <c r="E30" s="103"/>
      <c r="F30" s="100"/>
      <c r="G30" s="100"/>
      <c r="H30" s="100"/>
      <c r="I30" s="100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</row>
    <row r="31" ht="15.0" customHeight="1">
      <c r="A31" s="96">
        <v>45813.0</v>
      </c>
      <c r="B31" s="40" t="s">
        <v>101</v>
      </c>
      <c r="C31" s="64" t="s">
        <v>102</v>
      </c>
      <c r="D31" s="105">
        <v>1050.0</v>
      </c>
      <c r="E31" s="103"/>
      <c r="F31" s="99" t="s">
        <v>198</v>
      </c>
      <c r="G31" s="100"/>
      <c r="H31" s="100"/>
      <c r="I31" s="100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</row>
    <row r="32" ht="15.0" customHeight="1">
      <c r="A32" s="102"/>
      <c r="B32" s="40" t="s">
        <v>31</v>
      </c>
      <c r="C32" s="64" t="s">
        <v>32</v>
      </c>
      <c r="D32" s="105">
        <v>550.0</v>
      </c>
      <c r="E32" s="103"/>
      <c r="F32" s="99" t="s">
        <v>198</v>
      </c>
      <c r="G32" s="100"/>
      <c r="H32" s="100"/>
      <c r="I32" s="100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</row>
    <row r="33" ht="15.0" customHeight="1">
      <c r="A33" s="102"/>
      <c r="B33" s="106" t="s">
        <v>25</v>
      </c>
      <c r="C33" s="107" t="s">
        <v>26</v>
      </c>
      <c r="D33" s="105">
        <v>300.0</v>
      </c>
      <c r="E33" s="103"/>
      <c r="F33" s="99" t="s">
        <v>198</v>
      </c>
      <c r="G33" s="100"/>
      <c r="H33" s="100"/>
      <c r="I33" s="100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</row>
    <row r="34" ht="15.0" customHeight="1">
      <c r="A34" s="102"/>
      <c r="B34" s="40" t="s">
        <v>124</v>
      </c>
      <c r="C34" s="64" t="s">
        <v>125</v>
      </c>
      <c r="D34" s="105">
        <v>350.0</v>
      </c>
      <c r="E34" s="103"/>
      <c r="F34" s="99" t="s">
        <v>198</v>
      </c>
      <c r="G34" s="100"/>
      <c r="H34" s="100"/>
      <c r="I34" s="100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ht="15.0" customHeight="1">
      <c r="A35" s="102"/>
      <c r="B35" s="106" t="s">
        <v>126</v>
      </c>
      <c r="C35" s="107" t="s">
        <v>127</v>
      </c>
      <c r="D35" s="105">
        <v>125.0</v>
      </c>
      <c r="E35" s="103"/>
      <c r="F35" s="99" t="s">
        <v>198</v>
      </c>
      <c r="G35" s="100"/>
      <c r="H35" s="100"/>
      <c r="I35" s="100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</row>
    <row r="36" ht="15.0" customHeight="1">
      <c r="A36" s="102"/>
      <c r="B36" s="72" t="s">
        <v>201</v>
      </c>
      <c r="C36" s="108" t="s">
        <v>202</v>
      </c>
      <c r="D36" s="105">
        <v>275.0</v>
      </c>
      <c r="E36" s="103"/>
      <c r="F36" s="99" t="s">
        <v>198</v>
      </c>
      <c r="G36" s="100"/>
      <c r="H36" s="100"/>
      <c r="I36" s="100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</row>
    <row r="37" ht="15.0" customHeight="1">
      <c r="A37" s="102"/>
      <c r="B37" s="109"/>
      <c r="C37" s="110"/>
      <c r="D37" s="104"/>
      <c r="E37" s="103"/>
      <c r="F37" s="100"/>
      <c r="G37" s="100"/>
      <c r="H37" s="100"/>
      <c r="I37" s="100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</row>
    <row r="38" ht="15.0" customHeight="1">
      <c r="A38" s="96">
        <v>45814.0</v>
      </c>
      <c r="B38" s="106" t="s">
        <v>203</v>
      </c>
      <c r="C38" s="108" t="s">
        <v>204</v>
      </c>
      <c r="D38" s="105">
        <v>375.0</v>
      </c>
      <c r="E38" s="103"/>
      <c r="F38" s="99" t="s">
        <v>198</v>
      </c>
      <c r="G38" s="100"/>
      <c r="H38" s="100"/>
      <c r="I38" s="100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</row>
    <row r="39" ht="15.0" customHeight="1">
      <c r="A39" s="102"/>
      <c r="B39" s="72" t="s">
        <v>205</v>
      </c>
      <c r="C39" s="111" t="s">
        <v>206</v>
      </c>
      <c r="D39" s="105">
        <v>750.0</v>
      </c>
      <c r="E39" s="103"/>
      <c r="F39" s="99" t="s">
        <v>198</v>
      </c>
      <c r="G39" s="100"/>
      <c r="H39" s="100"/>
      <c r="I39" s="100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</row>
    <row r="40" ht="15.0" customHeight="1">
      <c r="A40" s="102"/>
      <c r="B40" s="40" t="s">
        <v>101</v>
      </c>
      <c r="C40" s="64" t="s">
        <v>102</v>
      </c>
      <c r="D40" s="105">
        <v>75.0</v>
      </c>
      <c r="E40" s="103"/>
      <c r="F40" s="99" t="s">
        <v>198</v>
      </c>
      <c r="G40" s="100"/>
      <c r="H40" s="100"/>
      <c r="I40" s="100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</row>
    <row r="41" ht="15.0" customHeight="1">
      <c r="A41" s="102"/>
      <c r="B41" s="106" t="s">
        <v>25</v>
      </c>
      <c r="C41" s="107" t="s">
        <v>26</v>
      </c>
      <c r="D41" s="105">
        <v>400.0</v>
      </c>
      <c r="E41" s="103"/>
      <c r="F41" s="99" t="s">
        <v>198</v>
      </c>
      <c r="G41" s="100"/>
      <c r="H41" s="100"/>
      <c r="I41" s="100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</row>
    <row r="42" ht="15.0" customHeight="1">
      <c r="A42" s="102"/>
      <c r="B42" s="40" t="s">
        <v>31</v>
      </c>
      <c r="C42" s="64" t="s">
        <v>32</v>
      </c>
      <c r="D42" s="105">
        <v>350.0</v>
      </c>
      <c r="E42" s="103"/>
      <c r="F42" s="99" t="s">
        <v>198</v>
      </c>
      <c r="G42" s="100"/>
      <c r="H42" s="100"/>
      <c r="I42" s="100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</row>
    <row r="43" ht="15.0" customHeight="1">
      <c r="A43" s="102"/>
      <c r="B43" s="40" t="s">
        <v>39</v>
      </c>
      <c r="C43" s="64" t="s">
        <v>40</v>
      </c>
      <c r="D43" s="105">
        <v>225.0</v>
      </c>
      <c r="E43" s="103"/>
      <c r="F43" s="99" t="s">
        <v>198</v>
      </c>
      <c r="G43" s="100"/>
      <c r="H43" s="100"/>
      <c r="I43" s="100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</row>
    <row r="44" ht="15.0" customHeight="1">
      <c r="A44" s="102"/>
      <c r="B44" s="106" t="s">
        <v>207</v>
      </c>
      <c r="C44" s="108" t="s">
        <v>208</v>
      </c>
      <c r="D44" s="105">
        <v>150.0</v>
      </c>
      <c r="E44" s="103"/>
      <c r="F44" s="99" t="s">
        <v>198</v>
      </c>
      <c r="G44" s="100"/>
      <c r="H44" s="100"/>
      <c r="I44" s="100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ht="15.0" customHeight="1">
      <c r="A45" s="102"/>
      <c r="B45" s="100"/>
      <c r="C45" s="110"/>
      <c r="D45" s="104"/>
      <c r="E45" s="103"/>
      <c r="F45" s="100"/>
      <c r="G45" s="100"/>
      <c r="H45" s="100"/>
      <c r="I45" s="100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</row>
    <row r="46" ht="15.0" customHeight="1">
      <c r="A46" s="96">
        <v>45815.0</v>
      </c>
      <c r="B46" s="40" t="s">
        <v>25</v>
      </c>
      <c r="C46" s="64" t="s">
        <v>26</v>
      </c>
      <c r="D46" s="105">
        <f>325+200</f>
        <v>525</v>
      </c>
      <c r="E46" s="103"/>
      <c r="F46" s="99" t="s">
        <v>198</v>
      </c>
      <c r="G46" s="100"/>
      <c r="H46" s="100"/>
      <c r="I46" s="100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</row>
    <row r="47" ht="15.0" customHeight="1">
      <c r="A47" s="102"/>
      <c r="B47" s="40" t="s">
        <v>124</v>
      </c>
      <c r="C47" s="64" t="s">
        <v>125</v>
      </c>
      <c r="D47" s="105">
        <f>525+150</f>
        <v>675</v>
      </c>
      <c r="E47" s="103"/>
      <c r="F47" s="99" t="s">
        <v>198</v>
      </c>
      <c r="G47" s="100"/>
      <c r="H47" s="100"/>
      <c r="I47" s="100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</row>
    <row r="48" ht="15.0" customHeight="1">
      <c r="A48" s="102"/>
      <c r="B48" s="40" t="s">
        <v>101</v>
      </c>
      <c r="C48" s="64" t="s">
        <v>102</v>
      </c>
      <c r="D48" s="105">
        <f>25+50</f>
        <v>75</v>
      </c>
      <c r="E48" s="103"/>
      <c r="F48" s="99" t="s">
        <v>198</v>
      </c>
      <c r="G48" s="100"/>
      <c r="H48" s="100"/>
      <c r="I48" s="100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</row>
    <row r="49" ht="15.0" customHeight="1">
      <c r="A49" s="102"/>
      <c r="B49" s="40" t="s">
        <v>39</v>
      </c>
      <c r="C49" s="64" t="s">
        <v>40</v>
      </c>
      <c r="D49" s="105">
        <v>375.0</v>
      </c>
      <c r="E49" s="103"/>
      <c r="F49" s="99" t="s">
        <v>198</v>
      </c>
      <c r="G49" s="100"/>
      <c r="H49" s="100"/>
      <c r="I49" s="100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</row>
    <row r="50" ht="15.0" customHeight="1">
      <c r="A50" s="102"/>
      <c r="B50" s="72" t="s">
        <v>201</v>
      </c>
      <c r="C50" s="108" t="s">
        <v>202</v>
      </c>
      <c r="D50" s="105">
        <v>325.0</v>
      </c>
      <c r="E50" s="103"/>
      <c r="F50" s="99" t="s">
        <v>198</v>
      </c>
      <c r="G50" s="100"/>
      <c r="H50" s="100"/>
      <c r="I50" s="100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</row>
    <row r="51" ht="15.0" customHeight="1">
      <c r="A51" s="102"/>
      <c r="B51" s="40" t="s">
        <v>31</v>
      </c>
      <c r="C51" s="64" t="s">
        <v>32</v>
      </c>
      <c r="D51" s="105">
        <v>75.0</v>
      </c>
      <c r="E51" s="103"/>
      <c r="F51" s="99" t="s">
        <v>198</v>
      </c>
      <c r="G51" s="100"/>
      <c r="H51" s="100"/>
      <c r="I51" s="100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</row>
    <row r="52" ht="15.0" customHeight="1">
      <c r="A52" s="102"/>
      <c r="B52" s="100"/>
      <c r="C52" s="100"/>
      <c r="D52" s="104"/>
      <c r="E52" s="103"/>
      <c r="F52" s="100"/>
      <c r="G52" s="100"/>
      <c r="H52" s="100"/>
      <c r="I52" s="100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</row>
    <row r="53" ht="15.0" customHeight="1">
      <c r="A53" s="96">
        <v>45817.0</v>
      </c>
      <c r="B53" s="72" t="s">
        <v>205</v>
      </c>
      <c r="C53" s="111" t="s">
        <v>206</v>
      </c>
      <c r="D53" s="105">
        <f>675+250</f>
        <v>925</v>
      </c>
      <c r="E53" s="103"/>
      <c r="F53" s="99" t="s">
        <v>198</v>
      </c>
      <c r="G53" s="100"/>
      <c r="H53" s="100"/>
      <c r="I53" s="100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</row>
    <row r="54" ht="15.0" customHeight="1">
      <c r="A54" s="102"/>
      <c r="B54" s="106" t="s">
        <v>39</v>
      </c>
      <c r="C54" s="107" t="s">
        <v>40</v>
      </c>
      <c r="D54" s="105">
        <f>425+325</f>
        <v>750</v>
      </c>
      <c r="E54" s="103"/>
      <c r="F54" s="99" t="s">
        <v>198</v>
      </c>
      <c r="G54" s="100"/>
      <c r="H54" s="100"/>
      <c r="I54" s="100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</row>
    <row r="55" ht="15.0" customHeight="1">
      <c r="A55" s="102"/>
      <c r="B55" s="40" t="s">
        <v>101</v>
      </c>
      <c r="C55" s="64" t="s">
        <v>102</v>
      </c>
      <c r="D55" s="105">
        <f>50+25</f>
        <v>75</v>
      </c>
      <c r="E55" s="103"/>
      <c r="F55" s="99" t="s">
        <v>198</v>
      </c>
      <c r="G55" s="100"/>
      <c r="H55" s="100"/>
      <c r="I55" s="100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</row>
    <row r="56" ht="15.0" customHeight="1">
      <c r="A56" s="102"/>
      <c r="B56" s="40" t="s">
        <v>124</v>
      </c>
      <c r="C56" s="64" t="s">
        <v>125</v>
      </c>
      <c r="D56" s="105">
        <v>250.0</v>
      </c>
      <c r="E56" s="103"/>
      <c r="F56" s="99" t="s">
        <v>198</v>
      </c>
      <c r="G56" s="100"/>
      <c r="H56" s="100"/>
      <c r="I56" s="100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</row>
    <row r="57" ht="15.0" customHeight="1">
      <c r="A57" s="102"/>
      <c r="B57" s="100"/>
      <c r="C57" s="100"/>
      <c r="D57" s="104"/>
      <c r="E57" s="103"/>
      <c r="F57" s="100"/>
      <c r="G57" s="100"/>
      <c r="H57" s="100"/>
      <c r="I57" s="100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</row>
    <row r="58" ht="15.0" customHeight="1">
      <c r="A58" s="96">
        <v>45818.0</v>
      </c>
      <c r="B58" s="40" t="s">
        <v>124</v>
      </c>
      <c r="C58" s="64" t="s">
        <v>125</v>
      </c>
      <c r="D58" s="105">
        <v>125.0</v>
      </c>
      <c r="E58" s="103"/>
      <c r="F58" s="99" t="s">
        <v>198</v>
      </c>
      <c r="G58" s="100"/>
      <c r="H58" s="100"/>
      <c r="I58" s="100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</row>
    <row r="59" ht="15.0" customHeight="1">
      <c r="A59" s="102"/>
      <c r="B59" s="72" t="s">
        <v>201</v>
      </c>
      <c r="C59" s="108" t="s">
        <v>202</v>
      </c>
      <c r="D59" s="105">
        <v>150.0</v>
      </c>
      <c r="E59" s="103"/>
      <c r="F59" s="99" t="s">
        <v>198</v>
      </c>
      <c r="G59" s="100"/>
      <c r="H59" s="100"/>
      <c r="I59" s="100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</row>
    <row r="60" ht="15.0" customHeight="1">
      <c r="A60" s="102"/>
      <c r="B60" s="106" t="s">
        <v>31</v>
      </c>
      <c r="C60" s="107" t="s">
        <v>32</v>
      </c>
      <c r="D60" s="105">
        <v>150.0</v>
      </c>
      <c r="E60" s="103"/>
      <c r="F60" s="99" t="s">
        <v>198</v>
      </c>
      <c r="G60" s="100"/>
      <c r="H60" s="100"/>
      <c r="I60" s="100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</row>
    <row r="61" ht="15.0" customHeight="1">
      <c r="A61" s="102"/>
      <c r="B61" s="106" t="s">
        <v>203</v>
      </c>
      <c r="C61" s="108" t="s">
        <v>204</v>
      </c>
      <c r="D61" s="105">
        <f>75+275</f>
        <v>350</v>
      </c>
      <c r="E61" s="103"/>
      <c r="F61" s="99" t="s">
        <v>198</v>
      </c>
      <c r="G61" s="100"/>
      <c r="H61" s="100"/>
      <c r="I61" s="100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</row>
    <row r="62" ht="15.0" customHeight="1">
      <c r="A62" s="102"/>
      <c r="B62" s="106" t="s">
        <v>39</v>
      </c>
      <c r="C62" s="107" t="s">
        <v>40</v>
      </c>
      <c r="D62" s="105">
        <f>550+175</f>
        <v>725</v>
      </c>
      <c r="E62" s="103"/>
      <c r="F62" s="99" t="s">
        <v>198</v>
      </c>
      <c r="G62" s="100"/>
      <c r="H62" s="100"/>
      <c r="I62" s="100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</row>
    <row r="63" ht="15.0" customHeight="1">
      <c r="A63" s="102"/>
      <c r="B63" s="106" t="s">
        <v>101</v>
      </c>
      <c r="C63" s="107" t="s">
        <v>102</v>
      </c>
      <c r="D63" s="105">
        <f>200+300</f>
        <v>500</v>
      </c>
      <c r="E63" s="103"/>
      <c r="F63" s="99" t="s">
        <v>198</v>
      </c>
      <c r="G63" s="100"/>
      <c r="H63" s="100"/>
      <c r="I63" s="100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</row>
    <row r="64" ht="15.0" customHeight="1">
      <c r="A64" s="102"/>
      <c r="B64" s="106" t="s">
        <v>25</v>
      </c>
      <c r="C64" s="107" t="s">
        <v>26</v>
      </c>
      <c r="D64" s="105">
        <v>300.0</v>
      </c>
      <c r="E64" s="103"/>
      <c r="F64" s="99" t="s">
        <v>198</v>
      </c>
      <c r="G64" s="100"/>
      <c r="H64" s="100"/>
      <c r="I64" s="100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</row>
    <row r="65" ht="15.0" customHeight="1">
      <c r="A65" s="102"/>
      <c r="B65" s="106" t="s">
        <v>199</v>
      </c>
      <c r="C65" s="107" t="s">
        <v>200</v>
      </c>
      <c r="D65" s="105">
        <v>200.0</v>
      </c>
      <c r="E65" s="103"/>
      <c r="F65" s="99" t="s">
        <v>198</v>
      </c>
      <c r="G65" s="100"/>
      <c r="H65" s="100"/>
      <c r="I65" s="100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</row>
    <row r="66" ht="15.0" customHeight="1">
      <c r="A66" s="102"/>
      <c r="B66" s="100"/>
      <c r="C66" s="100"/>
      <c r="D66" s="104"/>
      <c r="E66" s="103"/>
      <c r="F66" s="100"/>
      <c r="G66" s="100"/>
      <c r="H66" s="100"/>
      <c r="I66" s="100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</row>
    <row r="67" ht="15.0" customHeight="1">
      <c r="A67" s="96">
        <v>45819.0</v>
      </c>
      <c r="B67" s="106" t="s">
        <v>31</v>
      </c>
      <c r="C67" s="107" t="s">
        <v>32</v>
      </c>
      <c r="D67" s="105">
        <v>450.0</v>
      </c>
      <c r="E67" s="103"/>
      <c r="F67" s="99" t="s">
        <v>198</v>
      </c>
      <c r="G67" s="100"/>
      <c r="H67" s="100"/>
      <c r="I67" s="100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</row>
    <row r="68" ht="15.0" customHeight="1">
      <c r="A68" s="102"/>
      <c r="B68" s="40" t="s">
        <v>124</v>
      </c>
      <c r="C68" s="64" t="s">
        <v>125</v>
      </c>
      <c r="D68" s="105">
        <v>450.0</v>
      </c>
      <c r="E68" s="103"/>
      <c r="F68" s="99" t="s">
        <v>198</v>
      </c>
      <c r="G68" s="100"/>
      <c r="H68" s="100"/>
      <c r="I68" s="100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</row>
    <row r="69" ht="15.0" customHeight="1">
      <c r="A69" s="102"/>
      <c r="B69" s="106" t="s">
        <v>203</v>
      </c>
      <c r="C69" s="108" t="s">
        <v>204</v>
      </c>
      <c r="D69" s="105">
        <v>100.0</v>
      </c>
      <c r="E69" s="103"/>
      <c r="F69" s="99" t="s">
        <v>198</v>
      </c>
      <c r="G69" s="100"/>
      <c r="H69" s="100"/>
      <c r="I69" s="100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</row>
    <row r="70" ht="15.0" customHeight="1">
      <c r="A70" s="102"/>
      <c r="B70" s="72" t="s">
        <v>205</v>
      </c>
      <c r="C70" s="111" t="s">
        <v>206</v>
      </c>
      <c r="D70" s="105">
        <v>450.0</v>
      </c>
      <c r="E70" s="103"/>
      <c r="F70" s="99" t="s">
        <v>198</v>
      </c>
      <c r="G70" s="100"/>
      <c r="H70" s="100"/>
      <c r="I70" s="100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</row>
    <row r="71" ht="15.0" customHeight="1">
      <c r="A71" s="102"/>
      <c r="B71" s="40" t="s">
        <v>101</v>
      </c>
      <c r="C71" s="64" t="s">
        <v>102</v>
      </c>
      <c r="D71" s="104">
        <f>75+75</f>
        <v>150</v>
      </c>
      <c r="E71" s="103"/>
      <c r="F71" s="99" t="s">
        <v>198</v>
      </c>
      <c r="G71" s="100"/>
      <c r="H71" s="100"/>
      <c r="I71" s="100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</row>
    <row r="72" ht="15.0" customHeight="1">
      <c r="A72" s="102"/>
      <c r="B72" s="40" t="s">
        <v>126</v>
      </c>
      <c r="C72" s="64" t="s">
        <v>127</v>
      </c>
      <c r="D72" s="105">
        <v>100.0</v>
      </c>
      <c r="E72" s="103"/>
      <c r="F72" s="99" t="s">
        <v>198</v>
      </c>
      <c r="G72" s="100"/>
      <c r="H72" s="100"/>
      <c r="I72" s="100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</row>
    <row r="73" ht="15.0" customHeight="1">
      <c r="A73" s="102"/>
      <c r="B73" s="100"/>
      <c r="C73" s="100"/>
      <c r="D73" s="104"/>
      <c r="E73" s="103"/>
      <c r="F73" s="100"/>
      <c r="G73" s="100"/>
      <c r="H73" s="100"/>
      <c r="I73" s="100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</row>
    <row r="74" ht="15.0" customHeight="1">
      <c r="A74" s="96">
        <v>45820.0</v>
      </c>
      <c r="B74" s="40" t="s">
        <v>25</v>
      </c>
      <c r="C74" s="64" t="s">
        <v>26</v>
      </c>
      <c r="D74" s="105">
        <f>275+725</f>
        <v>1000</v>
      </c>
      <c r="E74" s="103"/>
      <c r="F74" s="99" t="s">
        <v>198</v>
      </c>
      <c r="G74" s="100"/>
      <c r="H74" s="100"/>
      <c r="I74" s="100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</row>
    <row r="75" ht="15.0" customHeight="1">
      <c r="A75" s="102"/>
      <c r="B75" s="40" t="s">
        <v>126</v>
      </c>
      <c r="C75" s="64" t="s">
        <v>127</v>
      </c>
      <c r="D75" s="105">
        <v>100.0</v>
      </c>
      <c r="E75" s="103"/>
      <c r="F75" s="99" t="s">
        <v>198</v>
      </c>
      <c r="G75" s="100"/>
      <c r="H75" s="100"/>
      <c r="I75" s="100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</row>
    <row r="76" ht="15.0" customHeight="1">
      <c r="A76" s="102"/>
      <c r="B76" s="72" t="s">
        <v>209</v>
      </c>
      <c r="C76" s="111" t="s">
        <v>210</v>
      </c>
      <c r="D76" s="105">
        <v>100.0</v>
      </c>
      <c r="E76" s="103"/>
      <c r="F76" s="99" t="s">
        <v>198</v>
      </c>
      <c r="G76" s="100"/>
      <c r="H76" s="100"/>
      <c r="I76" s="100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</row>
    <row r="77" ht="15.0" customHeight="1">
      <c r="A77" s="102"/>
      <c r="B77" s="106" t="s">
        <v>203</v>
      </c>
      <c r="C77" s="108" t="s">
        <v>204</v>
      </c>
      <c r="D77" s="105">
        <v>575.0</v>
      </c>
      <c r="E77" s="103"/>
      <c r="F77" s="99" t="s">
        <v>198</v>
      </c>
      <c r="G77" s="100"/>
      <c r="H77" s="100"/>
      <c r="I77" s="100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</row>
    <row r="78" ht="15.0" customHeight="1">
      <c r="A78" s="102"/>
      <c r="B78" s="40" t="s">
        <v>101</v>
      </c>
      <c r="C78" s="64" t="s">
        <v>102</v>
      </c>
      <c r="D78" s="105">
        <f>100+125</f>
        <v>225</v>
      </c>
      <c r="E78" s="103"/>
      <c r="F78" s="99" t="s">
        <v>198</v>
      </c>
      <c r="G78" s="100"/>
      <c r="H78" s="100"/>
      <c r="I78" s="100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</row>
    <row r="79" ht="15.0" customHeight="1">
      <c r="A79" s="102"/>
      <c r="B79" s="40" t="s">
        <v>124</v>
      </c>
      <c r="C79" s="64" t="s">
        <v>125</v>
      </c>
      <c r="D79" s="105">
        <v>175.0</v>
      </c>
      <c r="E79" s="103"/>
      <c r="F79" s="99" t="s">
        <v>198</v>
      </c>
      <c r="G79" s="100"/>
      <c r="H79" s="100"/>
      <c r="I79" s="100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</row>
    <row r="80" ht="15.0" customHeight="1">
      <c r="A80" s="102"/>
      <c r="B80" s="106" t="s">
        <v>31</v>
      </c>
      <c r="C80" s="107" t="s">
        <v>32</v>
      </c>
      <c r="D80" s="105">
        <v>200.0</v>
      </c>
      <c r="E80" s="103"/>
      <c r="F80" s="99" t="s">
        <v>198</v>
      </c>
      <c r="G80" s="100"/>
      <c r="H80" s="100"/>
      <c r="I80" s="100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</row>
    <row r="81" ht="15.0" customHeight="1">
      <c r="A81" s="102"/>
      <c r="B81" s="106" t="s">
        <v>39</v>
      </c>
      <c r="C81" s="107" t="s">
        <v>40</v>
      </c>
      <c r="D81" s="105">
        <v>100.0</v>
      </c>
      <c r="E81" s="103"/>
      <c r="F81" s="99" t="s">
        <v>198</v>
      </c>
      <c r="G81" s="100"/>
      <c r="H81" s="100"/>
      <c r="I81" s="100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</row>
    <row r="82" ht="15.0" customHeight="1">
      <c r="A82" s="102"/>
      <c r="B82" s="100"/>
      <c r="C82" s="100"/>
      <c r="D82" s="104"/>
      <c r="E82" s="103"/>
      <c r="F82" s="100"/>
      <c r="G82" s="100"/>
      <c r="H82" s="100"/>
      <c r="I82" s="100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</row>
    <row r="83" ht="15.0" customHeight="1">
      <c r="A83" s="96">
        <v>45821.0</v>
      </c>
      <c r="B83" s="76" t="s">
        <v>201</v>
      </c>
      <c r="C83" s="112" t="s">
        <v>202</v>
      </c>
      <c r="D83" s="105">
        <v>125.0</v>
      </c>
      <c r="E83" s="103"/>
      <c r="F83" s="99" t="s">
        <v>198</v>
      </c>
      <c r="G83" s="100"/>
      <c r="H83" s="100"/>
      <c r="I83" s="100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</row>
    <row r="84" ht="15.0" customHeight="1">
      <c r="A84" s="102"/>
      <c r="B84" s="40" t="s">
        <v>207</v>
      </c>
      <c r="C84" s="112" t="s">
        <v>208</v>
      </c>
      <c r="D84" s="105">
        <v>125.0</v>
      </c>
      <c r="E84" s="103"/>
      <c r="F84" s="99" t="s">
        <v>198</v>
      </c>
      <c r="G84" s="100"/>
      <c r="H84" s="100"/>
      <c r="I84" s="100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</row>
    <row r="85" ht="15.0" customHeight="1">
      <c r="A85" s="102"/>
      <c r="B85" s="76" t="s">
        <v>205</v>
      </c>
      <c r="C85" s="54" t="s">
        <v>206</v>
      </c>
      <c r="D85" s="105">
        <f>550+300</f>
        <v>850</v>
      </c>
      <c r="E85" s="103"/>
      <c r="F85" s="99" t="s">
        <v>198</v>
      </c>
      <c r="G85" s="100"/>
      <c r="H85" s="100"/>
      <c r="I85" s="100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</row>
    <row r="86" ht="15.0" customHeight="1">
      <c r="A86" s="102"/>
      <c r="B86" s="76" t="s">
        <v>211</v>
      </c>
      <c r="C86" s="54" t="s">
        <v>212</v>
      </c>
      <c r="D86" s="105">
        <v>150.0</v>
      </c>
      <c r="E86" s="103"/>
      <c r="F86" s="99" t="s">
        <v>198</v>
      </c>
      <c r="G86" s="100"/>
      <c r="H86" s="100"/>
      <c r="I86" s="100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</row>
    <row r="87" ht="15.0" customHeight="1">
      <c r="A87" s="102"/>
      <c r="B87" s="40" t="s">
        <v>101</v>
      </c>
      <c r="C87" s="64" t="s">
        <v>102</v>
      </c>
      <c r="D87" s="105">
        <v>75.0</v>
      </c>
      <c r="E87" s="103"/>
      <c r="F87" s="99" t="s">
        <v>198</v>
      </c>
      <c r="G87" s="100"/>
      <c r="H87" s="100"/>
      <c r="I87" s="100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</row>
    <row r="88" ht="15.0" customHeight="1">
      <c r="A88" s="102"/>
      <c r="B88" s="106" t="s">
        <v>203</v>
      </c>
      <c r="C88" s="108" t="s">
        <v>204</v>
      </c>
      <c r="D88" s="105">
        <v>575.0</v>
      </c>
      <c r="E88" s="103"/>
      <c r="F88" s="99" t="s">
        <v>198</v>
      </c>
      <c r="G88" s="100"/>
      <c r="H88" s="100"/>
      <c r="I88" s="100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</row>
    <row r="89" ht="15.0" customHeight="1">
      <c r="A89" s="102"/>
      <c r="B89" s="100"/>
      <c r="C89" s="100"/>
      <c r="D89" s="104"/>
      <c r="E89" s="103"/>
      <c r="F89" s="100"/>
      <c r="G89" s="100"/>
      <c r="H89" s="100"/>
      <c r="I89" s="100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</row>
    <row r="90" ht="15.0" customHeight="1">
      <c r="A90" s="96">
        <v>45822.0</v>
      </c>
      <c r="B90" s="113" t="s">
        <v>201</v>
      </c>
      <c r="C90" s="112" t="s">
        <v>202</v>
      </c>
      <c r="D90" s="105">
        <v>675.0</v>
      </c>
      <c r="E90" s="103"/>
      <c r="F90" s="99" t="s">
        <v>198</v>
      </c>
      <c r="G90" s="100"/>
      <c r="H90" s="100"/>
      <c r="I90" s="100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 ht="15.0" customHeight="1">
      <c r="A91" s="102"/>
      <c r="B91" s="40" t="s">
        <v>203</v>
      </c>
      <c r="C91" s="112" t="s">
        <v>204</v>
      </c>
      <c r="D91" s="104">
        <f>1175</f>
        <v>1175</v>
      </c>
      <c r="E91" s="103"/>
      <c r="F91" s="99" t="s">
        <v>198</v>
      </c>
      <c r="G91" s="100"/>
      <c r="H91" s="100"/>
      <c r="I91" s="100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</row>
    <row r="92" ht="15.0" customHeight="1">
      <c r="A92" s="102"/>
      <c r="B92" s="100"/>
      <c r="C92" s="100"/>
      <c r="D92" s="104"/>
      <c r="E92" s="103"/>
      <c r="F92" s="100"/>
      <c r="G92" s="100"/>
      <c r="H92" s="100"/>
      <c r="I92" s="100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</row>
    <row r="93" ht="15.0" customHeight="1">
      <c r="A93" s="96">
        <v>45824.0</v>
      </c>
      <c r="B93" s="40" t="s">
        <v>203</v>
      </c>
      <c r="C93" s="112" t="s">
        <v>204</v>
      </c>
      <c r="D93" s="104">
        <f>575+850</f>
        <v>1425</v>
      </c>
      <c r="E93" s="103"/>
      <c r="F93" s="99" t="s">
        <v>198</v>
      </c>
      <c r="G93" s="100"/>
      <c r="H93" s="100"/>
      <c r="I93" s="100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</row>
    <row r="94" ht="15.0" customHeight="1">
      <c r="A94" s="102"/>
      <c r="B94" s="76" t="s">
        <v>205</v>
      </c>
      <c r="C94" s="54" t="s">
        <v>206</v>
      </c>
      <c r="D94" s="105">
        <v>425.0</v>
      </c>
      <c r="E94" s="103"/>
      <c r="F94" s="99" t="s">
        <v>198</v>
      </c>
      <c r="G94" s="100"/>
      <c r="H94" s="100"/>
      <c r="I94" s="100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</row>
    <row r="95" ht="15.0" customHeight="1">
      <c r="A95" s="102"/>
      <c r="B95" s="40" t="s">
        <v>101</v>
      </c>
      <c r="C95" s="64" t="s">
        <v>102</v>
      </c>
      <c r="D95" s="105">
        <f>25+75</f>
        <v>100</v>
      </c>
      <c r="E95" s="103"/>
      <c r="F95" s="99" t="s">
        <v>198</v>
      </c>
      <c r="G95" s="100"/>
      <c r="H95" s="100"/>
      <c r="I95" s="100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</row>
    <row r="96" ht="15.0" customHeight="1">
      <c r="A96" s="102"/>
      <c r="B96" s="100"/>
      <c r="C96" s="100"/>
      <c r="D96" s="104"/>
      <c r="E96" s="103"/>
      <c r="F96" s="100"/>
      <c r="G96" s="100"/>
      <c r="H96" s="100"/>
      <c r="I96" s="100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</row>
    <row r="97" ht="15.0" customHeight="1">
      <c r="A97" s="96">
        <v>45825.0</v>
      </c>
      <c r="B97" s="40" t="s">
        <v>203</v>
      </c>
      <c r="C97" s="112" t="s">
        <v>204</v>
      </c>
      <c r="D97" s="105">
        <v>1350.0</v>
      </c>
      <c r="E97" s="103"/>
      <c r="F97" s="99" t="s">
        <v>198</v>
      </c>
      <c r="G97" s="100"/>
      <c r="H97" s="100"/>
      <c r="I97" s="100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</row>
    <row r="98" ht="15.0" customHeight="1">
      <c r="A98" s="102"/>
      <c r="B98" s="76" t="s">
        <v>205</v>
      </c>
      <c r="C98" s="54" t="s">
        <v>206</v>
      </c>
      <c r="D98" s="105">
        <v>625.0</v>
      </c>
      <c r="E98" s="103"/>
      <c r="F98" s="99" t="s">
        <v>198</v>
      </c>
      <c r="G98" s="100"/>
      <c r="H98" s="100"/>
      <c r="I98" s="100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</row>
    <row r="99" ht="15.0" customHeight="1">
      <c r="A99" s="102"/>
      <c r="B99" s="109"/>
      <c r="C99" s="110"/>
      <c r="D99" s="104"/>
      <c r="E99" s="103"/>
      <c r="F99" s="100"/>
      <c r="G99" s="100"/>
      <c r="H99" s="100"/>
      <c r="I99" s="100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</row>
    <row r="100" ht="15.0" customHeight="1">
      <c r="A100" s="96">
        <v>45827.0</v>
      </c>
      <c r="B100" s="106" t="s">
        <v>31</v>
      </c>
      <c r="C100" s="107" t="s">
        <v>32</v>
      </c>
      <c r="D100" s="104">
        <f>1775</f>
        <v>1775</v>
      </c>
      <c r="E100" s="103"/>
      <c r="F100" s="99" t="s">
        <v>198</v>
      </c>
      <c r="G100" s="100"/>
      <c r="H100" s="100"/>
      <c r="I100" s="100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</row>
    <row r="101" ht="15.0" customHeight="1">
      <c r="A101" s="102"/>
      <c r="B101" s="40" t="s">
        <v>25</v>
      </c>
      <c r="C101" s="64" t="s">
        <v>26</v>
      </c>
      <c r="D101" s="105">
        <v>350.0</v>
      </c>
      <c r="E101" s="103"/>
      <c r="F101" s="99" t="s">
        <v>198</v>
      </c>
      <c r="G101" s="100"/>
      <c r="H101" s="100"/>
      <c r="I101" s="100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</row>
    <row r="102" ht="15.0" customHeight="1">
      <c r="A102" s="102"/>
      <c r="B102" s="40" t="s">
        <v>101</v>
      </c>
      <c r="C102" s="64" t="s">
        <v>102</v>
      </c>
      <c r="D102" s="105">
        <v>25.0</v>
      </c>
      <c r="E102" s="103"/>
      <c r="F102" s="99" t="s">
        <v>198</v>
      </c>
      <c r="G102" s="100"/>
      <c r="H102" s="100"/>
      <c r="I102" s="100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</row>
    <row r="103" ht="15.0" customHeight="1">
      <c r="A103" s="102"/>
      <c r="B103" s="109"/>
      <c r="C103" s="110"/>
      <c r="D103" s="104"/>
      <c r="E103" s="103"/>
      <c r="F103" s="100"/>
      <c r="G103" s="100"/>
      <c r="H103" s="100"/>
      <c r="I103" s="100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</row>
    <row r="104" ht="15.0" customHeight="1">
      <c r="A104" s="96">
        <v>45828.0</v>
      </c>
      <c r="B104" s="40" t="s">
        <v>25</v>
      </c>
      <c r="C104" s="64" t="s">
        <v>26</v>
      </c>
      <c r="D104" s="104">
        <f>2325</f>
        <v>2325</v>
      </c>
      <c r="E104" s="103"/>
      <c r="F104" s="99" t="s">
        <v>198</v>
      </c>
      <c r="G104" s="100"/>
      <c r="H104" s="100"/>
      <c r="I104" s="100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</row>
    <row r="105" ht="15.0" customHeight="1">
      <c r="A105" s="102"/>
      <c r="B105" s="109"/>
      <c r="C105" s="110"/>
      <c r="D105" s="104"/>
      <c r="E105" s="103"/>
      <c r="F105" s="100"/>
      <c r="G105" s="100"/>
      <c r="H105" s="100"/>
      <c r="I105" s="100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</row>
    <row r="106" ht="15.0" customHeight="1">
      <c r="A106" s="96">
        <v>45829.0</v>
      </c>
      <c r="B106" s="40" t="s">
        <v>25</v>
      </c>
      <c r="C106" s="64" t="s">
        <v>26</v>
      </c>
      <c r="D106" s="104">
        <f>1225</f>
        <v>1225</v>
      </c>
      <c r="E106" s="103"/>
      <c r="F106" s="99" t="s">
        <v>198</v>
      </c>
      <c r="G106" s="100"/>
      <c r="H106" s="100"/>
      <c r="I106" s="100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</row>
    <row r="107" ht="15.0" customHeight="1">
      <c r="A107" s="102"/>
      <c r="B107" s="106" t="s">
        <v>31</v>
      </c>
      <c r="C107" s="107" t="s">
        <v>32</v>
      </c>
      <c r="D107" s="105">
        <v>1000.0</v>
      </c>
      <c r="E107" s="103"/>
      <c r="F107" s="99" t="s">
        <v>198</v>
      </c>
      <c r="G107" s="100"/>
      <c r="H107" s="100"/>
      <c r="I107" s="100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</row>
    <row r="108" ht="15.0" customHeight="1">
      <c r="A108" s="102"/>
      <c r="B108" s="100"/>
      <c r="C108" s="100"/>
      <c r="D108" s="104"/>
      <c r="E108" s="103"/>
      <c r="F108" s="100"/>
      <c r="G108" s="100"/>
      <c r="H108" s="100"/>
      <c r="I108" s="100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</row>
    <row r="109" ht="15.0" customHeight="1">
      <c r="A109" s="102"/>
      <c r="B109" s="100"/>
      <c r="C109" s="100"/>
      <c r="D109" s="104"/>
      <c r="E109" s="103"/>
      <c r="F109" s="100"/>
      <c r="G109" s="100"/>
      <c r="H109" s="100"/>
      <c r="I109" s="100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</row>
    <row r="110" ht="15.0" customHeight="1">
      <c r="A110" s="102"/>
      <c r="B110" s="100"/>
      <c r="C110" s="100"/>
      <c r="D110" s="104"/>
      <c r="E110" s="103"/>
      <c r="F110" s="100"/>
      <c r="G110" s="100"/>
      <c r="H110" s="100"/>
      <c r="I110" s="100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</row>
    <row r="111" ht="15.0" customHeight="1">
      <c r="A111" s="102"/>
      <c r="B111" s="100"/>
      <c r="C111" s="100"/>
      <c r="D111" s="104"/>
      <c r="E111" s="103"/>
      <c r="F111" s="100"/>
      <c r="G111" s="100"/>
      <c r="H111" s="100"/>
      <c r="I111" s="100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</row>
    <row r="112" ht="15.0" customHeight="1">
      <c r="A112" s="102"/>
      <c r="B112" s="114"/>
      <c r="C112" s="115"/>
      <c r="D112" s="104"/>
      <c r="E112" s="103"/>
      <c r="F112" s="100"/>
      <c r="G112" s="100"/>
      <c r="H112" s="100"/>
      <c r="I112" s="100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</row>
    <row r="113" ht="15.75" customHeight="1">
      <c r="A113" s="93"/>
      <c r="B113" s="23"/>
      <c r="C113" s="24" t="s">
        <v>213</v>
      </c>
      <c r="D113" s="94"/>
      <c r="E113" s="27"/>
      <c r="F113" s="95"/>
      <c r="G113" s="95"/>
      <c r="H113" s="95"/>
      <c r="I113" s="95"/>
    </row>
    <row r="114" ht="15.75" customHeight="1">
      <c r="A114" s="96">
        <v>45808.0</v>
      </c>
      <c r="B114" s="72" t="s">
        <v>214</v>
      </c>
      <c r="C114" s="116" t="s">
        <v>215</v>
      </c>
      <c r="D114" s="117">
        <f>6000+6000</f>
        <v>12000</v>
      </c>
      <c r="E114" s="118"/>
      <c r="F114" s="99" t="s">
        <v>198</v>
      </c>
      <c r="G114" s="118"/>
      <c r="H114" s="118"/>
      <c r="I114" s="118"/>
    </row>
    <row r="115" ht="15.75" customHeight="1">
      <c r="A115" s="117"/>
      <c r="B115" s="119"/>
      <c r="C115" s="120"/>
      <c r="D115" s="117"/>
      <c r="E115" s="118"/>
      <c r="F115" s="118"/>
      <c r="G115" s="118"/>
      <c r="H115" s="118"/>
      <c r="I115" s="118"/>
    </row>
    <row r="116" ht="15.75" customHeight="1">
      <c r="A116" s="96">
        <v>45810.0</v>
      </c>
      <c r="B116" s="72" t="s">
        <v>214</v>
      </c>
      <c r="C116" s="116" t="s">
        <v>215</v>
      </c>
      <c r="D116" s="117">
        <f>5000+5000</f>
        <v>10000</v>
      </c>
      <c r="E116" s="118"/>
      <c r="F116" s="99" t="s">
        <v>198</v>
      </c>
      <c r="G116" s="118"/>
      <c r="H116" s="118"/>
      <c r="I116" s="118"/>
    </row>
    <row r="117" ht="15.75" customHeight="1">
      <c r="A117" s="117"/>
      <c r="B117" s="119"/>
      <c r="C117" s="120"/>
      <c r="D117" s="117"/>
      <c r="E117" s="118"/>
      <c r="F117" s="118"/>
      <c r="G117" s="118"/>
      <c r="H117" s="118"/>
      <c r="I117" s="118"/>
    </row>
    <row r="118" ht="15.75" customHeight="1">
      <c r="A118" s="96">
        <v>45811.0</v>
      </c>
      <c r="B118" s="72" t="s">
        <v>214</v>
      </c>
      <c r="C118" s="116" t="s">
        <v>215</v>
      </c>
      <c r="D118" s="117">
        <f>4500+6000</f>
        <v>10500</v>
      </c>
      <c r="E118" s="118"/>
      <c r="F118" s="99" t="s">
        <v>198</v>
      </c>
      <c r="G118" s="118"/>
      <c r="H118" s="118"/>
      <c r="I118" s="118"/>
    </row>
    <row r="119" ht="15.75" customHeight="1">
      <c r="A119" s="117"/>
      <c r="B119" s="119"/>
      <c r="C119" s="120"/>
      <c r="D119" s="117"/>
      <c r="E119" s="118"/>
      <c r="F119" s="118"/>
      <c r="G119" s="118"/>
      <c r="H119" s="118"/>
      <c r="I119" s="118"/>
    </row>
    <row r="120" ht="15.75" customHeight="1">
      <c r="A120" s="96">
        <v>45812.0</v>
      </c>
      <c r="B120" s="72" t="s">
        <v>214</v>
      </c>
      <c r="C120" s="116" t="s">
        <v>215</v>
      </c>
      <c r="D120" s="117">
        <f>4500+6000</f>
        <v>10500</v>
      </c>
      <c r="E120" s="118"/>
      <c r="F120" s="99" t="s">
        <v>198</v>
      </c>
      <c r="G120" s="118"/>
      <c r="H120" s="118"/>
      <c r="I120" s="118"/>
    </row>
    <row r="121" ht="15.75" customHeight="1">
      <c r="A121" s="117"/>
      <c r="B121" s="119"/>
      <c r="C121" s="120"/>
      <c r="D121" s="117"/>
      <c r="E121" s="118"/>
      <c r="F121" s="118"/>
      <c r="G121" s="118"/>
      <c r="H121" s="118"/>
      <c r="I121" s="118"/>
    </row>
    <row r="122" ht="15.75" customHeight="1">
      <c r="A122" s="96">
        <v>45813.0</v>
      </c>
      <c r="B122" s="72" t="s">
        <v>214</v>
      </c>
      <c r="C122" s="116" t="s">
        <v>215</v>
      </c>
      <c r="D122" s="117">
        <f>6000</f>
        <v>6000</v>
      </c>
      <c r="E122" s="118"/>
      <c r="F122" s="99" t="s">
        <v>198</v>
      </c>
      <c r="G122" s="118"/>
      <c r="H122" s="118"/>
      <c r="I122" s="118"/>
    </row>
    <row r="123" ht="15.75" customHeight="1">
      <c r="A123" s="117"/>
      <c r="B123" s="119"/>
      <c r="C123" s="120"/>
      <c r="D123" s="117"/>
      <c r="E123" s="118"/>
      <c r="F123" s="118"/>
      <c r="G123" s="118"/>
      <c r="H123" s="118"/>
      <c r="I123" s="118"/>
    </row>
    <row r="124" ht="15.75" customHeight="1">
      <c r="A124" s="96">
        <v>45814.0</v>
      </c>
      <c r="B124" s="72" t="s">
        <v>214</v>
      </c>
      <c r="C124" s="116" t="s">
        <v>215</v>
      </c>
      <c r="D124" s="121">
        <v>6000.0</v>
      </c>
      <c r="E124" s="118"/>
      <c r="F124" s="99" t="s">
        <v>198</v>
      </c>
      <c r="G124" s="118"/>
      <c r="H124" s="118"/>
      <c r="I124" s="118"/>
    </row>
    <row r="125" ht="15.75" customHeight="1">
      <c r="A125" s="117"/>
      <c r="B125" s="119"/>
      <c r="C125" s="120"/>
      <c r="D125" s="117"/>
      <c r="E125" s="118"/>
      <c r="F125" s="118"/>
      <c r="G125" s="118"/>
      <c r="H125" s="118"/>
      <c r="I125" s="118"/>
    </row>
    <row r="126" ht="15.75" customHeight="1">
      <c r="A126" s="96">
        <v>45815.0</v>
      </c>
      <c r="B126" s="72" t="s">
        <v>214</v>
      </c>
      <c r="C126" s="116" t="s">
        <v>215</v>
      </c>
      <c r="D126" s="117">
        <f>4500+5000</f>
        <v>9500</v>
      </c>
      <c r="E126" s="118"/>
      <c r="F126" s="99" t="s">
        <v>198</v>
      </c>
      <c r="G126" s="118"/>
      <c r="H126" s="118"/>
      <c r="I126" s="118"/>
    </row>
    <row r="127" ht="15.75" customHeight="1">
      <c r="A127" s="117"/>
      <c r="B127" s="119"/>
      <c r="C127" s="120"/>
      <c r="D127" s="117"/>
      <c r="E127" s="118"/>
      <c r="F127" s="118"/>
      <c r="G127" s="118"/>
      <c r="H127" s="118"/>
      <c r="I127" s="118"/>
    </row>
    <row r="128" ht="15.75" customHeight="1">
      <c r="A128" s="96">
        <v>45817.0</v>
      </c>
      <c r="B128" s="72" t="s">
        <v>214</v>
      </c>
      <c r="C128" s="116" t="s">
        <v>215</v>
      </c>
      <c r="D128" s="117">
        <f>6000+5500</f>
        <v>11500</v>
      </c>
      <c r="E128" s="118"/>
      <c r="F128" s="99" t="s">
        <v>198</v>
      </c>
      <c r="G128" s="118"/>
      <c r="H128" s="118"/>
      <c r="I128" s="118"/>
    </row>
    <row r="129" ht="15.75" customHeight="1">
      <c r="A129" s="117"/>
      <c r="B129" s="119"/>
      <c r="C129" s="120"/>
      <c r="D129" s="117"/>
      <c r="E129" s="118"/>
      <c r="F129" s="118"/>
      <c r="G129" s="118"/>
      <c r="H129" s="118"/>
      <c r="I129" s="118"/>
    </row>
    <row r="130" ht="15.75" customHeight="1">
      <c r="A130" s="96">
        <v>45818.0</v>
      </c>
      <c r="B130" s="72" t="s">
        <v>214</v>
      </c>
      <c r="C130" s="116" t="s">
        <v>215</v>
      </c>
      <c r="D130" s="117">
        <f>6000+6000</f>
        <v>12000</v>
      </c>
      <c r="E130" s="118"/>
      <c r="F130" s="99" t="s">
        <v>198</v>
      </c>
      <c r="G130" s="118"/>
      <c r="H130" s="118"/>
      <c r="I130" s="118"/>
    </row>
    <row r="131" ht="15.75" customHeight="1">
      <c r="A131" s="117"/>
      <c r="B131" s="119"/>
      <c r="C131" s="120"/>
      <c r="D131" s="117"/>
      <c r="E131" s="118"/>
      <c r="F131" s="118"/>
      <c r="G131" s="118"/>
      <c r="H131" s="118"/>
      <c r="I131" s="118"/>
    </row>
    <row r="132" ht="15.75" customHeight="1">
      <c r="A132" s="96">
        <v>45819.0</v>
      </c>
      <c r="B132" s="72" t="s">
        <v>214</v>
      </c>
      <c r="C132" s="116" t="s">
        <v>215</v>
      </c>
      <c r="D132" s="117">
        <f>5000+5500</f>
        <v>10500</v>
      </c>
      <c r="E132" s="118"/>
      <c r="F132" s="99" t="s">
        <v>198</v>
      </c>
      <c r="G132" s="118"/>
      <c r="H132" s="118"/>
      <c r="I132" s="118"/>
    </row>
    <row r="133" ht="15.75" customHeight="1">
      <c r="A133" s="117"/>
      <c r="B133" s="119"/>
      <c r="C133" s="120"/>
      <c r="D133" s="117"/>
      <c r="E133" s="118"/>
      <c r="F133" s="118"/>
      <c r="G133" s="118"/>
      <c r="H133" s="118"/>
      <c r="I133" s="118"/>
    </row>
    <row r="134" ht="15.75" customHeight="1">
      <c r="A134" s="96">
        <v>45820.0</v>
      </c>
      <c r="B134" s="72" t="s">
        <v>214</v>
      </c>
      <c r="C134" s="116" t="s">
        <v>215</v>
      </c>
      <c r="D134" s="117">
        <f>5500+5000</f>
        <v>10500</v>
      </c>
      <c r="E134" s="118"/>
      <c r="F134" s="99" t="s">
        <v>198</v>
      </c>
      <c r="G134" s="118"/>
      <c r="H134" s="118"/>
      <c r="I134" s="118"/>
    </row>
    <row r="135" ht="15.75" customHeight="1">
      <c r="A135" s="117"/>
      <c r="B135" s="119"/>
      <c r="C135" s="120"/>
      <c r="D135" s="117"/>
      <c r="E135" s="118"/>
      <c r="F135" s="118"/>
      <c r="G135" s="118"/>
      <c r="H135" s="118"/>
      <c r="I135" s="118"/>
    </row>
    <row r="136" ht="15.75" customHeight="1">
      <c r="A136" s="96">
        <v>45821.0</v>
      </c>
      <c r="B136" s="72" t="s">
        <v>214</v>
      </c>
      <c r="C136" s="116" t="s">
        <v>215</v>
      </c>
      <c r="D136" s="117">
        <f>6000+6000</f>
        <v>12000</v>
      </c>
      <c r="E136" s="118"/>
      <c r="F136" s="99" t="s">
        <v>198</v>
      </c>
      <c r="G136" s="118"/>
      <c r="H136" s="118"/>
      <c r="I136" s="118"/>
    </row>
    <row r="137" ht="15.75" customHeight="1">
      <c r="A137" s="117"/>
      <c r="B137" s="119"/>
      <c r="C137" s="120"/>
      <c r="D137" s="117"/>
      <c r="E137" s="118"/>
      <c r="F137" s="118"/>
      <c r="G137" s="118"/>
      <c r="H137" s="118"/>
      <c r="I137" s="118"/>
    </row>
    <row r="138" ht="15.75" customHeight="1">
      <c r="A138" s="96">
        <v>45822.0</v>
      </c>
      <c r="B138" s="72" t="s">
        <v>214</v>
      </c>
      <c r="C138" s="116" t="s">
        <v>215</v>
      </c>
      <c r="D138" s="117">
        <f>5000+3000</f>
        <v>8000</v>
      </c>
      <c r="E138" s="118"/>
      <c r="F138" s="99" t="s">
        <v>198</v>
      </c>
      <c r="G138" s="118"/>
      <c r="H138" s="118"/>
      <c r="I138" s="118"/>
    </row>
    <row r="139" ht="15.75" customHeight="1">
      <c r="A139" s="117"/>
      <c r="B139" s="119"/>
      <c r="C139" s="120"/>
      <c r="D139" s="117"/>
      <c r="E139" s="118"/>
      <c r="F139" s="118"/>
      <c r="G139" s="118"/>
      <c r="H139" s="118"/>
      <c r="I139" s="118"/>
    </row>
    <row r="140" ht="15.75" customHeight="1">
      <c r="A140" s="96">
        <v>45824.0</v>
      </c>
      <c r="B140" s="72" t="s">
        <v>214</v>
      </c>
      <c r="C140" s="116" t="s">
        <v>215</v>
      </c>
      <c r="D140" s="117">
        <f>2000</f>
        <v>2000</v>
      </c>
      <c r="E140" s="118"/>
      <c r="F140" s="99" t="s">
        <v>198</v>
      </c>
      <c r="G140" s="118"/>
      <c r="H140" s="118"/>
      <c r="I140" s="118"/>
    </row>
    <row r="141" ht="15.75" customHeight="1">
      <c r="A141" s="117"/>
      <c r="B141" s="119"/>
      <c r="C141" s="120"/>
      <c r="D141" s="117"/>
      <c r="E141" s="118"/>
      <c r="F141" s="118"/>
      <c r="G141" s="118"/>
      <c r="H141" s="118"/>
      <c r="I141" s="118"/>
    </row>
    <row r="142" ht="15.75" customHeight="1">
      <c r="A142" s="96">
        <v>45825.0</v>
      </c>
      <c r="B142" s="72" t="s">
        <v>214</v>
      </c>
      <c r="C142" s="116" t="s">
        <v>215</v>
      </c>
      <c r="D142" s="121">
        <v>4000.0</v>
      </c>
      <c r="E142" s="118"/>
      <c r="F142" s="99" t="s">
        <v>198</v>
      </c>
      <c r="G142" s="118"/>
      <c r="H142" s="118"/>
      <c r="I142" s="118"/>
    </row>
    <row r="143" ht="15.75" customHeight="1">
      <c r="A143" s="117"/>
      <c r="B143" s="119"/>
      <c r="C143" s="120"/>
      <c r="D143" s="117"/>
      <c r="E143" s="118"/>
      <c r="F143" s="118"/>
      <c r="G143" s="118"/>
      <c r="H143" s="118"/>
      <c r="I143" s="118"/>
    </row>
    <row r="144" ht="15.75" customHeight="1">
      <c r="A144" s="96">
        <v>45827.0</v>
      </c>
      <c r="B144" s="72" t="s">
        <v>214</v>
      </c>
      <c r="C144" s="116" t="s">
        <v>215</v>
      </c>
      <c r="D144" s="117">
        <f>4000+5500</f>
        <v>9500</v>
      </c>
      <c r="E144" s="118"/>
      <c r="F144" s="99" t="s">
        <v>198</v>
      </c>
      <c r="G144" s="118"/>
      <c r="H144" s="118"/>
      <c r="I144" s="118"/>
    </row>
    <row r="145" ht="15.75" customHeight="1">
      <c r="A145" s="117"/>
      <c r="B145" s="119"/>
      <c r="C145" s="120"/>
      <c r="D145" s="117"/>
      <c r="E145" s="118"/>
      <c r="F145" s="118"/>
      <c r="G145" s="118"/>
      <c r="H145" s="118"/>
      <c r="I145" s="118"/>
    </row>
    <row r="146" ht="15.75" customHeight="1">
      <c r="A146" s="117"/>
      <c r="B146" s="119"/>
      <c r="C146" s="120"/>
      <c r="D146" s="117"/>
      <c r="E146" s="118"/>
      <c r="F146" s="118"/>
      <c r="G146" s="118"/>
      <c r="H146" s="118"/>
      <c r="I146" s="118"/>
    </row>
    <row r="147" ht="15.75" customHeight="1">
      <c r="A147" s="117"/>
      <c r="B147" s="118"/>
      <c r="C147" s="118"/>
      <c r="D147" s="117"/>
      <c r="E147" s="118"/>
      <c r="F147" s="118"/>
      <c r="G147" s="118"/>
      <c r="H147" s="118"/>
      <c r="I147" s="118"/>
    </row>
    <row r="148" ht="15.75" customHeight="1">
      <c r="A148" s="117"/>
      <c r="B148" s="118"/>
      <c r="C148" s="118"/>
      <c r="D148" s="117"/>
      <c r="E148" s="118"/>
      <c r="F148" s="118"/>
      <c r="G148" s="118"/>
      <c r="H148" s="118"/>
      <c r="I148" s="118"/>
    </row>
    <row r="149" ht="15.75" customHeight="1">
      <c r="A149" s="93"/>
      <c r="B149" s="23"/>
      <c r="C149" s="24" t="s">
        <v>216</v>
      </c>
      <c r="D149" s="94"/>
      <c r="E149" s="27"/>
      <c r="F149" s="95"/>
      <c r="G149" s="95"/>
      <c r="H149" s="95"/>
      <c r="I149" s="95"/>
    </row>
    <row r="150" ht="15.75" customHeight="1">
      <c r="A150" s="96">
        <v>45808.0</v>
      </c>
      <c r="B150" s="76" t="s">
        <v>217</v>
      </c>
      <c r="C150" s="112" t="s">
        <v>218</v>
      </c>
      <c r="D150" s="121">
        <v>28.0</v>
      </c>
      <c r="E150" s="118"/>
      <c r="F150" s="118"/>
      <c r="G150" s="118"/>
      <c r="H150" s="118"/>
      <c r="I150" s="118"/>
    </row>
    <row r="151" ht="15.75" customHeight="1">
      <c r="A151" s="117"/>
      <c r="B151" s="76" t="s">
        <v>219</v>
      </c>
      <c r="C151" s="122" t="s">
        <v>220</v>
      </c>
      <c r="D151" s="121">
        <v>170.0</v>
      </c>
      <c r="E151" s="118"/>
      <c r="F151" s="118"/>
      <c r="G151" s="118"/>
      <c r="H151" s="118"/>
      <c r="I151" s="118"/>
    </row>
    <row r="152" ht="15.75" customHeight="1">
      <c r="A152" s="117"/>
      <c r="B152" s="40" t="s">
        <v>221</v>
      </c>
      <c r="C152" s="123" t="s">
        <v>222</v>
      </c>
      <c r="D152" s="117">
        <f>30+170</f>
        <v>200</v>
      </c>
      <c r="E152" s="118"/>
      <c r="F152" s="118"/>
      <c r="G152" s="118"/>
      <c r="H152" s="118"/>
      <c r="I152" s="118"/>
    </row>
    <row r="153" ht="15.75" customHeight="1">
      <c r="A153" s="117"/>
      <c r="B153" s="124" t="s">
        <v>223</v>
      </c>
      <c r="C153" s="107" t="s">
        <v>224</v>
      </c>
      <c r="D153" s="117">
        <f>145+128</f>
        <v>273</v>
      </c>
      <c r="E153" s="118"/>
      <c r="F153" s="118"/>
      <c r="G153" s="118"/>
      <c r="H153" s="118"/>
      <c r="I153" s="118"/>
    </row>
    <row r="154" ht="15.75" customHeight="1">
      <c r="A154" s="117"/>
      <c r="B154" s="118"/>
      <c r="C154" s="118"/>
      <c r="D154" s="117"/>
      <c r="E154" s="118"/>
      <c r="F154" s="118"/>
      <c r="G154" s="118"/>
      <c r="H154" s="118"/>
      <c r="I154" s="118"/>
    </row>
    <row r="155" ht="15.75" customHeight="1">
      <c r="A155" s="96">
        <v>45810.0</v>
      </c>
      <c r="B155" s="40" t="s">
        <v>221</v>
      </c>
      <c r="C155" s="123" t="s">
        <v>222</v>
      </c>
      <c r="D155" s="117">
        <f>110</f>
        <v>110</v>
      </c>
      <c r="E155" s="118"/>
      <c r="F155" s="118"/>
      <c r="G155" s="118"/>
      <c r="H155" s="118"/>
      <c r="I155" s="118"/>
    </row>
    <row r="156" ht="15.75" customHeight="1">
      <c r="A156" s="117"/>
      <c r="B156" s="125" t="s">
        <v>225</v>
      </c>
      <c r="C156" s="64" t="s">
        <v>226</v>
      </c>
      <c r="D156" s="121">
        <v>160.0</v>
      </c>
      <c r="E156" s="118"/>
      <c r="F156" s="118"/>
      <c r="G156" s="118"/>
      <c r="H156" s="118"/>
      <c r="I156" s="118"/>
    </row>
    <row r="157" ht="15.75" customHeight="1">
      <c r="A157" s="117"/>
      <c r="B157" s="76" t="s">
        <v>227</v>
      </c>
      <c r="C157" s="112" t="s">
        <v>228</v>
      </c>
      <c r="D157" s="121">
        <v>150.0</v>
      </c>
      <c r="E157" s="118"/>
      <c r="F157" s="118"/>
      <c r="G157" s="118"/>
      <c r="H157" s="118"/>
      <c r="I157" s="118"/>
    </row>
    <row r="158" ht="15.75" customHeight="1">
      <c r="A158" s="117"/>
      <c r="B158" s="76" t="s">
        <v>217</v>
      </c>
      <c r="C158" s="112" t="s">
        <v>218</v>
      </c>
      <c r="D158" s="121">
        <v>164.0</v>
      </c>
      <c r="E158" s="118"/>
      <c r="F158" s="118"/>
      <c r="G158" s="118"/>
      <c r="H158" s="118"/>
      <c r="I158" s="118"/>
    </row>
    <row r="159" ht="15.75" customHeight="1">
      <c r="A159" s="117"/>
      <c r="B159" s="118"/>
      <c r="C159" s="118"/>
      <c r="D159" s="117"/>
      <c r="E159" s="118"/>
      <c r="F159" s="118"/>
      <c r="G159" s="118"/>
      <c r="H159" s="118"/>
      <c r="I159" s="118"/>
    </row>
    <row r="160" ht="15.75" customHeight="1">
      <c r="A160" s="96">
        <v>45811.0</v>
      </c>
      <c r="B160" s="76" t="s">
        <v>227</v>
      </c>
      <c r="C160" s="112" t="s">
        <v>228</v>
      </c>
      <c r="D160" s="121">
        <v>10.0</v>
      </c>
      <c r="E160" s="118"/>
      <c r="F160" s="118"/>
      <c r="G160" s="118"/>
      <c r="H160" s="118"/>
      <c r="I160" s="118"/>
    </row>
    <row r="161" ht="15.75" customHeight="1">
      <c r="A161" s="117"/>
      <c r="B161" s="76" t="s">
        <v>217</v>
      </c>
      <c r="C161" s="112" t="s">
        <v>218</v>
      </c>
      <c r="D161" s="121">
        <v>180.0</v>
      </c>
      <c r="E161" s="118"/>
      <c r="F161" s="118"/>
      <c r="G161" s="118"/>
      <c r="H161" s="118"/>
      <c r="I161" s="118"/>
    </row>
    <row r="162" ht="15.75" customHeight="1">
      <c r="A162" s="117"/>
      <c r="B162" s="125" t="s">
        <v>225</v>
      </c>
      <c r="C162" s="64" t="s">
        <v>226</v>
      </c>
      <c r="D162" s="121">
        <f>140+162</f>
        <v>302</v>
      </c>
      <c r="E162" s="118"/>
      <c r="F162" s="118"/>
      <c r="G162" s="118"/>
      <c r="H162" s="118"/>
      <c r="I162" s="118"/>
    </row>
    <row r="163" ht="15.75" customHeight="1">
      <c r="A163" s="117"/>
      <c r="B163" s="40" t="s">
        <v>221</v>
      </c>
      <c r="C163" s="123" t="s">
        <v>222</v>
      </c>
      <c r="D163" s="121">
        <v>166.0</v>
      </c>
      <c r="E163" s="118"/>
      <c r="F163" s="118"/>
      <c r="G163" s="118"/>
      <c r="H163" s="118"/>
      <c r="I163" s="118"/>
    </row>
    <row r="164" ht="15.75" customHeight="1">
      <c r="A164" s="117"/>
      <c r="B164" s="118"/>
      <c r="C164" s="118"/>
      <c r="D164" s="117"/>
      <c r="E164" s="118"/>
      <c r="F164" s="118"/>
      <c r="G164" s="118"/>
      <c r="H164" s="118"/>
      <c r="I164" s="118"/>
    </row>
    <row r="165" ht="15.75" customHeight="1">
      <c r="A165" s="96">
        <v>45812.0</v>
      </c>
      <c r="B165" s="125" t="s">
        <v>225</v>
      </c>
      <c r="C165" s="64" t="s">
        <v>226</v>
      </c>
      <c r="D165" s="121">
        <v>20.0</v>
      </c>
      <c r="E165" s="118"/>
      <c r="F165" s="118"/>
      <c r="G165" s="118"/>
      <c r="H165" s="118"/>
      <c r="I165" s="118"/>
    </row>
    <row r="166" ht="15.75" customHeight="1">
      <c r="A166" s="117"/>
      <c r="B166" s="76" t="s">
        <v>227</v>
      </c>
      <c r="C166" s="112" t="s">
        <v>228</v>
      </c>
      <c r="D166" s="117">
        <f>130</f>
        <v>130</v>
      </c>
      <c r="E166" s="118"/>
      <c r="F166" s="118"/>
      <c r="G166" s="118"/>
      <c r="H166" s="118"/>
      <c r="I166" s="118"/>
    </row>
    <row r="167" ht="15.75" customHeight="1">
      <c r="A167" s="117"/>
      <c r="B167" s="76" t="s">
        <v>217</v>
      </c>
      <c r="C167" s="112" t="s">
        <v>218</v>
      </c>
      <c r="D167" s="117">
        <f>150+28</f>
        <v>178</v>
      </c>
      <c r="E167" s="118"/>
      <c r="F167" s="118"/>
      <c r="G167" s="118"/>
      <c r="H167" s="118"/>
      <c r="I167" s="118"/>
    </row>
    <row r="168" ht="15.75" customHeight="1">
      <c r="A168" s="117"/>
      <c r="B168" s="40" t="s">
        <v>221</v>
      </c>
      <c r="C168" s="123" t="s">
        <v>222</v>
      </c>
      <c r="D168" s="117">
        <f>114</f>
        <v>114</v>
      </c>
      <c r="E168" s="118"/>
      <c r="F168" s="118"/>
      <c r="G168" s="118"/>
      <c r="H168" s="118"/>
      <c r="I168" s="118"/>
    </row>
    <row r="169" ht="15.75" customHeight="1">
      <c r="A169" s="117"/>
      <c r="B169" s="76" t="s">
        <v>219</v>
      </c>
      <c r="C169" s="122" t="s">
        <v>220</v>
      </c>
      <c r="D169" s="117">
        <f>36+132</f>
        <v>168</v>
      </c>
      <c r="E169" s="118"/>
      <c r="F169" s="118"/>
      <c r="G169" s="118"/>
      <c r="H169" s="118"/>
      <c r="I169" s="118"/>
    </row>
    <row r="170" ht="15.75" customHeight="1">
      <c r="A170" s="117"/>
      <c r="B170" s="118"/>
      <c r="C170" s="118"/>
      <c r="D170" s="117"/>
      <c r="E170" s="118"/>
      <c r="F170" s="118"/>
      <c r="G170" s="118"/>
      <c r="H170" s="118"/>
      <c r="I170" s="118"/>
    </row>
    <row r="171" ht="15.75" customHeight="1">
      <c r="A171" s="96">
        <v>45813.0</v>
      </c>
      <c r="B171" s="76" t="s">
        <v>227</v>
      </c>
      <c r="C171" s="112" t="s">
        <v>228</v>
      </c>
      <c r="D171" s="117">
        <f>164</f>
        <v>164</v>
      </c>
      <c r="E171" s="118"/>
      <c r="F171" s="118"/>
      <c r="G171" s="118"/>
      <c r="H171" s="118"/>
      <c r="I171" s="118"/>
    </row>
    <row r="172" ht="15.75" customHeight="1">
      <c r="A172" s="117"/>
      <c r="B172" s="76" t="s">
        <v>219</v>
      </c>
      <c r="C172" s="122" t="s">
        <v>220</v>
      </c>
      <c r="D172" s="121">
        <f>172+150</f>
        <v>322</v>
      </c>
      <c r="E172" s="118"/>
      <c r="F172" s="118"/>
      <c r="G172" s="118"/>
      <c r="H172" s="118"/>
      <c r="I172" s="118"/>
    </row>
    <row r="173" ht="15.75" customHeight="1">
      <c r="A173" s="117"/>
      <c r="B173" s="40" t="s">
        <v>221</v>
      </c>
      <c r="C173" s="123" t="s">
        <v>222</v>
      </c>
      <c r="D173" s="121">
        <v>128.0</v>
      </c>
      <c r="E173" s="118"/>
      <c r="F173" s="118"/>
      <c r="G173" s="118"/>
      <c r="H173" s="118"/>
      <c r="I173" s="118"/>
    </row>
    <row r="174" ht="15.75" customHeight="1">
      <c r="A174" s="117"/>
      <c r="B174" s="64"/>
      <c r="C174" s="64"/>
      <c r="D174" s="121"/>
      <c r="E174" s="118"/>
      <c r="F174" s="118"/>
      <c r="G174" s="118"/>
      <c r="H174" s="118"/>
      <c r="I174" s="118"/>
    </row>
    <row r="175" ht="15.75" customHeight="1">
      <c r="A175" s="96">
        <v>45814.0</v>
      </c>
      <c r="B175" s="76" t="s">
        <v>227</v>
      </c>
      <c r="C175" s="112" t="s">
        <v>228</v>
      </c>
      <c r="D175" s="121">
        <v>84.0</v>
      </c>
      <c r="E175" s="118"/>
      <c r="F175" s="118"/>
      <c r="G175" s="118"/>
      <c r="H175" s="118"/>
      <c r="I175" s="118"/>
    </row>
    <row r="176" ht="15.75" customHeight="1">
      <c r="A176" s="117"/>
      <c r="B176" s="125" t="s">
        <v>225</v>
      </c>
      <c r="C176" s="64" t="s">
        <v>226</v>
      </c>
      <c r="D176" s="121">
        <v>114.0</v>
      </c>
      <c r="E176" s="118"/>
      <c r="F176" s="118"/>
      <c r="G176" s="118"/>
      <c r="H176" s="118"/>
      <c r="I176" s="118"/>
    </row>
    <row r="177" ht="15.75" customHeight="1">
      <c r="A177" s="117"/>
      <c r="B177" s="118"/>
      <c r="C177" s="118"/>
      <c r="D177" s="117"/>
      <c r="E177" s="118"/>
      <c r="F177" s="118"/>
      <c r="G177" s="118"/>
      <c r="H177" s="118"/>
      <c r="I177" s="118"/>
    </row>
    <row r="178" ht="15.75" customHeight="1">
      <c r="A178" s="96">
        <v>45815.0</v>
      </c>
      <c r="B178" s="40" t="s">
        <v>223</v>
      </c>
      <c r="C178" s="64" t="s">
        <v>224</v>
      </c>
      <c r="D178" s="121">
        <v>125.0</v>
      </c>
      <c r="E178" s="118"/>
      <c r="F178" s="118"/>
      <c r="G178" s="118"/>
      <c r="H178" s="118"/>
      <c r="I178" s="118"/>
    </row>
    <row r="179" ht="15.75" customHeight="1">
      <c r="A179" s="117"/>
      <c r="B179" s="126" t="s">
        <v>229</v>
      </c>
      <c r="C179" s="127" t="s">
        <v>230</v>
      </c>
      <c r="D179" s="121">
        <v>15.0</v>
      </c>
      <c r="E179" s="118"/>
      <c r="F179" s="118"/>
      <c r="G179" s="118"/>
      <c r="H179" s="118"/>
      <c r="I179" s="118"/>
    </row>
    <row r="180" ht="15.75" customHeight="1">
      <c r="A180" s="117"/>
      <c r="B180" s="40" t="s">
        <v>221</v>
      </c>
      <c r="C180" s="123" t="s">
        <v>222</v>
      </c>
      <c r="D180" s="117">
        <f>10+12</f>
        <v>22</v>
      </c>
      <c r="E180" s="118"/>
      <c r="F180" s="118"/>
      <c r="G180" s="118"/>
      <c r="H180" s="118"/>
      <c r="I180" s="118"/>
    </row>
    <row r="181" ht="15.75" customHeight="1">
      <c r="A181" s="117"/>
      <c r="B181" s="76" t="s">
        <v>217</v>
      </c>
      <c r="C181" s="112" t="s">
        <v>218</v>
      </c>
      <c r="D181" s="121">
        <v>138.0</v>
      </c>
      <c r="E181" s="118"/>
      <c r="F181" s="118"/>
      <c r="G181" s="118"/>
      <c r="H181" s="118"/>
      <c r="I181" s="118"/>
    </row>
    <row r="182" ht="15.75" customHeight="1">
      <c r="A182" s="117"/>
      <c r="B182" s="76" t="s">
        <v>219</v>
      </c>
      <c r="C182" s="122" t="s">
        <v>220</v>
      </c>
      <c r="D182" s="121">
        <v>162.0</v>
      </c>
      <c r="E182" s="118"/>
      <c r="F182" s="118"/>
      <c r="G182" s="118"/>
      <c r="H182" s="118"/>
      <c r="I182" s="118"/>
    </row>
    <row r="183" ht="15.75" customHeight="1">
      <c r="A183" s="117"/>
      <c r="B183" s="119"/>
      <c r="C183" s="128"/>
      <c r="D183" s="117"/>
      <c r="E183" s="118"/>
      <c r="F183" s="118"/>
      <c r="G183" s="118"/>
      <c r="H183" s="118"/>
      <c r="I183" s="118"/>
    </row>
    <row r="184" ht="15.75" customHeight="1">
      <c r="A184" s="96">
        <v>45817.0</v>
      </c>
      <c r="B184" s="76" t="s">
        <v>217</v>
      </c>
      <c r="C184" s="112" t="s">
        <v>218</v>
      </c>
      <c r="D184" s="121">
        <v>26.0</v>
      </c>
      <c r="E184" s="118"/>
      <c r="F184" s="118"/>
      <c r="G184" s="118"/>
      <c r="H184" s="118"/>
      <c r="I184" s="118"/>
    </row>
    <row r="185" ht="15.75" customHeight="1">
      <c r="A185" s="117"/>
      <c r="B185" s="76" t="s">
        <v>219</v>
      </c>
      <c r="C185" s="122" t="s">
        <v>220</v>
      </c>
      <c r="D185" s="121">
        <v>182.0</v>
      </c>
      <c r="E185" s="118"/>
      <c r="F185" s="118"/>
      <c r="G185" s="118"/>
      <c r="H185" s="118"/>
      <c r="I185" s="118"/>
    </row>
    <row r="186" ht="15.75" customHeight="1">
      <c r="A186" s="117"/>
      <c r="B186" s="125" t="s">
        <v>225</v>
      </c>
      <c r="C186" s="64" t="s">
        <v>226</v>
      </c>
      <c r="D186" s="121">
        <v>134.0</v>
      </c>
      <c r="E186" s="118"/>
      <c r="F186" s="118"/>
      <c r="G186" s="118"/>
      <c r="H186" s="118"/>
      <c r="I186" s="118"/>
    </row>
    <row r="187" ht="15.75" customHeight="1">
      <c r="A187" s="117"/>
      <c r="B187" s="40" t="s">
        <v>221</v>
      </c>
      <c r="C187" s="123" t="s">
        <v>222</v>
      </c>
      <c r="D187" s="121">
        <v>160.0</v>
      </c>
      <c r="E187" s="118"/>
      <c r="F187" s="118"/>
      <c r="G187" s="118"/>
      <c r="H187" s="118"/>
      <c r="I187" s="118"/>
    </row>
    <row r="188" ht="15.75" customHeight="1">
      <c r="A188" s="117"/>
      <c r="B188" s="76" t="s">
        <v>227</v>
      </c>
      <c r="C188" s="112" t="s">
        <v>228</v>
      </c>
      <c r="D188" s="121">
        <v>170.0</v>
      </c>
      <c r="E188" s="118"/>
      <c r="F188" s="118"/>
      <c r="G188" s="118"/>
      <c r="H188" s="118"/>
      <c r="I188" s="118"/>
    </row>
    <row r="189" ht="15.75" customHeight="1">
      <c r="A189" s="117"/>
      <c r="B189" s="119"/>
      <c r="C189" s="128"/>
      <c r="D189" s="117"/>
      <c r="E189" s="118"/>
      <c r="F189" s="118"/>
      <c r="G189" s="118"/>
      <c r="H189" s="118"/>
      <c r="I189" s="118"/>
    </row>
    <row r="190" ht="15.75" customHeight="1">
      <c r="A190" s="96">
        <v>45818.0</v>
      </c>
      <c r="B190" s="76" t="s">
        <v>227</v>
      </c>
      <c r="C190" s="112" t="s">
        <v>228</v>
      </c>
      <c r="D190" s="117">
        <f>184+16</f>
        <v>200</v>
      </c>
      <c r="E190" s="118"/>
      <c r="F190" s="118"/>
      <c r="G190" s="118"/>
      <c r="H190" s="118"/>
      <c r="I190" s="118"/>
    </row>
    <row r="191" ht="15.75" customHeight="1">
      <c r="A191" s="117"/>
      <c r="B191" s="40" t="s">
        <v>221</v>
      </c>
      <c r="C191" s="123" t="s">
        <v>222</v>
      </c>
      <c r="D191" s="121">
        <v>12.0</v>
      </c>
      <c r="E191" s="118"/>
      <c r="F191" s="118"/>
      <c r="G191" s="118"/>
      <c r="H191" s="118"/>
      <c r="I191" s="118"/>
    </row>
    <row r="192" ht="15.75" customHeight="1">
      <c r="A192" s="117"/>
      <c r="B192" s="125" t="s">
        <v>225</v>
      </c>
      <c r="C192" s="64" t="s">
        <v>226</v>
      </c>
      <c r="D192" s="117">
        <f>150+164</f>
        <v>314</v>
      </c>
      <c r="E192" s="118"/>
      <c r="F192" s="118"/>
      <c r="G192" s="118"/>
      <c r="H192" s="118"/>
      <c r="I192" s="118"/>
    </row>
    <row r="193" ht="15.75" customHeight="1">
      <c r="A193" s="117"/>
      <c r="B193" s="76" t="s">
        <v>219</v>
      </c>
      <c r="C193" s="122" t="s">
        <v>220</v>
      </c>
      <c r="D193" s="121">
        <v>154.0</v>
      </c>
      <c r="E193" s="118"/>
      <c r="F193" s="118"/>
      <c r="G193" s="118"/>
      <c r="H193" s="118"/>
      <c r="I193" s="118"/>
    </row>
    <row r="194" ht="15.75" customHeight="1">
      <c r="A194" s="117"/>
      <c r="B194" s="118"/>
      <c r="C194" s="118"/>
      <c r="D194" s="117"/>
      <c r="E194" s="118"/>
      <c r="F194" s="118"/>
      <c r="G194" s="118"/>
      <c r="H194" s="118"/>
      <c r="I194" s="118"/>
    </row>
    <row r="195" ht="15.75" customHeight="1">
      <c r="A195" s="96">
        <v>45819.0</v>
      </c>
      <c r="B195" s="125" t="s">
        <v>225</v>
      </c>
      <c r="C195" s="64" t="s">
        <v>226</v>
      </c>
      <c r="D195" s="117">
        <f>16</f>
        <v>16</v>
      </c>
      <c r="E195" s="118"/>
      <c r="F195" s="118"/>
      <c r="G195" s="118"/>
      <c r="H195" s="118"/>
      <c r="I195" s="118"/>
    </row>
    <row r="196" ht="15.75" customHeight="1">
      <c r="A196" s="117"/>
      <c r="B196" s="76" t="s">
        <v>217</v>
      </c>
      <c r="C196" s="112" t="s">
        <v>218</v>
      </c>
      <c r="D196" s="117">
        <f>122+162</f>
        <v>284</v>
      </c>
      <c r="E196" s="118"/>
      <c r="F196" s="118"/>
      <c r="G196" s="118"/>
      <c r="H196" s="118"/>
      <c r="I196" s="118"/>
    </row>
    <row r="197" ht="15.75" customHeight="1">
      <c r="A197" s="117"/>
      <c r="B197" s="76" t="s">
        <v>219</v>
      </c>
      <c r="C197" s="122" t="s">
        <v>220</v>
      </c>
      <c r="D197" s="117">
        <f>160+20</f>
        <v>180</v>
      </c>
      <c r="E197" s="118"/>
      <c r="F197" s="118"/>
      <c r="G197" s="118"/>
      <c r="H197" s="118"/>
      <c r="I197" s="118"/>
    </row>
    <row r="198" ht="15.75" customHeight="1">
      <c r="A198" s="117"/>
      <c r="B198" s="40" t="s">
        <v>221</v>
      </c>
      <c r="C198" s="123" t="s">
        <v>222</v>
      </c>
      <c r="D198" s="121">
        <v>150.0</v>
      </c>
      <c r="E198" s="118"/>
      <c r="F198" s="118"/>
      <c r="G198" s="118"/>
      <c r="H198" s="118"/>
      <c r="I198" s="118"/>
    </row>
    <row r="199" ht="15.75" customHeight="1">
      <c r="A199" s="117"/>
      <c r="B199" s="118"/>
      <c r="C199" s="118"/>
      <c r="D199" s="117"/>
      <c r="E199" s="118"/>
      <c r="F199" s="118"/>
      <c r="G199" s="118"/>
      <c r="H199" s="118"/>
      <c r="I199" s="118"/>
    </row>
    <row r="200" ht="15.75" customHeight="1">
      <c r="A200" s="96">
        <v>45820.0</v>
      </c>
      <c r="B200" s="76" t="s">
        <v>227</v>
      </c>
      <c r="C200" s="112" t="s">
        <v>228</v>
      </c>
      <c r="D200" s="121">
        <v>352.0</v>
      </c>
      <c r="E200" s="118"/>
      <c r="F200" s="118"/>
      <c r="G200" s="118"/>
      <c r="H200" s="118"/>
      <c r="I200" s="118"/>
    </row>
    <row r="201" ht="15.75" customHeight="1">
      <c r="A201" s="117"/>
      <c r="B201" s="76" t="s">
        <v>219</v>
      </c>
      <c r="C201" s="122" t="s">
        <v>220</v>
      </c>
      <c r="D201" s="121">
        <v>268.0</v>
      </c>
      <c r="E201" s="118"/>
      <c r="F201" s="118"/>
      <c r="G201" s="118"/>
      <c r="H201" s="118"/>
      <c r="I201" s="118"/>
    </row>
    <row r="202" ht="15.75" customHeight="1">
      <c r="A202" s="117"/>
      <c r="B202" s="40" t="s">
        <v>221</v>
      </c>
      <c r="C202" s="123" t="s">
        <v>222</v>
      </c>
      <c r="D202" s="121">
        <v>104.0</v>
      </c>
      <c r="E202" s="118"/>
      <c r="F202" s="118"/>
      <c r="G202" s="118"/>
      <c r="H202" s="118"/>
      <c r="I202" s="118"/>
    </row>
    <row r="203" ht="15.75" customHeight="1">
      <c r="A203" s="117"/>
      <c r="B203" s="125" t="s">
        <v>225</v>
      </c>
      <c r="C203" s="64" t="s">
        <v>226</v>
      </c>
      <c r="D203" s="121">
        <v>660.0</v>
      </c>
      <c r="E203" s="118"/>
      <c r="F203" s="118"/>
      <c r="G203" s="118"/>
      <c r="H203" s="118"/>
      <c r="I203" s="118"/>
    </row>
    <row r="204" ht="15.75" customHeight="1">
      <c r="A204" s="117"/>
      <c r="B204" s="118"/>
      <c r="C204" s="118"/>
      <c r="D204" s="117"/>
      <c r="E204" s="118"/>
      <c r="F204" s="118"/>
      <c r="G204" s="118"/>
      <c r="H204" s="118"/>
      <c r="I204" s="118"/>
    </row>
    <row r="205" ht="15.75" customHeight="1">
      <c r="A205" s="96">
        <v>45821.0</v>
      </c>
      <c r="B205" s="125" t="s">
        <v>225</v>
      </c>
      <c r="C205" s="64" t="s">
        <v>226</v>
      </c>
      <c r="D205" s="117">
        <f>150</f>
        <v>150</v>
      </c>
      <c r="E205" s="118"/>
      <c r="F205" s="118"/>
      <c r="G205" s="118"/>
      <c r="H205" s="118"/>
      <c r="I205" s="118"/>
    </row>
    <row r="206" ht="15.75" customHeight="1">
      <c r="A206" s="117"/>
      <c r="B206" s="113" t="s">
        <v>227</v>
      </c>
      <c r="C206" s="112" t="s">
        <v>228</v>
      </c>
      <c r="D206" s="121">
        <v>180.0</v>
      </c>
      <c r="E206" s="118"/>
      <c r="F206" s="118"/>
      <c r="G206" s="118"/>
      <c r="H206" s="118"/>
      <c r="I206" s="118"/>
    </row>
    <row r="207" ht="15.75" customHeight="1">
      <c r="A207" s="117"/>
      <c r="B207" s="39" t="s">
        <v>231</v>
      </c>
      <c r="C207" s="41" t="s">
        <v>232</v>
      </c>
      <c r="D207" s="121">
        <v>75.0</v>
      </c>
      <c r="E207" s="118"/>
      <c r="F207" s="118"/>
      <c r="G207" s="118"/>
      <c r="H207" s="118"/>
      <c r="I207" s="118"/>
    </row>
    <row r="208" ht="15.75" customHeight="1">
      <c r="A208" s="117"/>
      <c r="B208" s="113" t="s">
        <v>217</v>
      </c>
      <c r="C208" s="112" t="s">
        <v>218</v>
      </c>
      <c r="D208" s="117">
        <f>24+150</f>
        <v>174</v>
      </c>
      <c r="E208" s="118"/>
      <c r="F208" s="118"/>
      <c r="G208" s="118"/>
      <c r="H208" s="118"/>
      <c r="I208" s="118"/>
    </row>
    <row r="209" ht="15.75" customHeight="1">
      <c r="A209" s="117"/>
      <c r="B209" s="125" t="s">
        <v>221</v>
      </c>
      <c r="C209" s="129" t="s">
        <v>222</v>
      </c>
      <c r="D209" s="121">
        <v>125.0</v>
      </c>
      <c r="E209" s="118"/>
      <c r="F209" s="118"/>
      <c r="G209" s="118"/>
      <c r="H209" s="118"/>
      <c r="I209" s="118"/>
    </row>
    <row r="210" ht="15.75" customHeight="1">
      <c r="A210" s="117"/>
      <c r="B210" s="118"/>
      <c r="C210" s="118"/>
      <c r="D210" s="117"/>
      <c r="E210" s="118"/>
      <c r="F210" s="118"/>
      <c r="G210" s="118"/>
      <c r="H210" s="118"/>
      <c r="I210" s="118"/>
    </row>
    <row r="211" ht="15.75" customHeight="1">
      <c r="A211" s="96">
        <v>45822.0</v>
      </c>
      <c r="B211" s="125" t="s">
        <v>221</v>
      </c>
      <c r="C211" s="129" t="s">
        <v>222</v>
      </c>
      <c r="D211" s="117">
        <f>162+46</f>
        <v>208</v>
      </c>
      <c r="E211" s="118"/>
      <c r="F211" s="118"/>
      <c r="G211" s="118"/>
      <c r="H211" s="118"/>
      <c r="I211" s="118"/>
    </row>
    <row r="212" ht="15.75" customHeight="1">
      <c r="A212" s="117"/>
      <c r="B212" s="76" t="s">
        <v>219</v>
      </c>
      <c r="C212" s="122" t="s">
        <v>220</v>
      </c>
      <c r="D212" s="117">
        <f>182+160</f>
        <v>342</v>
      </c>
      <c r="E212" s="118"/>
      <c r="F212" s="118"/>
      <c r="G212" s="118"/>
      <c r="H212" s="118"/>
      <c r="I212" s="118"/>
    </row>
    <row r="213" ht="15.75" customHeight="1">
      <c r="A213" s="117"/>
      <c r="B213" s="113" t="s">
        <v>217</v>
      </c>
      <c r="C213" s="112" t="s">
        <v>218</v>
      </c>
      <c r="D213" s="117">
        <f>110</f>
        <v>110</v>
      </c>
      <c r="E213" s="118"/>
      <c r="F213" s="118"/>
      <c r="G213" s="118"/>
      <c r="H213" s="118"/>
      <c r="I213" s="118"/>
    </row>
    <row r="214" ht="15.75" customHeight="1">
      <c r="A214" s="117"/>
      <c r="B214" s="39" t="s">
        <v>231</v>
      </c>
      <c r="C214" s="41" t="s">
        <v>232</v>
      </c>
      <c r="D214" s="117">
        <f>90</f>
        <v>90</v>
      </c>
      <c r="E214" s="118"/>
      <c r="F214" s="118"/>
      <c r="G214" s="118"/>
      <c r="H214" s="118"/>
      <c r="I214" s="118"/>
    </row>
    <row r="215" ht="15.75" customHeight="1">
      <c r="A215" s="117"/>
      <c r="B215" s="118"/>
      <c r="C215" s="118"/>
      <c r="D215" s="117"/>
      <c r="E215" s="118"/>
      <c r="F215" s="118"/>
      <c r="G215" s="118"/>
      <c r="H215" s="118"/>
      <c r="I215" s="118"/>
    </row>
    <row r="216" ht="15.75" customHeight="1">
      <c r="A216" s="96">
        <v>45824.0</v>
      </c>
      <c r="B216" s="76" t="s">
        <v>217</v>
      </c>
      <c r="C216" s="112" t="s">
        <v>218</v>
      </c>
      <c r="D216" s="117">
        <f>170</f>
        <v>170</v>
      </c>
      <c r="E216" s="118"/>
      <c r="F216" s="118"/>
      <c r="G216" s="118"/>
      <c r="H216" s="118"/>
      <c r="I216" s="118"/>
    </row>
    <row r="217" ht="15.75" customHeight="1">
      <c r="A217" s="117"/>
      <c r="B217" s="125" t="s">
        <v>225</v>
      </c>
      <c r="C217" s="64" t="s">
        <v>226</v>
      </c>
      <c r="D217" s="117">
        <f>56+156</f>
        <v>212</v>
      </c>
      <c r="E217" s="118"/>
      <c r="F217" s="118"/>
      <c r="G217" s="118"/>
      <c r="H217" s="118"/>
      <c r="I217" s="118"/>
    </row>
    <row r="218" ht="15.75" customHeight="1">
      <c r="A218" s="117"/>
      <c r="B218" s="39" t="s">
        <v>231</v>
      </c>
      <c r="C218" s="41" t="s">
        <v>232</v>
      </c>
      <c r="D218" s="117">
        <f>90+120</f>
        <v>210</v>
      </c>
      <c r="E218" s="118"/>
      <c r="F218" s="118"/>
      <c r="G218" s="118"/>
      <c r="H218" s="118"/>
      <c r="I218" s="118"/>
    </row>
    <row r="219" ht="15.75" customHeight="1">
      <c r="A219" s="117"/>
      <c r="B219" s="125" t="s">
        <v>221</v>
      </c>
      <c r="C219" s="129" t="s">
        <v>222</v>
      </c>
      <c r="D219" s="121">
        <v>74.0</v>
      </c>
      <c r="E219" s="118"/>
      <c r="F219" s="118"/>
      <c r="G219" s="118"/>
      <c r="H219" s="118"/>
      <c r="I219" s="118"/>
    </row>
    <row r="220" ht="15.75" customHeight="1">
      <c r="A220" s="117"/>
      <c r="B220" s="76" t="s">
        <v>219</v>
      </c>
      <c r="C220" s="122" t="s">
        <v>220</v>
      </c>
      <c r="D220" s="121">
        <v>90.0</v>
      </c>
      <c r="E220" s="118"/>
      <c r="F220" s="118"/>
      <c r="G220" s="118"/>
      <c r="H220" s="118"/>
      <c r="I220" s="118"/>
    </row>
    <row r="221" ht="15.75" customHeight="1">
      <c r="A221" s="117"/>
      <c r="B221" s="119"/>
      <c r="C221" s="128"/>
      <c r="D221" s="117"/>
      <c r="E221" s="118"/>
      <c r="F221" s="118"/>
      <c r="G221" s="118"/>
      <c r="H221" s="118"/>
      <c r="I221" s="118"/>
    </row>
    <row r="222" ht="15.75" customHeight="1">
      <c r="A222" s="96">
        <v>45825.0</v>
      </c>
      <c r="B222" s="125" t="s">
        <v>221</v>
      </c>
      <c r="C222" s="129" t="s">
        <v>222</v>
      </c>
      <c r="D222" s="117">
        <f>30</f>
        <v>30</v>
      </c>
      <c r="E222" s="118"/>
      <c r="F222" s="118"/>
      <c r="G222" s="118"/>
      <c r="H222" s="118"/>
      <c r="I222" s="118"/>
    </row>
    <row r="223" ht="15.75" customHeight="1">
      <c r="A223" s="117"/>
      <c r="B223" s="113" t="s">
        <v>227</v>
      </c>
      <c r="C223" s="112" t="s">
        <v>228</v>
      </c>
      <c r="D223" s="117">
        <f>132+160</f>
        <v>292</v>
      </c>
      <c r="E223" s="118"/>
      <c r="F223" s="118"/>
      <c r="G223" s="118"/>
      <c r="H223" s="118"/>
      <c r="I223" s="118"/>
    </row>
    <row r="224" ht="15.75" customHeight="1">
      <c r="A224" s="117"/>
      <c r="B224" s="39" t="s">
        <v>231</v>
      </c>
      <c r="C224" s="41" t="s">
        <v>232</v>
      </c>
      <c r="D224" s="117">
        <f>135+141</f>
        <v>276</v>
      </c>
      <c r="E224" s="118"/>
      <c r="F224" s="118"/>
      <c r="G224" s="118"/>
      <c r="H224" s="118"/>
      <c r="I224" s="118"/>
    </row>
    <row r="225" ht="15.75" customHeight="1">
      <c r="A225" s="117"/>
      <c r="B225" s="125" t="s">
        <v>225</v>
      </c>
      <c r="C225" s="64" t="s">
        <v>226</v>
      </c>
      <c r="D225" s="121">
        <v>18.0</v>
      </c>
      <c r="E225" s="118"/>
      <c r="F225" s="118"/>
      <c r="G225" s="118"/>
      <c r="H225" s="118"/>
      <c r="I225" s="118"/>
    </row>
    <row r="226" ht="15.75" customHeight="1">
      <c r="A226" s="117"/>
      <c r="B226" s="76" t="s">
        <v>219</v>
      </c>
      <c r="C226" s="122" t="s">
        <v>220</v>
      </c>
      <c r="D226" s="121">
        <v>132.0</v>
      </c>
      <c r="E226" s="118"/>
      <c r="F226" s="118"/>
      <c r="G226" s="118"/>
      <c r="H226" s="118"/>
      <c r="I226" s="118"/>
    </row>
    <row r="227" ht="15.75" customHeight="1">
      <c r="A227" s="117"/>
      <c r="B227" s="119"/>
      <c r="C227" s="128"/>
      <c r="D227" s="117"/>
      <c r="E227" s="118"/>
      <c r="F227" s="118"/>
      <c r="G227" s="118"/>
      <c r="H227" s="118"/>
      <c r="I227" s="118"/>
    </row>
    <row r="228" ht="15.75" customHeight="1">
      <c r="A228" s="96">
        <v>45827.0</v>
      </c>
      <c r="B228" s="76" t="s">
        <v>219</v>
      </c>
      <c r="C228" s="122" t="s">
        <v>220</v>
      </c>
      <c r="D228" s="117">
        <f>150+130</f>
        <v>280</v>
      </c>
      <c r="E228" s="118"/>
      <c r="F228" s="118"/>
      <c r="G228" s="118"/>
      <c r="H228" s="118"/>
      <c r="I228" s="118"/>
    </row>
    <row r="229" ht="15.75" customHeight="1">
      <c r="A229" s="117"/>
      <c r="B229" s="125" t="s">
        <v>221</v>
      </c>
      <c r="C229" s="129" t="s">
        <v>222</v>
      </c>
      <c r="D229" s="117">
        <f>166+160</f>
        <v>326</v>
      </c>
      <c r="E229" s="118"/>
      <c r="F229" s="118"/>
      <c r="G229" s="118"/>
      <c r="H229" s="118"/>
      <c r="I229" s="118"/>
    </row>
    <row r="230" ht="15.75" customHeight="1">
      <c r="A230" s="117"/>
      <c r="B230" s="113" t="s">
        <v>227</v>
      </c>
      <c r="C230" s="112" t="s">
        <v>228</v>
      </c>
      <c r="D230" s="121">
        <v>20.0</v>
      </c>
      <c r="E230" s="118"/>
      <c r="F230" s="118"/>
      <c r="G230" s="118"/>
      <c r="H230" s="118"/>
      <c r="I230" s="118"/>
    </row>
    <row r="231" ht="15.75" customHeight="1">
      <c r="A231" s="117"/>
      <c r="B231" s="119"/>
      <c r="C231" s="128"/>
      <c r="D231" s="117"/>
      <c r="E231" s="118"/>
      <c r="F231" s="118"/>
      <c r="G231" s="118"/>
      <c r="H231" s="118"/>
      <c r="I231" s="118"/>
    </row>
    <row r="232" ht="15.75" customHeight="1">
      <c r="A232" s="96">
        <v>45828.0</v>
      </c>
      <c r="B232" s="76" t="s">
        <v>219</v>
      </c>
      <c r="C232" s="122" t="s">
        <v>220</v>
      </c>
      <c r="D232" s="117">
        <f>102</f>
        <v>102</v>
      </c>
      <c r="E232" s="118"/>
      <c r="F232" s="118"/>
      <c r="G232" s="118"/>
      <c r="H232" s="118"/>
      <c r="I232" s="118"/>
    </row>
    <row r="233" ht="15.75" customHeight="1">
      <c r="A233" s="117"/>
      <c r="B233" s="125" t="s">
        <v>225</v>
      </c>
      <c r="C233" s="64" t="s">
        <v>226</v>
      </c>
      <c r="D233" s="121">
        <v>180.0</v>
      </c>
      <c r="E233" s="118"/>
      <c r="F233" s="118"/>
      <c r="G233" s="118"/>
      <c r="H233" s="118"/>
      <c r="I233" s="118"/>
    </row>
    <row r="234" ht="15.75" customHeight="1">
      <c r="A234" s="117"/>
      <c r="B234" s="39" t="s">
        <v>231</v>
      </c>
      <c r="C234" s="41" t="s">
        <v>232</v>
      </c>
      <c r="D234" s="121">
        <v>174.0</v>
      </c>
      <c r="E234" s="118"/>
      <c r="F234" s="118"/>
      <c r="G234" s="118"/>
      <c r="H234" s="118"/>
      <c r="I234" s="118"/>
    </row>
    <row r="235" ht="15.75" customHeight="1">
      <c r="A235" s="117"/>
      <c r="B235" s="76" t="s">
        <v>233</v>
      </c>
      <c r="C235" s="122" t="s">
        <v>234</v>
      </c>
      <c r="D235" s="121">
        <v>162.0</v>
      </c>
      <c r="E235" s="118"/>
      <c r="F235" s="118"/>
      <c r="G235" s="118"/>
      <c r="H235" s="118"/>
      <c r="I235" s="118"/>
    </row>
    <row r="236" ht="15.75" customHeight="1">
      <c r="A236" s="117"/>
      <c r="B236" s="40" t="s">
        <v>223</v>
      </c>
      <c r="C236" s="64" t="s">
        <v>224</v>
      </c>
      <c r="D236" s="121">
        <v>60.0</v>
      </c>
      <c r="E236" s="118"/>
      <c r="F236" s="118"/>
      <c r="G236" s="118"/>
      <c r="H236" s="118"/>
      <c r="I236" s="118"/>
    </row>
    <row r="237" ht="15.75" customHeight="1">
      <c r="A237" s="117"/>
      <c r="B237" s="40" t="s">
        <v>229</v>
      </c>
      <c r="C237" s="123" t="s">
        <v>230</v>
      </c>
      <c r="D237" s="121">
        <v>162.0</v>
      </c>
      <c r="E237" s="118"/>
      <c r="F237" s="118"/>
      <c r="G237" s="118"/>
      <c r="H237" s="118"/>
      <c r="I237" s="118"/>
    </row>
    <row r="238" ht="15.75" customHeight="1">
      <c r="A238" s="117"/>
      <c r="B238" s="118"/>
      <c r="C238" s="118"/>
      <c r="D238" s="117"/>
      <c r="E238" s="118"/>
      <c r="F238" s="118"/>
      <c r="G238" s="118"/>
      <c r="H238" s="118"/>
      <c r="I238" s="118"/>
    </row>
    <row r="239" ht="15.75" customHeight="1">
      <c r="A239" s="96">
        <v>45829.0</v>
      </c>
      <c r="B239" s="76" t="s">
        <v>233</v>
      </c>
      <c r="C239" s="122" t="s">
        <v>234</v>
      </c>
      <c r="D239" s="121">
        <v>160.0</v>
      </c>
      <c r="E239" s="118"/>
      <c r="F239" s="118"/>
      <c r="G239" s="118"/>
      <c r="H239" s="118"/>
      <c r="I239" s="118"/>
    </row>
    <row r="240" ht="15.75" customHeight="1">
      <c r="A240" s="117"/>
      <c r="B240" s="40" t="s">
        <v>229</v>
      </c>
      <c r="C240" s="123" t="s">
        <v>230</v>
      </c>
      <c r="D240" s="117">
        <f>166+22</f>
        <v>188</v>
      </c>
      <c r="E240" s="118"/>
      <c r="F240" s="118"/>
      <c r="G240" s="118"/>
      <c r="H240" s="118"/>
      <c r="I240" s="118"/>
    </row>
    <row r="241" ht="15.75" customHeight="1">
      <c r="A241" s="117"/>
      <c r="B241" s="76" t="s">
        <v>235</v>
      </c>
      <c r="C241" s="112" t="s">
        <v>236</v>
      </c>
      <c r="D241" s="121">
        <v>138.0</v>
      </c>
      <c r="E241" s="118"/>
      <c r="F241" s="118"/>
      <c r="G241" s="118"/>
      <c r="H241" s="118"/>
      <c r="I241" s="118"/>
    </row>
    <row r="242" ht="15.75" customHeight="1">
      <c r="A242" s="117"/>
      <c r="B242" s="125" t="s">
        <v>237</v>
      </c>
      <c r="C242" s="64" t="s">
        <v>238</v>
      </c>
      <c r="D242" s="121">
        <v>150.0</v>
      </c>
      <c r="E242" s="118"/>
      <c r="F242" s="118"/>
      <c r="G242" s="118"/>
      <c r="H242" s="118"/>
      <c r="I242" s="118"/>
    </row>
    <row r="243" ht="15.75" customHeight="1">
      <c r="A243" s="117"/>
      <c r="B243" s="119"/>
      <c r="C243" s="128"/>
      <c r="D243" s="117"/>
      <c r="E243" s="118"/>
      <c r="F243" s="118"/>
      <c r="G243" s="118"/>
      <c r="H243" s="118"/>
      <c r="I243" s="118"/>
    </row>
    <row r="244" ht="15.75" customHeight="1">
      <c r="A244" s="117"/>
      <c r="B244" s="119"/>
      <c r="C244" s="128"/>
      <c r="D244" s="117"/>
      <c r="E244" s="118"/>
      <c r="F244" s="118"/>
      <c r="G244" s="118"/>
      <c r="H244" s="118"/>
      <c r="I244" s="118"/>
    </row>
    <row r="245" ht="15.75" customHeight="1">
      <c r="A245" s="117"/>
      <c r="B245" s="119"/>
      <c r="C245" s="128"/>
      <c r="D245" s="117"/>
      <c r="E245" s="118"/>
      <c r="F245" s="118"/>
      <c r="G245" s="118"/>
      <c r="H245" s="118"/>
      <c r="I245" s="118"/>
    </row>
    <row r="246" ht="15.75" customHeight="1">
      <c r="A246" s="117"/>
      <c r="B246" s="119"/>
      <c r="C246" s="128"/>
      <c r="D246" s="117"/>
      <c r="E246" s="118"/>
      <c r="F246" s="118"/>
      <c r="G246" s="118"/>
      <c r="H246" s="118"/>
      <c r="I246" s="118"/>
    </row>
    <row r="247" ht="15.75" customHeight="1">
      <c r="A247" s="117"/>
      <c r="B247" s="119"/>
      <c r="C247" s="128"/>
      <c r="D247" s="117"/>
      <c r="E247" s="118"/>
      <c r="F247" s="118"/>
      <c r="G247" s="118"/>
      <c r="H247" s="118"/>
      <c r="I247" s="118"/>
    </row>
    <row r="248" ht="15.75" customHeight="1">
      <c r="A248" s="117"/>
      <c r="B248" s="118"/>
      <c r="C248" s="118"/>
      <c r="D248" s="117"/>
      <c r="E248" s="118"/>
      <c r="F248" s="118"/>
      <c r="G248" s="118"/>
      <c r="H248" s="118"/>
      <c r="I248" s="118"/>
    </row>
    <row r="249" ht="15.75" customHeight="1">
      <c r="A249" s="117"/>
      <c r="B249" s="118"/>
      <c r="C249" s="118"/>
      <c r="D249" s="117"/>
      <c r="E249" s="118"/>
      <c r="F249" s="118"/>
      <c r="G249" s="118"/>
      <c r="H249" s="118"/>
      <c r="I249" s="118"/>
    </row>
    <row r="250" ht="15.75" customHeight="1">
      <c r="A250" s="117"/>
      <c r="B250" s="118"/>
      <c r="C250" s="118"/>
      <c r="D250" s="117"/>
      <c r="E250" s="118"/>
      <c r="F250" s="118"/>
      <c r="G250" s="118"/>
      <c r="H250" s="118"/>
      <c r="I250" s="118"/>
    </row>
    <row r="251" ht="12.75" customHeight="1">
      <c r="A251" s="93"/>
      <c r="B251" s="23"/>
      <c r="C251" s="24" t="s">
        <v>239</v>
      </c>
      <c r="D251" s="94"/>
      <c r="E251" s="27"/>
      <c r="F251" s="95"/>
      <c r="G251" s="95"/>
      <c r="H251" s="95"/>
      <c r="I251" s="95"/>
    </row>
    <row r="252" ht="15.75" customHeight="1">
      <c r="A252" s="96">
        <v>45808.0</v>
      </c>
      <c r="B252" s="125" t="s">
        <v>240</v>
      </c>
      <c r="C252" s="64" t="s">
        <v>241</v>
      </c>
      <c r="D252" s="117">
        <f>215+199</f>
        <v>414</v>
      </c>
      <c r="E252" s="118"/>
      <c r="F252" s="118"/>
      <c r="G252" s="118"/>
      <c r="H252" s="118"/>
      <c r="I252" s="118"/>
    </row>
    <row r="253" ht="15.75" customHeight="1">
      <c r="A253" s="117"/>
      <c r="B253" s="64" t="s">
        <v>242</v>
      </c>
      <c r="C253" s="64" t="s">
        <v>243</v>
      </c>
      <c r="D253" s="117">
        <f>173+252</f>
        <v>425</v>
      </c>
      <c r="E253" s="118"/>
      <c r="F253" s="118"/>
      <c r="G253" s="118"/>
      <c r="H253" s="118"/>
      <c r="I253" s="118"/>
    </row>
    <row r="254" ht="15.75" customHeight="1">
      <c r="A254" s="117"/>
      <c r="B254" s="31" t="s">
        <v>244</v>
      </c>
      <c r="C254" s="31" t="s">
        <v>245</v>
      </c>
      <c r="D254" s="121">
        <v>500.0</v>
      </c>
      <c r="E254" s="118"/>
      <c r="F254" s="118"/>
      <c r="G254" s="118"/>
      <c r="H254" s="118"/>
      <c r="I254" s="118"/>
    </row>
    <row r="255" ht="15.75" customHeight="1">
      <c r="A255" s="117"/>
      <c r="B255" s="118"/>
      <c r="C255" s="118"/>
      <c r="D255" s="117"/>
      <c r="E255" s="118"/>
      <c r="F255" s="118"/>
      <c r="G255" s="118"/>
      <c r="H255" s="118"/>
      <c r="I255" s="118"/>
    </row>
    <row r="256" ht="15.75" customHeight="1">
      <c r="A256" s="96">
        <v>45810.0</v>
      </c>
      <c r="B256" s="125" t="s">
        <v>240</v>
      </c>
      <c r="C256" s="64" t="s">
        <v>241</v>
      </c>
      <c r="D256" s="117">
        <f>199+189</f>
        <v>388</v>
      </c>
      <c r="E256" s="118"/>
      <c r="F256" s="118"/>
      <c r="G256" s="118"/>
      <c r="H256" s="118"/>
      <c r="I256" s="118"/>
    </row>
    <row r="257" ht="15.75" customHeight="1">
      <c r="A257" s="117"/>
      <c r="B257" s="130" t="s">
        <v>246</v>
      </c>
      <c r="C257" s="130" t="s">
        <v>247</v>
      </c>
      <c r="D257" s="121">
        <v>167.0</v>
      </c>
      <c r="E257" s="118"/>
      <c r="F257" s="118"/>
      <c r="G257" s="118"/>
      <c r="H257" s="118"/>
      <c r="I257" s="118"/>
    </row>
    <row r="258" ht="15.75" customHeight="1">
      <c r="A258" s="117"/>
      <c r="B258" s="130" t="s">
        <v>248</v>
      </c>
      <c r="C258" s="130" t="s">
        <v>249</v>
      </c>
      <c r="D258" s="117">
        <f>169</f>
        <v>169</v>
      </c>
      <c r="E258" s="118"/>
      <c r="F258" s="118"/>
      <c r="G258" s="118"/>
      <c r="H258" s="118"/>
      <c r="I258" s="118"/>
    </row>
    <row r="259" ht="15.75" customHeight="1">
      <c r="A259" s="117"/>
      <c r="B259" s="125" t="s">
        <v>250</v>
      </c>
      <c r="C259" s="125" t="s">
        <v>251</v>
      </c>
      <c r="D259" s="121">
        <v>2400.0</v>
      </c>
      <c r="E259" s="118"/>
      <c r="F259" s="118"/>
      <c r="G259" s="118"/>
      <c r="H259" s="118"/>
      <c r="I259" s="118"/>
    </row>
    <row r="260" ht="15.75" customHeight="1">
      <c r="A260" s="117"/>
      <c r="B260" s="125" t="s">
        <v>244</v>
      </c>
      <c r="C260" s="125" t="s">
        <v>245</v>
      </c>
      <c r="D260" s="121">
        <v>2000.0</v>
      </c>
      <c r="E260" s="118"/>
      <c r="F260" s="118"/>
      <c r="G260" s="118"/>
      <c r="H260" s="118"/>
      <c r="I260" s="118"/>
    </row>
    <row r="261" ht="15.75" customHeight="1">
      <c r="A261" s="117"/>
      <c r="B261" s="118"/>
      <c r="C261" s="118"/>
      <c r="D261" s="117"/>
      <c r="E261" s="118"/>
      <c r="F261" s="118"/>
      <c r="G261" s="118"/>
      <c r="H261" s="118"/>
      <c r="I261" s="118"/>
    </row>
    <row r="262" ht="15.75" customHeight="1">
      <c r="A262" s="96">
        <v>45811.0</v>
      </c>
      <c r="B262" s="125" t="s">
        <v>252</v>
      </c>
      <c r="C262" s="64" t="s">
        <v>253</v>
      </c>
      <c r="D262" s="117">
        <f>21+168</f>
        <v>189</v>
      </c>
      <c r="E262" s="118"/>
      <c r="F262" s="118"/>
      <c r="G262" s="118"/>
      <c r="H262" s="118"/>
      <c r="I262" s="118"/>
    </row>
    <row r="263" ht="15.75" customHeight="1">
      <c r="A263" s="117"/>
      <c r="B263" s="125" t="s">
        <v>240</v>
      </c>
      <c r="C263" s="64" t="s">
        <v>241</v>
      </c>
      <c r="D263" s="121">
        <v>143.0</v>
      </c>
      <c r="E263" s="118"/>
      <c r="F263" s="118"/>
      <c r="G263" s="118"/>
      <c r="H263" s="118"/>
      <c r="I263" s="118"/>
    </row>
    <row r="264" ht="15.75" customHeight="1">
      <c r="A264" s="117"/>
      <c r="B264" s="125" t="s">
        <v>254</v>
      </c>
      <c r="C264" s="64" t="s">
        <v>255</v>
      </c>
      <c r="D264" s="117">
        <f>89+176</f>
        <v>265</v>
      </c>
      <c r="E264" s="118"/>
      <c r="F264" s="118"/>
      <c r="G264" s="118"/>
      <c r="H264" s="118"/>
      <c r="I264" s="118"/>
    </row>
    <row r="265" ht="15.75" customHeight="1">
      <c r="A265" s="117"/>
      <c r="B265" s="64" t="s">
        <v>248</v>
      </c>
      <c r="C265" s="64" t="s">
        <v>249</v>
      </c>
      <c r="D265" s="121">
        <v>107.0</v>
      </c>
      <c r="E265" s="118"/>
      <c r="F265" s="118"/>
      <c r="G265" s="118"/>
      <c r="H265" s="118"/>
      <c r="I265" s="118"/>
    </row>
    <row r="266" ht="15.75" customHeight="1">
      <c r="A266" s="117"/>
      <c r="B266" s="31" t="s">
        <v>256</v>
      </c>
      <c r="C266" s="31" t="s">
        <v>257</v>
      </c>
      <c r="D266" s="121">
        <v>500.0</v>
      </c>
      <c r="E266" s="118"/>
      <c r="F266" s="118"/>
      <c r="G266" s="118"/>
      <c r="H266" s="118"/>
      <c r="I266" s="118"/>
    </row>
    <row r="267" ht="15.75" customHeight="1">
      <c r="A267" s="117"/>
      <c r="B267" s="118"/>
      <c r="C267" s="118"/>
      <c r="D267" s="117"/>
      <c r="E267" s="118"/>
      <c r="F267" s="118"/>
      <c r="G267" s="118"/>
      <c r="H267" s="118"/>
      <c r="I267" s="118"/>
    </row>
    <row r="268" ht="15.75" customHeight="1">
      <c r="A268" s="96">
        <v>45812.0</v>
      </c>
      <c r="B268" s="125" t="s">
        <v>252</v>
      </c>
      <c r="C268" s="64" t="s">
        <v>253</v>
      </c>
      <c r="D268" s="117">
        <f>115+191</f>
        <v>306</v>
      </c>
      <c r="E268" s="118"/>
      <c r="F268" s="118"/>
      <c r="G268" s="118"/>
      <c r="H268" s="118"/>
      <c r="I268" s="118"/>
    </row>
    <row r="269" ht="15.75" customHeight="1">
      <c r="A269" s="117"/>
      <c r="B269" s="130" t="s">
        <v>242</v>
      </c>
      <c r="C269" s="130" t="s">
        <v>243</v>
      </c>
      <c r="D269" s="117">
        <f>156+255</f>
        <v>411</v>
      </c>
      <c r="E269" s="118"/>
      <c r="F269" s="118"/>
      <c r="G269" s="118"/>
      <c r="H269" s="118"/>
      <c r="I269" s="118"/>
    </row>
    <row r="270" ht="15.75" customHeight="1">
      <c r="A270" s="117"/>
      <c r="B270" s="125" t="s">
        <v>244</v>
      </c>
      <c r="C270" s="125" t="s">
        <v>245</v>
      </c>
      <c r="D270" s="121">
        <v>600.0</v>
      </c>
      <c r="E270" s="118"/>
      <c r="F270" s="118"/>
      <c r="G270" s="118"/>
      <c r="H270" s="118"/>
      <c r="I270" s="118"/>
    </row>
    <row r="271" ht="15.75" customHeight="1">
      <c r="A271" s="117"/>
      <c r="B271" s="118"/>
      <c r="C271" s="118"/>
      <c r="D271" s="117"/>
      <c r="E271" s="118"/>
      <c r="F271" s="118"/>
      <c r="G271" s="118"/>
      <c r="H271" s="118"/>
      <c r="I271" s="118"/>
    </row>
    <row r="272" ht="15.75" customHeight="1">
      <c r="A272" s="96">
        <v>45813.0</v>
      </c>
      <c r="B272" s="125" t="s">
        <v>252</v>
      </c>
      <c r="C272" s="64" t="s">
        <v>253</v>
      </c>
      <c r="D272" s="117">
        <f>171+68</f>
        <v>239</v>
      </c>
      <c r="E272" s="118"/>
      <c r="F272" s="118"/>
      <c r="G272" s="118"/>
      <c r="H272" s="118"/>
      <c r="I272" s="118"/>
    </row>
    <row r="273" ht="15.75" customHeight="1">
      <c r="A273" s="117"/>
      <c r="B273" s="125" t="s">
        <v>258</v>
      </c>
      <c r="C273" s="64" t="s">
        <v>259</v>
      </c>
      <c r="D273" s="121">
        <v>121.0</v>
      </c>
      <c r="E273" s="118"/>
      <c r="F273" s="118"/>
      <c r="G273" s="118"/>
      <c r="H273" s="118"/>
      <c r="I273" s="118"/>
    </row>
    <row r="274" ht="15.75" customHeight="1">
      <c r="A274" s="117"/>
      <c r="B274" s="125" t="s">
        <v>254</v>
      </c>
      <c r="C274" s="64" t="s">
        <v>255</v>
      </c>
      <c r="D274" s="117">
        <f>181+175</f>
        <v>356</v>
      </c>
      <c r="E274" s="118"/>
      <c r="F274" s="118"/>
      <c r="G274" s="118"/>
      <c r="H274" s="118"/>
      <c r="I274" s="118"/>
    </row>
    <row r="275" ht="15.75" customHeight="1">
      <c r="A275" s="117"/>
      <c r="B275" s="64" t="s">
        <v>242</v>
      </c>
      <c r="C275" s="64" t="s">
        <v>243</v>
      </c>
      <c r="D275" s="121">
        <v>21.0</v>
      </c>
      <c r="E275" s="118"/>
      <c r="F275" s="118"/>
      <c r="G275" s="118"/>
      <c r="H275" s="118"/>
      <c r="I275" s="118"/>
    </row>
    <row r="276" ht="15.75" customHeight="1">
      <c r="A276" s="117"/>
      <c r="B276" s="31" t="s">
        <v>260</v>
      </c>
      <c r="C276" s="31" t="s">
        <v>261</v>
      </c>
      <c r="D276" s="121">
        <v>400.0</v>
      </c>
      <c r="E276" s="118"/>
      <c r="F276" s="118"/>
      <c r="G276" s="118"/>
      <c r="H276" s="118"/>
      <c r="I276" s="118"/>
    </row>
    <row r="277" ht="15.75" customHeight="1">
      <c r="A277" s="117"/>
      <c r="B277" s="118"/>
      <c r="C277" s="118"/>
      <c r="D277" s="117"/>
      <c r="E277" s="118"/>
      <c r="F277" s="118"/>
      <c r="G277" s="118"/>
      <c r="H277" s="118"/>
      <c r="I277" s="118"/>
    </row>
    <row r="278" ht="15.75" customHeight="1">
      <c r="A278" s="96">
        <v>45814.0</v>
      </c>
      <c r="B278" s="125" t="s">
        <v>258</v>
      </c>
      <c r="C278" s="64" t="s">
        <v>259</v>
      </c>
      <c r="D278" s="121">
        <v>165.0</v>
      </c>
      <c r="E278" s="118"/>
      <c r="F278" s="118"/>
      <c r="G278" s="118"/>
      <c r="H278" s="118"/>
      <c r="I278" s="118"/>
    </row>
    <row r="279" ht="15.75" customHeight="1">
      <c r="A279" s="117"/>
      <c r="B279" s="64" t="s">
        <v>242</v>
      </c>
      <c r="C279" s="64" t="s">
        <v>243</v>
      </c>
      <c r="D279" s="121">
        <v>90.0</v>
      </c>
      <c r="E279" s="118"/>
      <c r="F279" s="118"/>
      <c r="G279" s="118"/>
      <c r="H279" s="118"/>
      <c r="I279" s="118"/>
    </row>
    <row r="280" ht="15.75" customHeight="1">
      <c r="A280" s="117"/>
      <c r="B280" s="125" t="s">
        <v>256</v>
      </c>
      <c r="C280" s="125" t="s">
        <v>257</v>
      </c>
      <c r="D280" s="121">
        <v>3000.0</v>
      </c>
      <c r="E280" s="118"/>
      <c r="F280" s="118"/>
      <c r="G280" s="118"/>
      <c r="H280" s="118"/>
      <c r="I280" s="118"/>
    </row>
    <row r="281" ht="15.75" customHeight="1">
      <c r="A281" s="117"/>
      <c r="B281" s="125" t="s">
        <v>244</v>
      </c>
      <c r="C281" s="125" t="s">
        <v>245</v>
      </c>
      <c r="D281" s="121">
        <v>1600.0</v>
      </c>
      <c r="E281" s="118"/>
      <c r="F281" s="118"/>
      <c r="G281" s="118"/>
      <c r="H281" s="118"/>
      <c r="I281" s="118"/>
    </row>
    <row r="282" ht="15.75" customHeight="1">
      <c r="A282" s="117"/>
      <c r="B282" s="125" t="s">
        <v>262</v>
      </c>
      <c r="C282" s="125" t="s">
        <v>263</v>
      </c>
      <c r="D282" s="121">
        <v>1000.0</v>
      </c>
      <c r="E282" s="118"/>
      <c r="F282" s="118"/>
      <c r="G282" s="118"/>
      <c r="H282" s="118"/>
      <c r="I282" s="118"/>
    </row>
    <row r="283" ht="15.75" customHeight="1">
      <c r="A283" s="117"/>
      <c r="B283" s="118"/>
      <c r="C283" s="118"/>
      <c r="D283" s="117"/>
      <c r="E283" s="118"/>
      <c r="F283" s="118"/>
      <c r="G283" s="118"/>
      <c r="H283" s="118"/>
      <c r="I283" s="118"/>
    </row>
    <row r="284" ht="15.75" customHeight="1">
      <c r="A284" s="96">
        <v>45815.0</v>
      </c>
      <c r="B284" s="125" t="s">
        <v>258</v>
      </c>
      <c r="C284" s="64" t="s">
        <v>259</v>
      </c>
      <c r="D284" s="121">
        <v>198.0</v>
      </c>
      <c r="E284" s="118"/>
      <c r="F284" s="118"/>
      <c r="G284" s="118"/>
      <c r="H284" s="118"/>
      <c r="I284" s="118"/>
    </row>
    <row r="285" ht="15.75" customHeight="1">
      <c r="A285" s="117"/>
      <c r="B285" s="64" t="s">
        <v>242</v>
      </c>
      <c r="C285" s="64" t="s">
        <v>243</v>
      </c>
      <c r="D285" s="121">
        <v>205.0</v>
      </c>
      <c r="E285" s="118"/>
      <c r="F285" s="118"/>
      <c r="G285" s="118"/>
      <c r="H285" s="118"/>
      <c r="I285" s="118"/>
    </row>
    <row r="286" ht="15.75" customHeight="1">
      <c r="A286" s="117"/>
      <c r="B286" s="125" t="s">
        <v>244</v>
      </c>
      <c r="C286" s="125" t="s">
        <v>245</v>
      </c>
      <c r="D286" s="121">
        <v>3100.0</v>
      </c>
      <c r="E286" s="118"/>
      <c r="F286" s="118"/>
      <c r="G286" s="118"/>
      <c r="H286" s="118"/>
      <c r="I286" s="118"/>
    </row>
    <row r="287" ht="15.75" customHeight="1">
      <c r="A287" s="117"/>
      <c r="B287" s="118"/>
      <c r="C287" s="118"/>
      <c r="D287" s="117"/>
      <c r="E287" s="118"/>
      <c r="F287" s="118"/>
      <c r="G287" s="118"/>
      <c r="H287" s="118"/>
      <c r="I287" s="118"/>
    </row>
    <row r="288" ht="15.75" customHeight="1">
      <c r="A288" s="96">
        <v>45817.0</v>
      </c>
      <c r="B288" s="125" t="s">
        <v>240</v>
      </c>
      <c r="C288" s="64" t="s">
        <v>241</v>
      </c>
      <c r="D288" s="117">
        <f>152+181</f>
        <v>333</v>
      </c>
      <c r="E288" s="118"/>
      <c r="F288" s="118"/>
      <c r="G288" s="118"/>
      <c r="H288" s="118"/>
      <c r="I288" s="118"/>
    </row>
    <row r="289" ht="15.75" customHeight="1">
      <c r="A289" s="117"/>
      <c r="B289" s="125" t="s">
        <v>258</v>
      </c>
      <c r="C289" s="64" t="s">
        <v>259</v>
      </c>
      <c r="D289" s="117">
        <f>206+164</f>
        <v>370</v>
      </c>
      <c r="E289" s="118"/>
      <c r="F289" s="118"/>
      <c r="G289" s="118"/>
      <c r="H289" s="118"/>
      <c r="I289" s="118"/>
    </row>
    <row r="290" ht="15.75" customHeight="1">
      <c r="A290" s="117"/>
      <c r="B290" s="118"/>
      <c r="C290" s="118"/>
      <c r="D290" s="117"/>
      <c r="E290" s="118"/>
      <c r="F290" s="118"/>
      <c r="G290" s="118"/>
      <c r="H290" s="118"/>
      <c r="I290" s="118"/>
    </row>
    <row r="291" ht="15.75" customHeight="1">
      <c r="A291" s="96">
        <v>45818.0</v>
      </c>
      <c r="B291" s="125" t="s">
        <v>258</v>
      </c>
      <c r="C291" s="64" t="s">
        <v>259</v>
      </c>
      <c r="D291" s="117">
        <f>167+203</f>
        <v>370</v>
      </c>
      <c r="E291" s="118"/>
      <c r="F291" s="118"/>
      <c r="G291" s="118"/>
      <c r="H291" s="118"/>
      <c r="I291" s="118"/>
    </row>
    <row r="292" ht="15.75" customHeight="1">
      <c r="A292" s="117"/>
      <c r="B292" s="64" t="s">
        <v>248</v>
      </c>
      <c r="C292" s="64" t="s">
        <v>249</v>
      </c>
      <c r="D292" s="117">
        <f>151+244</f>
        <v>395</v>
      </c>
      <c r="E292" s="118"/>
      <c r="F292" s="118"/>
      <c r="G292" s="118"/>
      <c r="H292" s="118"/>
      <c r="I292" s="118"/>
    </row>
    <row r="293" ht="15.75" customHeight="1">
      <c r="A293" s="117"/>
      <c r="B293" s="118"/>
      <c r="C293" s="118"/>
      <c r="D293" s="117"/>
      <c r="E293" s="118"/>
      <c r="F293" s="118"/>
      <c r="G293" s="118"/>
      <c r="H293" s="118"/>
      <c r="I293" s="118"/>
    </row>
    <row r="294" ht="15.75" customHeight="1">
      <c r="A294" s="96">
        <v>45819.0</v>
      </c>
      <c r="B294" s="125" t="s">
        <v>258</v>
      </c>
      <c r="C294" s="64" t="s">
        <v>259</v>
      </c>
      <c r="D294" s="117">
        <f>145+199</f>
        <v>344</v>
      </c>
      <c r="E294" s="118"/>
      <c r="F294" s="118"/>
      <c r="G294" s="118"/>
      <c r="H294" s="118"/>
      <c r="I294" s="118"/>
    </row>
    <row r="295" ht="15.75" customHeight="1">
      <c r="A295" s="117"/>
      <c r="B295" s="125" t="s">
        <v>254</v>
      </c>
      <c r="C295" s="64" t="s">
        <v>255</v>
      </c>
      <c r="D295" s="117">
        <f>164+162</f>
        <v>326</v>
      </c>
      <c r="E295" s="118"/>
      <c r="F295" s="118"/>
      <c r="G295" s="118"/>
      <c r="H295" s="118"/>
      <c r="I295" s="118"/>
    </row>
    <row r="296" ht="15.75" customHeight="1">
      <c r="A296" s="117"/>
      <c r="B296" s="118"/>
      <c r="C296" s="118"/>
      <c r="D296" s="117"/>
      <c r="E296" s="118"/>
      <c r="F296" s="118"/>
      <c r="G296" s="118"/>
      <c r="H296" s="118"/>
      <c r="I296" s="118"/>
    </row>
    <row r="297" ht="15.75" customHeight="1">
      <c r="A297" s="96">
        <v>45820.0</v>
      </c>
      <c r="B297" s="125" t="s">
        <v>258</v>
      </c>
      <c r="C297" s="64" t="s">
        <v>259</v>
      </c>
      <c r="D297" s="117">
        <f>193+199</f>
        <v>392</v>
      </c>
      <c r="E297" s="118"/>
      <c r="F297" s="118"/>
      <c r="G297" s="118"/>
      <c r="H297" s="118"/>
      <c r="I297" s="118"/>
    </row>
    <row r="298" ht="15.75" customHeight="1">
      <c r="A298" s="117"/>
      <c r="B298" s="125" t="s">
        <v>254</v>
      </c>
      <c r="C298" s="64" t="s">
        <v>255</v>
      </c>
      <c r="D298" s="117">
        <f>196+31</f>
        <v>227</v>
      </c>
      <c r="E298" s="118"/>
      <c r="F298" s="118"/>
      <c r="G298" s="118"/>
      <c r="H298" s="118"/>
      <c r="I298" s="118"/>
    </row>
    <row r="299" ht="15.75" customHeight="1">
      <c r="A299" s="117"/>
      <c r="B299" s="125" t="s">
        <v>240</v>
      </c>
      <c r="C299" s="64" t="s">
        <v>241</v>
      </c>
      <c r="D299" s="121">
        <v>75.0</v>
      </c>
      <c r="E299" s="118"/>
      <c r="F299" s="118"/>
      <c r="G299" s="118"/>
      <c r="H299" s="118"/>
      <c r="I299" s="118"/>
    </row>
    <row r="300" ht="15.75" customHeight="1">
      <c r="A300" s="117"/>
      <c r="B300" s="64" t="s">
        <v>264</v>
      </c>
      <c r="C300" s="64" t="s">
        <v>265</v>
      </c>
      <c r="D300" s="121">
        <v>71.0</v>
      </c>
      <c r="E300" s="118"/>
      <c r="F300" s="118"/>
      <c r="G300" s="118"/>
      <c r="H300" s="118"/>
      <c r="I300" s="118"/>
    </row>
    <row r="301" ht="15.75" customHeight="1">
      <c r="A301" s="117"/>
      <c r="B301" s="114"/>
      <c r="C301" s="131"/>
      <c r="D301" s="117"/>
      <c r="E301" s="118"/>
      <c r="F301" s="118"/>
      <c r="G301" s="118"/>
      <c r="H301" s="118"/>
      <c r="I301" s="118"/>
    </row>
    <row r="302" ht="15.75" customHeight="1">
      <c r="A302" s="96">
        <v>45821.0</v>
      </c>
      <c r="B302" s="125" t="s">
        <v>240</v>
      </c>
      <c r="C302" s="64" t="s">
        <v>241</v>
      </c>
      <c r="D302" s="117">
        <f>153+28</f>
        <v>181</v>
      </c>
      <c r="E302" s="118"/>
      <c r="F302" s="118"/>
      <c r="G302" s="118"/>
      <c r="H302" s="118"/>
      <c r="I302" s="118"/>
    </row>
    <row r="303" ht="15.75" customHeight="1">
      <c r="A303" s="117"/>
      <c r="B303" s="64" t="s">
        <v>264</v>
      </c>
      <c r="C303" s="64" t="s">
        <v>265</v>
      </c>
      <c r="D303" s="117">
        <f>235+71</f>
        <v>306</v>
      </c>
      <c r="E303" s="118"/>
      <c r="F303" s="118"/>
      <c r="G303" s="118"/>
      <c r="H303" s="118"/>
      <c r="I303" s="118"/>
    </row>
    <row r="304" ht="15.75" customHeight="1">
      <c r="A304" s="117"/>
      <c r="B304" s="39" t="s">
        <v>252</v>
      </c>
      <c r="C304" s="41" t="s">
        <v>253</v>
      </c>
      <c r="D304" s="121">
        <v>147.0</v>
      </c>
      <c r="E304" s="118"/>
      <c r="F304" s="118"/>
      <c r="G304" s="118"/>
      <c r="H304" s="118"/>
      <c r="I304" s="118"/>
    </row>
    <row r="305" ht="15.75" customHeight="1">
      <c r="A305" s="117"/>
      <c r="B305" s="130" t="s">
        <v>242</v>
      </c>
      <c r="C305" s="130" t="s">
        <v>243</v>
      </c>
      <c r="D305" s="121">
        <v>209.0</v>
      </c>
      <c r="E305" s="118"/>
      <c r="F305" s="118"/>
      <c r="G305" s="118"/>
      <c r="H305" s="118"/>
      <c r="I305" s="118"/>
    </row>
    <row r="306" ht="15.75" customHeight="1">
      <c r="A306" s="117"/>
      <c r="B306" s="114"/>
      <c r="C306" s="131"/>
      <c r="D306" s="117"/>
      <c r="E306" s="118"/>
      <c r="F306" s="118"/>
      <c r="G306" s="118"/>
      <c r="H306" s="118"/>
      <c r="I306" s="118"/>
    </row>
    <row r="307" ht="15.75" customHeight="1">
      <c r="A307" s="96">
        <v>45822.0</v>
      </c>
      <c r="B307" s="39" t="s">
        <v>252</v>
      </c>
      <c r="C307" s="41" t="s">
        <v>253</v>
      </c>
      <c r="D307" s="121">
        <v>159.0</v>
      </c>
      <c r="E307" s="118"/>
      <c r="F307" s="118"/>
      <c r="G307" s="118"/>
      <c r="H307" s="118"/>
      <c r="I307" s="118"/>
    </row>
    <row r="308" ht="15.75" customHeight="1">
      <c r="A308" s="117"/>
      <c r="B308" s="130" t="s">
        <v>242</v>
      </c>
      <c r="C308" s="130" t="s">
        <v>243</v>
      </c>
      <c r="D308" s="121">
        <v>190.0</v>
      </c>
      <c r="E308" s="118"/>
      <c r="F308" s="118"/>
      <c r="G308" s="118"/>
      <c r="H308" s="118"/>
      <c r="I308" s="118"/>
    </row>
    <row r="309" ht="15.75" customHeight="1">
      <c r="A309" s="117"/>
      <c r="B309" s="125" t="s">
        <v>256</v>
      </c>
      <c r="C309" s="125" t="s">
        <v>257</v>
      </c>
      <c r="D309" s="121">
        <v>1000.0</v>
      </c>
      <c r="E309" s="118"/>
      <c r="F309" s="118"/>
      <c r="G309" s="118"/>
      <c r="H309" s="118"/>
      <c r="I309" s="118"/>
    </row>
    <row r="310" ht="15.75" customHeight="1">
      <c r="A310" s="117"/>
      <c r="B310" s="31" t="s">
        <v>244</v>
      </c>
      <c r="C310" s="31" t="s">
        <v>245</v>
      </c>
      <c r="D310" s="121">
        <v>1000.0</v>
      </c>
      <c r="E310" s="118"/>
      <c r="F310" s="118"/>
      <c r="G310" s="118"/>
      <c r="H310" s="118"/>
      <c r="I310" s="118"/>
    </row>
    <row r="311" ht="15.75" customHeight="1">
      <c r="A311" s="117"/>
      <c r="B311" s="114"/>
      <c r="C311" s="131"/>
      <c r="D311" s="117"/>
      <c r="E311" s="118"/>
      <c r="F311" s="118"/>
      <c r="G311" s="118"/>
      <c r="H311" s="118"/>
      <c r="I311" s="118"/>
    </row>
    <row r="312" ht="15.75" customHeight="1">
      <c r="A312" s="96">
        <v>45824.0</v>
      </c>
      <c r="B312" s="39" t="s">
        <v>252</v>
      </c>
      <c r="C312" s="41" t="s">
        <v>253</v>
      </c>
      <c r="D312" s="117">
        <f>107+65</f>
        <v>172</v>
      </c>
      <c r="E312" s="118"/>
      <c r="F312" s="118"/>
      <c r="G312" s="118"/>
      <c r="H312" s="118"/>
      <c r="I312" s="118"/>
    </row>
    <row r="313" ht="15.75" customHeight="1">
      <c r="A313" s="117"/>
      <c r="B313" s="130" t="s">
        <v>242</v>
      </c>
      <c r="C313" s="130" t="s">
        <v>243</v>
      </c>
      <c r="D313" s="117">
        <f>194+220</f>
        <v>414</v>
      </c>
      <c r="E313" s="118"/>
      <c r="F313" s="118"/>
      <c r="G313" s="118"/>
      <c r="H313" s="118"/>
      <c r="I313" s="118"/>
    </row>
    <row r="314" ht="15.75" customHeight="1">
      <c r="A314" s="117"/>
      <c r="B314" s="114"/>
      <c r="C314" s="131"/>
      <c r="D314" s="117"/>
      <c r="E314" s="118"/>
      <c r="F314" s="118"/>
      <c r="G314" s="118"/>
      <c r="H314" s="118"/>
      <c r="I314" s="118"/>
    </row>
    <row r="315" ht="15.75" customHeight="1">
      <c r="A315" s="96">
        <v>45825.0</v>
      </c>
      <c r="B315" s="39" t="s">
        <v>252</v>
      </c>
      <c r="C315" s="41" t="s">
        <v>253</v>
      </c>
      <c r="D315" s="117">
        <f>141+205</f>
        <v>346</v>
      </c>
      <c r="E315" s="118"/>
      <c r="F315" s="118"/>
      <c r="G315" s="118"/>
      <c r="H315" s="118"/>
      <c r="I315" s="118"/>
    </row>
    <row r="316" ht="15.75" customHeight="1">
      <c r="A316" s="117"/>
      <c r="B316" s="125" t="s">
        <v>240</v>
      </c>
      <c r="C316" s="64" t="s">
        <v>241</v>
      </c>
      <c r="D316" s="117">
        <f>109+175</f>
        <v>284</v>
      </c>
      <c r="E316" s="118"/>
      <c r="F316" s="118"/>
      <c r="G316" s="118"/>
      <c r="H316" s="118"/>
      <c r="I316" s="118"/>
    </row>
    <row r="317" ht="15.75" customHeight="1">
      <c r="A317" s="117"/>
      <c r="B317" s="125" t="s">
        <v>254</v>
      </c>
      <c r="C317" s="64" t="s">
        <v>255</v>
      </c>
      <c r="D317" s="121">
        <v>23.0</v>
      </c>
      <c r="E317" s="118"/>
      <c r="F317" s="118"/>
      <c r="G317" s="118"/>
      <c r="H317" s="118"/>
      <c r="I317" s="118"/>
    </row>
    <row r="318" ht="15.75" customHeight="1">
      <c r="A318" s="117"/>
      <c r="B318" s="114"/>
      <c r="C318" s="131"/>
      <c r="D318" s="117"/>
      <c r="E318" s="118"/>
      <c r="F318" s="118"/>
      <c r="G318" s="118"/>
      <c r="H318" s="118"/>
      <c r="I318" s="118"/>
    </row>
    <row r="319" ht="15.75" customHeight="1">
      <c r="A319" s="96">
        <v>45826.0</v>
      </c>
      <c r="B319" s="39" t="s">
        <v>252</v>
      </c>
      <c r="C319" s="41" t="s">
        <v>253</v>
      </c>
      <c r="D319" s="117">
        <f>24+24+24+23+22+19</f>
        <v>136</v>
      </c>
      <c r="E319" s="118"/>
      <c r="F319" s="118"/>
      <c r="G319" s="118"/>
      <c r="H319" s="118"/>
      <c r="I319" s="118"/>
    </row>
    <row r="320" ht="15.75" customHeight="1">
      <c r="A320" s="117"/>
      <c r="B320" s="130" t="s">
        <v>266</v>
      </c>
      <c r="C320" s="130" t="s">
        <v>267</v>
      </c>
      <c r="D320" s="117">
        <f>39+38+40+44+45</f>
        <v>206</v>
      </c>
      <c r="E320" s="118"/>
      <c r="F320" s="118"/>
      <c r="G320" s="118"/>
      <c r="H320" s="118"/>
      <c r="I320" s="118"/>
    </row>
    <row r="321" ht="15.75" customHeight="1">
      <c r="A321" s="117"/>
      <c r="B321" s="114"/>
      <c r="C321" s="131"/>
      <c r="D321" s="117"/>
      <c r="E321" s="118"/>
      <c r="F321" s="118"/>
      <c r="G321" s="118"/>
      <c r="H321" s="118"/>
      <c r="I321" s="118"/>
    </row>
    <row r="322" ht="15.75" customHeight="1">
      <c r="A322" s="96">
        <v>45827.0</v>
      </c>
      <c r="B322" s="39" t="s">
        <v>252</v>
      </c>
      <c r="C322" s="41" t="s">
        <v>253</v>
      </c>
      <c r="D322" s="117">
        <f>181+185</f>
        <v>366</v>
      </c>
      <c r="E322" s="118"/>
      <c r="F322" s="118"/>
      <c r="G322" s="118"/>
      <c r="H322" s="118"/>
      <c r="I322" s="118"/>
    </row>
    <row r="323" ht="15.75" customHeight="1">
      <c r="A323" s="117"/>
      <c r="B323" s="39" t="s">
        <v>268</v>
      </c>
      <c r="C323" s="41" t="s">
        <v>269</v>
      </c>
      <c r="D323" s="121">
        <v>35.0</v>
      </c>
      <c r="E323" s="118"/>
      <c r="F323" s="118"/>
      <c r="G323" s="118"/>
      <c r="H323" s="118"/>
      <c r="I323" s="118"/>
    </row>
    <row r="324" ht="15.75" customHeight="1">
      <c r="A324" s="117"/>
      <c r="B324" s="125" t="s">
        <v>240</v>
      </c>
      <c r="C324" s="64" t="s">
        <v>241</v>
      </c>
      <c r="D324" s="121">
        <v>127.0</v>
      </c>
      <c r="E324" s="118"/>
      <c r="F324" s="118"/>
      <c r="G324" s="118"/>
      <c r="H324" s="118"/>
      <c r="I324" s="118"/>
    </row>
    <row r="325" ht="15.75" customHeight="1">
      <c r="A325" s="117"/>
      <c r="B325" s="64" t="s">
        <v>266</v>
      </c>
      <c r="C325" s="64" t="s">
        <v>267</v>
      </c>
      <c r="D325" s="121">
        <v>45.0</v>
      </c>
      <c r="E325" s="118"/>
      <c r="F325" s="118"/>
      <c r="G325" s="118"/>
      <c r="H325" s="118"/>
      <c r="I325" s="118"/>
    </row>
    <row r="326" ht="15.75" customHeight="1">
      <c r="A326" s="117"/>
      <c r="B326" s="64" t="s">
        <v>248</v>
      </c>
      <c r="C326" s="64" t="s">
        <v>249</v>
      </c>
      <c r="D326" s="121">
        <v>191.0</v>
      </c>
      <c r="E326" s="118"/>
      <c r="F326" s="118"/>
      <c r="G326" s="118"/>
      <c r="H326" s="118"/>
      <c r="I326" s="118"/>
    </row>
    <row r="327" ht="15.75" customHeight="1">
      <c r="A327" s="117"/>
      <c r="B327" s="114"/>
      <c r="C327" s="131"/>
      <c r="D327" s="117"/>
      <c r="E327" s="118"/>
      <c r="F327" s="118"/>
      <c r="G327" s="118"/>
      <c r="H327" s="118"/>
      <c r="I327" s="118"/>
    </row>
    <row r="328" ht="15.75" customHeight="1">
      <c r="A328" s="96">
        <v>45828.0</v>
      </c>
      <c r="B328" s="125" t="s">
        <v>252</v>
      </c>
      <c r="C328" s="64" t="s">
        <v>253</v>
      </c>
      <c r="D328" s="121">
        <v>186.0</v>
      </c>
      <c r="E328" s="118"/>
      <c r="F328" s="118"/>
      <c r="G328" s="118"/>
      <c r="H328" s="118"/>
      <c r="I328" s="118"/>
    </row>
    <row r="329" ht="15.75" customHeight="1">
      <c r="A329" s="117"/>
      <c r="B329" s="64" t="s">
        <v>246</v>
      </c>
      <c r="C329" s="64" t="s">
        <v>247</v>
      </c>
      <c r="D329" s="121">
        <v>34.0</v>
      </c>
      <c r="E329" s="118"/>
      <c r="F329" s="118"/>
      <c r="G329" s="118"/>
      <c r="H329" s="118"/>
      <c r="I329" s="118"/>
    </row>
    <row r="330" ht="15.75" customHeight="1">
      <c r="A330" s="117"/>
      <c r="B330" s="64" t="s">
        <v>248</v>
      </c>
      <c r="C330" s="64" t="s">
        <v>249</v>
      </c>
      <c r="D330" s="121">
        <v>102.0</v>
      </c>
      <c r="E330" s="118"/>
      <c r="F330" s="118"/>
      <c r="G330" s="118"/>
      <c r="H330" s="118"/>
      <c r="I330" s="118"/>
    </row>
    <row r="331" ht="15.75" customHeight="1">
      <c r="A331" s="117"/>
      <c r="B331" s="64" t="s">
        <v>270</v>
      </c>
      <c r="C331" s="64" t="s">
        <v>271</v>
      </c>
      <c r="D331" s="121">
        <v>56.0</v>
      </c>
      <c r="E331" s="118"/>
      <c r="F331" s="118"/>
      <c r="G331" s="118"/>
      <c r="H331" s="118"/>
      <c r="I331" s="118"/>
    </row>
    <row r="332" ht="15.75" customHeight="1">
      <c r="A332" s="117"/>
      <c r="B332" s="125" t="s">
        <v>250</v>
      </c>
      <c r="C332" s="125" t="s">
        <v>251</v>
      </c>
      <c r="D332" s="117">
        <f>2400+1200</f>
        <v>3600</v>
      </c>
      <c r="E332" s="118"/>
      <c r="F332" s="118"/>
      <c r="G332" s="118"/>
      <c r="H332" s="118"/>
      <c r="I332" s="118"/>
    </row>
    <row r="333" ht="15.75" customHeight="1">
      <c r="A333" s="117"/>
      <c r="B333" s="31" t="s">
        <v>256</v>
      </c>
      <c r="C333" s="31" t="s">
        <v>257</v>
      </c>
      <c r="D333" s="121">
        <v>1400.0</v>
      </c>
      <c r="E333" s="118"/>
      <c r="F333" s="118"/>
      <c r="G333" s="118"/>
      <c r="H333" s="118"/>
      <c r="I333" s="118"/>
    </row>
    <row r="334" ht="15.75" customHeight="1">
      <c r="A334" s="117"/>
      <c r="B334" s="125" t="s">
        <v>244</v>
      </c>
      <c r="C334" s="125" t="s">
        <v>245</v>
      </c>
      <c r="D334" s="121">
        <v>3500.0</v>
      </c>
      <c r="E334" s="118"/>
      <c r="F334" s="118"/>
      <c r="G334" s="118"/>
      <c r="H334" s="118"/>
      <c r="I334" s="118"/>
    </row>
    <row r="335" ht="15.75" customHeight="1">
      <c r="A335" s="117"/>
      <c r="B335" s="125" t="s">
        <v>262</v>
      </c>
      <c r="C335" s="125" t="s">
        <v>263</v>
      </c>
      <c r="D335" s="121">
        <v>2100.0</v>
      </c>
      <c r="E335" s="118"/>
      <c r="F335" s="118"/>
      <c r="G335" s="118"/>
      <c r="H335" s="118"/>
      <c r="I335" s="118"/>
    </row>
    <row r="336" ht="15.75" customHeight="1">
      <c r="A336" s="117"/>
      <c r="B336" s="125" t="s">
        <v>272</v>
      </c>
      <c r="C336" s="125" t="s">
        <v>273</v>
      </c>
      <c r="D336" s="121">
        <v>1100.0</v>
      </c>
      <c r="E336" s="118"/>
      <c r="F336" s="118"/>
      <c r="G336" s="118"/>
      <c r="H336" s="118"/>
      <c r="I336" s="118"/>
    </row>
    <row r="337" ht="15.75" customHeight="1">
      <c r="A337" s="117"/>
      <c r="B337" s="125" t="s">
        <v>260</v>
      </c>
      <c r="C337" s="125" t="s">
        <v>261</v>
      </c>
      <c r="D337" s="121">
        <v>500.0</v>
      </c>
      <c r="E337" s="118"/>
      <c r="F337" s="118"/>
      <c r="G337" s="118"/>
      <c r="H337" s="118"/>
      <c r="I337" s="118"/>
    </row>
    <row r="338" ht="15.75" customHeight="1">
      <c r="A338" s="117"/>
      <c r="B338" s="114"/>
      <c r="C338" s="131"/>
      <c r="D338" s="117"/>
      <c r="E338" s="118"/>
      <c r="F338" s="118"/>
      <c r="G338" s="118"/>
      <c r="H338" s="118"/>
      <c r="I338" s="118"/>
    </row>
    <row r="339" ht="15.75" customHeight="1">
      <c r="A339" s="96">
        <v>45829.0</v>
      </c>
      <c r="B339" s="125" t="s">
        <v>262</v>
      </c>
      <c r="C339" s="125" t="s">
        <v>263</v>
      </c>
      <c r="D339" s="121">
        <v>1500.0</v>
      </c>
      <c r="E339" s="118"/>
      <c r="F339" s="118"/>
      <c r="G339" s="118"/>
      <c r="H339" s="118"/>
      <c r="I339" s="118"/>
    </row>
    <row r="340" ht="15.75" customHeight="1">
      <c r="A340" s="117"/>
      <c r="B340" s="125" t="s">
        <v>244</v>
      </c>
      <c r="C340" s="125" t="s">
        <v>245</v>
      </c>
      <c r="D340" s="121">
        <v>4500.0</v>
      </c>
      <c r="E340" s="118"/>
      <c r="F340" s="118"/>
      <c r="G340" s="118"/>
      <c r="H340" s="118"/>
      <c r="I340" s="118"/>
    </row>
    <row r="341" ht="15.75" customHeight="1">
      <c r="A341" s="117"/>
      <c r="B341" s="39" t="s">
        <v>252</v>
      </c>
      <c r="C341" s="41" t="s">
        <v>253</v>
      </c>
      <c r="D341" s="121">
        <v>43.0</v>
      </c>
      <c r="E341" s="118"/>
      <c r="F341" s="118"/>
      <c r="G341" s="118"/>
      <c r="H341" s="118"/>
      <c r="I341" s="118"/>
    </row>
    <row r="342" ht="15.75" customHeight="1">
      <c r="A342" s="117"/>
      <c r="B342" s="125" t="s">
        <v>240</v>
      </c>
      <c r="C342" s="64" t="s">
        <v>241</v>
      </c>
      <c r="D342" s="117">
        <f>100+138</f>
        <v>238</v>
      </c>
      <c r="E342" s="118"/>
      <c r="F342" s="118"/>
      <c r="G342" s="118"/>
      <c r="H342" s="118"/>
      <c r="I342" s="118"/>
    </row>
    <row r="343" ht="15.75" customHeight="1">
      <c r="A343" s="117"/>
      <c r="B343" s="64" t="s">
        <v>242</v>
      </c>
      <c r="C343" s="64" t="s">
        <v>243</v>
      </c>
      <c r="D343" s="117">
        <f>104+163</f>
        <v>267</v>
      </c>
      <c r="E343" s="118"/>
      <c r="F343" s="118"/>
      <c r="G343" s="118"/>
      <c r="H343" s="118"/>
      <c r="I343" s="118"/>
    </row>
    <row r="344" ht="15.75" customHeight="1">
      <c r="A344" s="117"/>
      <c r="B344" s="114"/>
      <c r="C344" s="131"/>
      <c r="D344" s="117"/>
      <c r="E344" s="118"/>
      <c r="F344" s="118"/>
      <c r="G344" s="118"/>
      <c r="H344" s="118"/>
      <c r="I344" s="118"/>
    </row>
    <row r="345" ht="15.75" customHeight="1">
      <c r="A345" s="117"/>
      <c r="B345" s="114"/>
      <c r="C345" s="131"/>
      <c r="D345" s="117"/>
      <c r="E345" s="118"/>
      <c r="F345" s="118"/>
      <c r="G345" s="118"/>
      <c r="H345" s="118"/>
      <c r="I345" s="118"/>
    </row>
    <row r="346" ht="15.75" customHeight="1">
      <c r="A346" s="117"/>
      <c r="B346" s="114"/>
      <c r="C346" s="131"/>
      <c r="D346" s="117"/>
      <c r="E346" s="118"/>
      <c r="F346" s="118"/>
      <c r="G346" s="118"/>
      <c r="H346" s="118"/>
      <c r="I346" s="118"/>
    </row>
    <row r="347" ht="15.75" customHeight="1">
      <c r="A347" s="117"/>
      <c r="B347" s="114"/>
      <c r="C347" s="131"/>
      <c r="D347" s="117"/>
      <c r="E347" s="118"/>
      <c r="F347" s="118"/>
      <c r="G347" s="118"/>
      <c r="H347" s="118"/>
      <c r="I347" s="118"/>
    </row>
    <row r="348" ht="15.75" customHeight="1">
      <c r="A348" s="117"/>
      <c r="B348" s="114"/>
      <c r="C348" s="131"/>
      <c r="D348" s="117"/>
      <c r="E348" s="118"/>
      <c r="F348" s="118"/>
      <c r="G348" s="118"/>
      <c r="H348" s="118"/>
      <c r="I348" s="118"/>
    </row>
    <row r="349" ht="15.75" customHeight="1">
      <c r="A349" s="117"/>
      <c r="B349" s="114"/>
      <c r="C349" s="131"/>
      <c r="D349" s="117"/>
      <c r="E349" s="118"/>
      <c r="F349" s="118"/>
      <c r="G349" s="118"/>
      <c r="H349" s="118"/>
      <c r="I349" s="118"/>
    </row>
    <row r="350" ht="15.75" customHeight="1">
      <c r="A350" s="117"/>
      <c r="B350" s="114"/>
      <c r="C350" s="131"/>
      <c r="D350" s="117"/>
      <c r="E350" s="118"/>
      <c r="F350" s="118"/>
      <c r="G350" s="118"/>
      <c r="H350" s="118"/>
      <c r="I350" s="118"/>
    </row>
    <row r="351" ht="15.75" customHeight="1">
      <c r="A351" s="93"/>
      <c r="B351" s="23"/>
      <c r="C351" s="132" t="s">
        <v>274</v>
      </c>
      <c r="D351" s="93"/>
      <c r="E351" s="95"/>
      <c r="F351" s="95"/>
      <c r="G351" s="95"/>
      <c r="H351" s="95"/>
      <c r="I351" s="95"/>
    </row>
    <row r="352" ht="15.75" customHeight="1">
      <c r="A352" s="133">
        <v>45808.0</v>
      </c>
      <c r="B352" s="134" t="s">
        <v>275</v>
      </c>
      <c r="C352" s="135" t="s">
        <v>276</v>
      </c>
      <c r="D352" s="117">
        <f>33+50+44+55</f>
        <v>182</v>
      </c>
      <c r="E352" s="118"/>
      <c r="F352" s="118"/>
      <c r="G352" s="118"/>
      <c r="H352" s="118"/>
      <c r="I352" s="118"/>
    </row>
    <row r="353" ht="15.75" customHeight="1">
      <c r="A353" s="117"/>
      <c r="B353" s="31" t="s">
        <v>277</v>
      </c>
      <c r="C353" s="31" t="s">
        <v>278</v>
      </c>
      <c r="D353" s="121">
        <v>32.0</v>
      </c>
      <c r="E353" s="118"/>
      <c r="F353" s="118"/>
      <c r="G353" s="118"/>
      <c r="H353" s="118"/>
      <c r="I353" s="118"/>
    </row>
    <row r="354" ht="15.75" customHeight="1">
      <c r="A354" s="117"/>
      <c r="B354" s="31" t="s">
        <v>279</v>
      </c>
      <c r="C354" s="31" t="s">
        <v>280</v>
      </c>
      <c r="D354" s="121">
        <v>18.0</v>
      </c>
      <c r="E354" s="118"/>
      <c r="F354" s="118"/>
      <c r="G354" s="118"/>
      <c r="H354" s="118"/>
      <c r="I354" s="118"/>
    </row>
    <row r="355" ht="15.75" customHeight="1">
      <c r="A355" s="117"/>
      <c r="B355" s="31" t="s">
        <v>281</v>
      </c>
      <c r="C355" s="31" t="s">
        <v>282</v>
      </c>
      <c r="D355" s="121">
        <f>12+32</f>
        <v>44</v>
      </c>
      <c r="E355" s="118"/>
      <c r="F355" s="118"/>
      <c r="G355" s="118"/>
      <c r="H355" s="118"/>
      <c r="I355" s="118"/>
    </row>
    <row r="356" ht="15.75" customHeight="1">
      <c r="A356" s="117"/>
      <c r="B356" s="31" t="s">
        <v>283</v>
      </c>
      <c r="C356" s="31" t="s">
        <v>284</v>
      </c>
      <c r="D356" s="121">
        <v>16.0</v>
      </c>
      <c r="E356" s="118"/>
      <c r="F356" s="118"/>
      <c r="G356" s="118"/>
      <c r="H356" s="118"/>
      <c r="I356" s="118"/>
    </row>
    <row r="357" ht="15.75" customHeight="1">
      <c r="A357" s="117"/>
      <c r="B357" s="31" t="s">
        <v>285</v>
      </c>
      <c r="C357" s="31" t="s">
        <v>286</v>
      </c>
      <c r="D357" s="121">
        <v>15.0</v>
      </c>
      <c r="E357" s="118"/>
      <c r="F357" s="118"/>
      <c r="G357" s="118"/>
      <c r="H357" s="118"/>
      <c r="I357" s="118"/>
    </row>
    <row r="358" ht="15.75" customHeight="1">
      <c r="A358" s="117"/>
      <c r="B358" s="31" t="s">
        <v>287</v>
      </c>
      <c r="C358" s="31" t="s">
        <v>288</v>
      </c>
      <c r="D358" s="121">
        <v>14.0</v>
      </c>
      <c r="E358" s="118"/>
      <c r="F358" s="118"/>
      <c r="G358" s="118"/>
      <c r="H358" s="118"/>
      <c r="I358" s="118"/>
    </row>
    <row r="359" ht="15.75" customHeight="1">
      <c r="A359" s="117"/>
      <c r="B359" s="136"/>
      <c r="C359" s="137"/>
      <c r="D359" s="117"/>
      <c r="E359" s="118"/>
      <c r="F359" s="118"/>
      <c r="G359" s="118"/>
      <c r="H359" s="118"/>
      <c r="I359" s="118"/>
    </row>
    <row r="360" ht="15.75" customHeight="1">
      <c r="A360" s="133">
        <v>45810.0</v>
      </c>
      <c r="B360" s="130" t="s">
        <v>289</v>
      </c>
      <c r="C360" s="130" t="s">
        <v>290</v>
      </c>
      <c r="D360" s="117">
        <f>58+55</f>
        <v>113</v>
      </c>
      <c r="E360" s="118"/>
      <c r="F360" s="118"/>
      <c r="G360" s="118"/>
      <c r="H360" s="118"/>
      <c r="I360" s="118"/>
    </row>
    <row r="361" ht="15.75" customHeight="1">
      <c r="A361" s="117"/>
      <c r="B361" s="134" t="s">
        <v>275</v>
      </c>
      <c r="C361" s="135" t="s">
        <v>276</v>
      </c>
      <c r="D361" s="117">
        <f>20</f>
        <v>20</v>
      </c>
      <c r="E361" s="118"/>
      <c r="F361" s="118"/>
      <c r="G361" s="118"/>
      <c r="H361" s="118"/>
      <c r="I361" s="118"/>
    </row>
    <row r="362" ht="15.75" customHeight="1">
      <c r="A362" s="117"/>
      <c r="B362" s="134" t="s">
        <v>291</v>
      </c>
      <c r="C362" s="135" t="s">
        <v>292</v>
      </c>
      <c r="D362" s="117">
        <f>55+42</f>
        <v>97</v>
      </c>
      <c r="E362" s="118"/>
      <c r="F362" s="118"/>
      <c r="G362" s="118"/>
      <c r="H362" s="118"/>
      <c r="I362" s="118"/>
    </row>
    <row r="363" ht="15.75" customHeight="1">
      <c r="A363" s="117"/>
      <c r="B363" s="31" t="s">
        <v>293</v>
      </c>
      <c r="C363" s="31" t="s">
        <v>294</v>
      </c>
      <c r="D363" s="117">
        <f>25+33+33</f>
        <v>91</v>
      </c>
      <c r="E363" s="118"/>
      <c r="F363" s="118"/>
      <c r="G363" s="118"/>
      <c r="H363" s="118"/>
      <c r="I363" s="118"/>
    </row>
    <row r="364" ht="15.75" customHeight="1">
      <c r="A364" s="117"/>
      <c r="B364" s="31" t="s">
        <v>285</v>
      </c>
      <c r="C364" s="31" t="s">
        <v>286</v>
      </c>
      <c r="D364" s="121">
        <v>16.0</v>
      </c>
      <c r="E364" s="118"/>
      <c r="F364" s="118"/>
      <c r="G364" s="118"/>
      <c r="H364" s="118"/>
      <c r="I364" s="118"/>
    </row>
    <row r="365" ht="15.75" customHeight="1">
      <c r="A365" s="117"/>
      <c r="B365" s="31" t="s">
        <v>277</v>
      </c>
      <c r="C365" s="31" t="s">
        <v>278</v>
      </c>
      <c r="D365" s="121">
        <v>33.0</v>
      </c>
      <c r="E365" s="118"/>
      <c r="F365" s="118"/>
      <c r="G365" s="118"/>
      <c r="H365" s="118"/>
      <c r="I365" s="118"/>
    </row>
    <row r="366" ht="15.75" customHeight="1">
      <c r="A366" s="117"/>
      <c r="B366" s="31" t="s">
        <v>295</v>
      </c>
      <c r="C366" s="31" t="s">
        <v>296</v>
      </c>
      <c r="D366" s="121">
        <v>25.0</v>
      </c>
      <c r="E366" s="118"/>
      <c r="F366" s="118"/>
      <c r="G366" s="118"/>
      <c r="H366" s="118"/>
      <c r="I366" s="118"/>
    </row>
    <row r="367" ht="15.75" customHeight="1">
      <c r="A367" s="117"/>
      <c r="B367" s="31" t="s">
        <v>297</v>
      </c>
      <c r="C367" s="31" t="s">
        <v>298</v>
      </c>
      <c r="D367" s="121">
        <v>6.0</v>
      </c>
      <c r="E367" s="118"/>
      <c r="F367" s="118"/>
      <c r="G367" s="118"/>
      <c r="H367" s="118"/>
      <c r="I367" s="118"/>
    </row>
    <row r="368" ht="15.75" customHeight="1">
      <c r="A368" s="117"/>
      <c r="B368" s="31" t="s">
        <v>281</v>
      </c>
      <c r="C368" s="31" t="s">
        <v>282</v>
      </c>
      <c r="D368" s="121">
        <v>36.0</v>
      </c>
      <c r="E368" s="118"/>
      <c r="F368" s="118"/>
      <c r="G368" s="118"/>
      <c r="H368" s="118"/>
      <c r="I368" s="118"/>
    </row>
    <row r="369" ht="15.75" customHeight="1">
      <c r="A369" s="117"/>
      <c r="B369" s="31" t="s">
        <v>299</v>
      </c>
      <c r="C369" s="31" t="s">
        <v>300</v>
      </c>
      <c r="D369" s="121">
        <v>37.0</v>
      </c>
      <c r="E369" s="118"/>
      <c r="F369" s="118"/>
      <c r="G369" s="118"/>
      <c r="H369" s="118"/>
      <c r="I369" s="118"/>
    </row>
    <row r="370" ht="15.75" customHeight="1">
      <c r="A370" s="117"/>
      <c r="B370" s="31" t="s">
        <v>301</v>
      </c>
      <c r="C370" s="31" t="s">
        <v>302</v>
      </c>
      <c r="D370" s="121">
        <v>17.0</v>
      </c>
      <c r="E370" s="118"/>
      <c r="F370" s="118"/>
      <c r="G370" s="118"/>
      <c r="H370" s="118"/>
      <c r="I370" s="118"/>
    </row>
    <row r="371" ht="15.75" customHeight="1">
      <c r="A371" s="117"/>
      <c r="B371" s="114"/>
      <c r="C371" s="131"/>
      <c r="D371" s="117"/>
      <c r="E371" s="118"/>
      <c r="F371" s="118"/>
      <c r="G371" s="118"/>
      <c r="H371" s="118"/>
      <c r="I371" s="118"/>
    </row>
    <row r="372" ht="15.75" customHeight="1">
      <c r="A372" s="133">
        <v>45811.0</v>
      </c>
      <c r="B372" s="134" t="s">
        <v>303</v>
      </c>
      <c r="C372" s="135" t="s">
        <v>304</v>
      </c>
      <c r="D372" s="121">
        <v>58.0</v>
      </c>
      <c r="E372" s="118"/>
      <c r="F372" s="118"/>
      <c r="G372" s="118"/>
      <c r="H372" s="118"/>
      <c r="I372" s="118"/>
    </row>
    <row r="373" ht="15.75" customHeight="1">
      <c r="A373" s="117"/>
      <c r="B373" s="130" t="s">
        <v>289</v>
      </c>
      <c r="C373" s="130" t="s">
        <v>290</v>
      </c>
      <c r="D373" s="121">
        <v>56.0</v>
      </c>
      <c r="E373" s="118"/>
      <c r="F373" s="118"/>
      <c r="G373" s="118"/>
      <c r="H373" s="118"/>
      <c r="I373" s="118"/>
    </row>
    <row r="374" ht="15.75" customHeight="1">
      <c r="A374" s="117"/>
      <c r="B374" s="134" t="s">
        <v>291</v>
      </c>
      <c r="C374" s="135" t="s">
        <v>292</v>
      </c>
      <c r="D374" s="117">
        <f>55+53+55</f>
        <v>163</v>
      </c>
      <c r="E374" s="118"/>
      <c r="F374" s="118"/>
      <c r="G374" s="118"/>
      <c r="H374" s="118"/>
      <c r="I374" s="118"/>
    </row>
    <row r="375" ht="15.75" customHeight="1">
      <c r="A375" s="117"/>
      <c r="B375" s="31" t="s">
        <v>301</v>
      </c>
      <c r="C375" s="31" t="s">
        <v>302</v>
      </c>
      <c r="D375" s="121">
        <v>21.0</v>
      </c>
      <c r="E375" s="118"/>
      <c r="F375" s="118"/>
      <c r="G375" s="118"/>
      <c r="H375" s="118"/>
      <c r="I375" s="118"/>
    </row>
    <row r="376" ht="15.75" customHeight="1">
      <c r="A376" s="117"/>
      <c r="B376" s="31" t="s">
        <v>305</v>
      </c>
      <c r="C376" s="31" t="s">
        <v>306</v>
      </c>
      <c r="D376" s="121">
        <v>18.0</v>
      </c>
      <c r="E376" s="118"/>
      <c r="F376" s="118"/>
      <c r="G376" s="118"/>
      <c r="H376" s="118"/>
      <c r="I376" s="118"/>
    </row>
    <row r="377" ht="15.75" customHeight="1">
      <c r="A377" s="117"/>
      <c r="B377" s="31" t="s">
        <v>307</v>
      </c>
      <c r="C377" s="31" t="s">
        <v>308</v>
      </c>
      <c r="D377" s="121">
        <v>40.0</v>
      </c>
      <c r="E377" s="118"/>
      <c r="F377" s="118"/>
      <c r="G377" s="118"/>
      <c r="H377" s="118"/>
      <c r="I377" s="118"/>
    </row>
    <row r="378" ht="15.75" customHeight="1">
      <c r="A378" s="117"/>
      <c r="B378" s="31" t="s">
        <v>281</v>
      </c>
      <c r="C378" s="31" t="s">
        <v>282</v>
      </c>
      <c r="D378" s="121">
        <v>25.0</v>
      </c>
      <c r="E378" s="118"/>
      <c r="F378" s="118"/>
      <c r="G378" s="118"/>
      <c r="H378" s="118"/>
      <c r="I378" s="118"/>
    </row>
    <row r="379" ht="15.75" customHeight="1">
      <c r="A379" s="117"/>
      <c r="B379" s="31" t="s">
        <v>309</v>
      </c>
      <c r="C379" s="31" t="s">
        <v>310</v>
      </c>
      <c r="D379" s="117">
        <f>3+10</f>
        <v>13</v>
      </c>
      <c r="E379" s="118"/>
      <c r="F379" s="118"/>
      <c r="G379" s="118"/>
      <c r="H379" s="118"/>
      <c r="I379" s="118"/>
    </row>
    <row r="380" ht="15.75" customHeight="1">
      <c r="A380" s="117"/>
      <c r="B380" s="31" t="s">
        <v>311</v>
      </c>
      <c r="C380" s="31" t="s">
        <v>312</v>
      </c>
      <c r="D380" s="121">
        <v>7.0</v>
      </c>
      <c r="E380" s="118"/>
      <c r="F380" s="118"/>
      <c r="G380" s="118"/>
      <c r="H380" s="118"/>
      <c r="I380" s="118"/>
    </row>
    <row r="381" ht="15.75" customHeight="1">
      <c r="A381" s="117"/>
      <c r="B381" s="31" t="s">
        <v>313</v>
      </c>
      <c r="C381" s="31" t="s">
        <v>314</v>
      </c>
      <c r="D381" s="121">
        <v>29.0</v>
      </c>
      <c r="E381" s="118"/>
      <c r="F381" s="118"/>
      <c r="G381" s="118"/>
      <c r="H381" s="118"/>
      <c r="I381" s="118"/>
    </row>
    <row r="382" ht="15.75" customHeight="1">
      <c r="A382" s="117"/>
      <c r="B382" s="114"/>
      <c r="C382" s="131"/>
      <c r="D382" s="117"/>
      <c r="E382" s="118"/>
      <c r="F382" s="118"/>
      <c r="G382" s="118"/>
      <c r="H382" s="118"/>
      <c r="I382" s="118"/>
    </row>
    <row r="383" ht="15.75" customHeight="1">
      <c r="A383" s="133">
        <v>45812.0</v>
      </c>
      <c r="B383" s="134" t="s">
        <v>303</v>
      </c>
      <c r="C383" s="135" t="s">
        <v>304</v>
      </c>
      <c r="D383" s="121">
        <v>50.0</v>
      </c>
      <c r="E383" s="118"/>
      <c r="F383" s="118"/>
      <c r="G383" s="118"/>
      <c r="H383" s="118"/>
      <c r="I383" s="118"/>
    </row>
    <row r="384" ht="15.75" customHeight="1">
      <c r="A384" s="117"/>
      <c r="B384" s="106" t="s">
        <v>315</v>
      </c>
      <c r="C384" s="135" t="s">
        <v>316</v>
      </c>
      <c r="D384" s="121">
        <v>11.0</v>
      </c>
      <c r="E384" s="118"/>
      <c r="F384" s="118"/>
      <c r="G384" s="118"/>
      <c r="H384" s="118"/>
      <c r="I384" s="118"/>
    </row>
    <row r="385" ht="15.75" customHeight="1">
      <c r="A385" s="117"/>
      <c r="B385" s="134" t="s">
        <v>317</v>
      </c>
      <c r="C385" s="138" t="s">
        <v>318</v>
      </c>
      <c r="D385" s="121">
        <v>37.0</v>
      </c>
      <c r="E385" s="118"/>
      <c r="F385" s="118"/>
      <c r="G385" s="118"/>
      <c r="H385" s="118"/>
      <c r="I385" s="118"/>
    </row>
    <row r="386" ht="15.75" customHeight="1">
      <c r="A386" s="117"/>
      <c r="B386" s="31" t="s">
        <v>319</v>
      </c>
      <c r="C386" s="31" t="s">
        <v>320</v>
      </c>
      <c r="D386" s="117">
        <f>36+10</f>
        <v>46</v>
      </c>
      <c r="E386" s="118"/>
      <c r="F386" s="118"/>
      <c r="G386" s="118"/>
      <c r="H386" s="118"/>
      <c r="I386" s="118"/>
    </row>
    <row r="387" ht="15.75" customHeight="1">
      <c r="A387" s="117"/>
      <c r="B387" s="134" t="s">
        <v>291</v>
      </c>
      <c r="C387" s="135" t="s">
        <v>292</v>
      </c>
      <c r="D387" s="117">
        <f>51+55+52+45</f>
        <v>203</v>
      </c>
      <c r="E387" s="118"/>
      <c r="F387" s="118"/>
      <c r="G387" s="118"/>
      <c r="H387" s="118"/>
      <c r="I387" s="118"/>
    </row>
    <row r="388" ht="15.75" customHeight="1">
      <c r="A388" s="117"/>
      <c r="B388" s="31" t="s">
        <v>321</v>
      </c>
      <c r="C388" s="31" t="s">
        <v>322</v>
      </c>
      <c r="D388" s="121">
        <v>24.0</v>
      </c>
      <c r="E388" s="118"/>
      <c r="F388" s="118"/>
      <c r="G388" s="118"/>
      <c r="H388" s="118"/>
      <c r="I388" s="118"/>
    </row>
    <row r="389" ht="15.75" customHeight="1">
      <c r="A389" s="117"/>
      <c r="B389" s="31" t="s">
        <v>277</v>
      </c>
      <c r="C389" s="31" t="s">
        <v>278</v>
      </c>
      <c r="D389" s="121">
        <v>32.0</v>
      </c>
      <c r="E389" s="118"/>
      <c r="F389" s="118"/>
      <c r="G389" s="118"/>
      <c r="H389" s="118"/>
      <c r="I389" s="118"/>
    </row>
    <row r="390" ht="15.75" customHeight="1">
      <c r="A390" s="117"/>
      <c r="B390" s="31" t="s">
        <v>323</v>
      </c>
      <c r="C390" s="31" t="s">
        <v>324</v>
      </c>
      <c r="D390" s="121">
        <v>25.0</v>
      </c>
      <c r="E390" s="118"/>
      <c r="F390" s="118"/>
      <c r="G390" s="118"/>
      <c r="H390" s="118"/>
      <c r="I390" s="118"/>
    </row>
    <row r="391" ht="15.75" customHeight="1">
      <c r="A391" s="117"/>
      <c r="B391" s="114"/>
      <c r="C391" s="131"/>
      <c r="D391" s="117"/>
      <c r="E391" s="118"/>
      <c r="F391" s="118"/>
      <c r="G391" s="118"/>
      <c r="H391" s="118"/>
      <c r="I391" s="118"/>
    </row>
    <row r="392" ht="15.75" customHeight="1">
      <c r="A392" s="133">
        <v>45813.0</v>
      </c>
      <c r="B392" s="31" t="s">
        <v>319</v>
      </c>
      <c r="C392" s="31" t="s">
        <v>320</v>
      </c>
      <c r="D392" s="117">
        <f>30+35</f>
        <v>65</v>
      </c>
      <c r="E392" s="118"/>
      <c r="F392" s="118"/>
      <c r="G392" s="118"/>
      <c r="H392" s="118"/>
      <c r="I392" s="118"/>
    </row>
    <row r="393" ht="15.75" customHeight="1">
      <c r="A393" s="117"/>
      <c r="B393" s="134" t="s">
        <v>317</v>
      </c>
      <c r="C393" s="138" t="s">
        <v>318</v>
      </c>
      <c r="D393" s="121">
        <v>46.0</v>
      </c>
      <c r="E393" s="118"/>
      <c r="F393" s="118"/>
      <c r="G393" s="118"/>
      <c r="H393" s="118"/>
      <c r="I393" s="118"/>
    </row>
    <row r="394" ht="15.75" customHeight="1">
      <c r="A394" s="117"/>
      <c r="B394" s="106" t="s">
        <v>315</v>
      </c>
      <c r="C394" s="135" t="s">
        <v>316</v>
      </c>
      <c r="D394" s="121">
        <v>33.0</v>
      </c>
      <c r="E394" s="118"/>
      <c r="F394" s="118"/>
      <c r="G394" s="118"/>
      <c r="H394" s="118"/>
      <c r="I394" s="118"/>
    </row>
    <row r="395" ht="15.75" customHeight="1">
      <c r="A395" s="117"/>
      <c r="B395" s="139" t="s">
        <v>325</v>
      </c>
      <c r="C395" s="140" t="s">
        <v>326</v>
      </c>
      <c r="D395" s="117">
        <f>41+46+47+46+44</f>
        <v>224</v>
      </c>
      <c r="E395" s="118"/>
      <c r="F395" s="118"/>
      <c r="G395" s="118"/>
      <c r="H395" s="118"/>
      <c r="I395" s="118"/>
    </row>
    <row r="396" ht="15.75" customHeight="1">
      <c r="A396" s="117"/>
      <c r="B396" s="31" t="s">
        <v>327</v>
      </c>
      <c r="C396" s="31" t="s">
        <v>328</v>
      </c>
      <c r="D396" s="121">
        <v>11.0</v>
      </c>
      <c r="E396" s="118"/>
      <c r="F396" s="118"/>
      <c r="G396" s="118"/>
      <c r="H396" s="118"/>
      <c r="I396" s="118"/>
    </row>
    <row r="397" ht="15.75" customHeight="1">
      <c r="A397" s="117"/>
      <c r="B397" s="31" t="s">
        <v>329</v>
      </c>
      <c r="C397" s="31" t="s">
        <v>330</v>
      </c>
      <c r="D397" s="121">
        <v>32.0</v>
      </c>
      <c r="E397" s="118"/>
      <c r="F397" s="118"/>
      <c r="G397" s="118"/>
      <c r="H397" s="118"/>
      <c r="I397" s="118"/>
    </row>
    <row r="398" ht="15.75" customHeight="1">
      <c r="A398" s="117"/>
      <c r="B398" s="31" t="s">
        <v>331</v>
      </c>
      <c r="C398" s="31" t="s">
        <v>332</v>
      </c>
      <c r="D398" s="121">
        <v>23.0</v>
      </c>
      <c r="E398" s="118"/>
      <c r="F398" s="118"/>
      <c r="G398" s="118"/>
      <c r="H398" s="118"/>
      <c r="I398" s="118"/>
    </row>
    <row r="399" ht="15.75" customHeight="1">
      <c r="A399" s="117"/>
      <c r="B399" s="31" t="s">
        <v>305</v>
      </c>
      <c r="C399" s="31" t="s">
        <v>306</v>
      </c>
      <c r="D399" s="121">
        <v>9.0</v>
      </c>
      <c r="E399" s="118"/>
      <c r="F399" s="118"/>
      <c r="G399" s="118"/>
      <c r="H399" s="118"/>
      <c r="I399" s="118"/>
    </row>
    <row r="400" ht="15.75" customHeight="1">
      <c r="A400" s="117"/>
      <c r="B400" s="31" t="s">
        <v>309</v>
      </c>
      <c r="C400" s="31" t="s">
        <v>310</v>
      </c>
      <c r="D400" s="121">
        <v>15.0</v>
      </c>
      <c r="E400" s="118"/>
      <c r="F400" s="118"/>
      <c r="G400" s="118"/>
      <c r="H400" s="118"/>
      <c r="I400" s="118"/>
    </row>
    <row r="401" ht="15.75" customHeight="1">
      <c r="A401" s="117"/>
      <c r="B401" s="31" t="s">
        <v>295</v>
      </c>
      <c r="C401" s="31" t="s">
        <v>296</v>
      </c>
      <c r="D401" s="121">
        <v>26.0</v>
      </c>
      <c r="E401" s="118"/>
      <c r="F401" s="118"/>
      <c r="G401" s="118"/>
      <c r="H401" s="118"/>
      <c r="I401" s="118"/>
    </row>
    <row r="402" ht="15.75" customHeight="1">
      <c r="A402" s="117"/>
      <c r="B402" s="31" t="s">
        <v>277</v>
      </c>
      <c r="C402" s="31" t="s">
        <v>278</v>
      </c>
      <c r="D402" s="121">
        <v>32.0</v>
      </c>
      <c r="E402" s="118"/>
      <c r="F402" s="118"/>
      <c r="G402" s="118"/>
      <c r="H402" s="118"/>
      <c r="I402" s="118"/>
    </row>
    <row r="403" ht="15.75" customHeight="1">
      <c r="A403" s="117"/>
      <c r="B403" s="31" t="s">
        <v>321</v>
      </c>
      <c r="C403" s="31" t="s">
        <v>322</v>
      </c>
      <c r="D403" s="121">
        <v>6.0</v>
      </c>
      <c r="E403" s="118"/>
      <c r="F403" s="118"/>
      <c r="G403" s="118"/>
      <c r="H403" s="118"/>
      <c r="I403" s="118"/>
    </row>
    <row r="404" ht="15.75" customHeight="1">
      <c r="A404" s="117"/>
      <c r="B404" s="31" t="s">
        <v>333</v>
      </c>
      <c r="C404" s="31" t="s">
        <v>334</v>
      </c>
      <c r="D404" s="121">
        <v>13.0</v>
      </c>
      <c r="E404" s="118"/>
      <c r="F404" s="118"/>
      <c r="G404" s="118"/>
      <c r="H404" s="118"/>
      <c r="I404" s="118"/>
    </row>
    <row r="405" ht="15.75" customHeight="1">
      <c r="A405" s="117"/>
      <c r="B405" s="31" t="s">
        <v>335</v>
      </c>
      <c r="C405" s="31" t="s">
        <v>336</v>
      </c>
      <c r="D405" s="121">
        <v>13.0</v>
      </c>
      <c r="E405" s="118"/>
      <c r="F405" s="118"/>
      <c r="G405" s="118"/>
      <c r="H405" s="118"/>
      <c r="I405" s="118"/>
    </row>
    <row r="406" ht="15.75" customHeight="1">
      <c r="A406" s="117"/>
      <c r="B406" s="114"/>
      <c r="C406" s="131"/>
      <c r="D406" s="117"/>
      <c r="E406" s="118"/>
      <c r="F406" s="118"/>
      <c r="G406" s="118"/>
      <c r="H406" s="118"/>
      <c r="I406" s="118"/>
    </row>
    <row r="407" ht="15.75" customHeight="1">
      <c r="A407" s="133">
        <v>45814.0</v>
      </c>
      <c r="B407" s="31" t="s">
        <v>277</v>
      </c>
      <c r="C407" s="31" t="s">
        <v>278</v>
      </c>
      <c r="D407" s="117">
        <f>29+30</f>
        <v>59</v>
      </c>
      <c r="E407" s="118"/>
      <c r="F407" s="118"/>
      <c r="G407" s="118"/>
      <c r="H407" s="118"/>
      <c r="I407" s="118"/>
    </row>
    <row r="408" ht="15.75" customHeight="1">
      <c r="A408" s="117"/>
      <c r="B408" s="31" t="s">
        <v>337</v>
      </c>
      <c r="C408" s="31" t="s">
        <v>338</v>
      </c>
      <c r="D408" s="117">
        <f>12+7</f>
        <v>19</v>
      </c>
      <c r="E408" s="118"/>
      <c r="F408" s="118"/>
      <c r="G408" s="118"/>
      <c r="H408" s="118"/>
      <c r="I408" s="118"/>
    </row>
    <row r="409" ht="15.75" customHeight="1">
      <c r="A409" s="117"/>
      <c r="B409" s="31" t="s">
        <v>339</v>
      </c>
      <c r="C409" s="31" t="s">
        <v>340</v>
      </c>
      <c r="D409" s="121">
        <v>11.0</v>
      </c>
      <c r="E409" s="118"/>
      <c r="F409" s="118"/>
      <c r="G409" s="118"/>
      <c r="H409" s="118"/>
      <c r="I409" s="118"/>
    </row>
    <row r="410" ht="15.75" customHeight="1">
      <c r="A410" s="117"/>
      <c r="B410" s="31" t="s">
        <v>341</v>
      </c>
      <c r="C410" s="31" t="s">
        <v>342</v>
      </c>
      <c r="D410" s="121">
        <v>18.0</v>
      </c>
      <c r="E410" s="118"/>
      <c r="F410" s="118"/>
      <c r="G410" s="118"/>
      <c r="H410" s="118"/>
      <c r="I410" s="118"/>
    </row>
    <row r="411" ht="15.75" customHeight="1">
      <c r="A411" s="117"/>
      <c r="B411" s="31" t="s">
        <v>333</v>
      </c>
      <c r="C411" s="31" t="s">
        <v>334</v>
      </c>
      <c r="D411" s="117">
        <f>25+35</f>
        <v>60</v>
      </c>
      <c r="E411" s="118"/>
      <c r="F411" s="118"/>
      <c r="G411" s="118"/>
      <c r="H411" s="118"/>
      <c r="I411" s="118"/>
    </row>
    <row r="412" ht="15.75" customHeight="1">
      <c r="A412" s="117"/>
      <c r="B412" s="31" t="s">
        <v>321</v>
      </c>
      <c r="C412" s="31" t="s">
        <v>322</v>
      </c>
      <c r="D412" s="121">
        <v>15.0</v>
      </c>
      <c r="E412" s="118"/>
      <c r="F412" s="118"/>
      <c r="G412" s="118"/>
      <c r="H412" s="118"/>
      <c r="I412" s="118"/>
    </row>
    <row r="413" ht="15.75" customHeight="1">
      <c r="A413" s="117"/>
      <c r="B413" s="134" t="s">
        <v>343</v>
      </c>
      <c r="C413" s="135" t="s">
        <v>344</v>
      </c>
      <c r="D413" s="117">
        <f>47+16+49</f>
        <v>112</v>
      </c>
      <c r="E413" s="118"/>
      <c r="F413" s="118"/>
      <c r="G413" s="118"/>
      <c r="H413" s="118"/>
      <c r="I413" s="118"/>
    </row>
    <row r="414" ht="15.75" customHeight="1">
      <c r="A414" s="117"/>
      <c r="B414" s="134" t="s">
        <v>345</v>
      </c>
      <c r="C414" s="135" t="s">
        <v>346</v>
      </c>
      <c r="D414" s="121">
        <v>62.0</v>
      </c>
      <c r="E414" s="118"/>
      <c r="F414" s="118"/>
      <c r="G414" s="118"/>
      <c r="H414" s="118"/>
      <c r="I414" s="118"/>
    </row>
    <row r="415" ht="15.75" customHeight="1">
      <c r="A415" s="117"/>
      <c r="B415" s="134" t="s">
        <v>347</v>
      </c>
      <c r="C415" s="135" t="s">
        <v>348</v>
      </c>
      <c r="D415" s="117">
        <f>66+35</f>
        <v>101</v>
      </c>
      <c r="E415" s="118"/>
      <c r="F415" s="118"/>
      <c r="G415" s="118"/>
      <c r="H415" s="118"/>
      <c r="I415" s="118"/>
    </row>
    <row r="416" ht="15.75" customHeight="1">
      <c r="A416" s="117"/>
      <c r="B416" s="141" t="s">
        <v>325</v>
      </c>
      <c r="C416" s="142" t="s">
        <v>326</v>
      </c>
      <c r="D416" s="121">
        <v>30.0</v>
      </c>
      <c r="E416" s="118"/>
      <c r="F416" s="118"/>
      <c r="G416" s="118"/>
      <c r="H416" s="118"/>
      <c r="I416" s="118"/>
    </row>
    <row r="417" ht="15.75" customHeight="1">
      <c r="A417" s="117"/>
      <c r="B417" s="114"/>
      <c r="C417" s="131"/>
      <c r="D417" s="117"/>
      <c r="E417" s="118"/>
      <c r="F417" s="118"/>
      <c r="G417" s="118"/>
      <c r="H417" s="118"/>
      <c r="I417" s="118"/>
    </row>
    <row r="418" ht="15.75" customHeight="1">
      <c r="A418" s="133">
        <v>45815.0</v>
      </c>
      <c r="B418" s="31" t="s">
        <v>349</v>
      </c>
      <c r="C418" s="31" t="s">
        <v>350</v>
      </c>
      <c r="D418" s="117">
        <f>33+21+39</f>
        <v>93</v>
      </c>
      <c r="E418" s="118"/>
      <c r="F418" s="118"/>
      <c r="G418" s="118"/>
      <c r="H418" s="118"/>
      <c r="I418" s="118"/>
    </row>
    <row r="419" ht="15.75" customHeight="1">
      <c r="A419" s="117"/>
      <c r="B419" s="134" t="s">
        <v>345</v>
      </c>
      <c r="C419" s="135" t="s">
        <v>346</v>
      </c>
      <c r="D419" s="121">
        <v>66.0</v>
      </c>
      <c r="E419" s="118"/>
      <c r="F419" s="118"/>
      <c r="G419" s="118"/>
      <c r="H419" s="118"/>
      <c r="I419" s="118"/>
    </row>
    <row r="420" ht="15.75" customHeight="1">
      <c r="A420" s="117"/>
      <c r="B420" s="31" t="s">
        <v>293</v>
      </c>
      <c r="C420" s="31" t="s">
        <v>294</v>
      </c>
      <c r="D420" s="121">
        <v>38.0</v>
      </c>
      <c r="E420" s="118"/>
      <c r="F420" s="118"/>
      <c r="G420" s="118"/>
      <c r="H420" s="118"/>
      <c r="I420" s="118"/>
    </row>
    <row r="421" ht="15.75" customHeight="1">
      <c r="A421" s="117"/>
      <c r="B421" s="31" t="s">
        <v>305</v>
      </c>
      <c r="C421" s="31" t="s">
        <v>306</v>
      </c>
      <c r="D421" s="117">
        <f>18</f>
        <v>18</v>
      </c>
      <c r="E421" s="118"/>
      <c r="F421" s="118"/>
      <c r="G421" s="118"/>
      <c r="H421" s="118"/>
      <c r="I421" s="118"/>
    </row>
    <row r="422" ht="15.75" customHeight="1">
      <c r="A422" s="117"/>
      <c r="B422" s="31" t="s">
        <v>277</v>
      </c>
      <c r="C422" s="31" t="s">
        <v>278</v>
      </c>
      <c r="D422" s="121">
        <v>33.0</v>
      </c>
      <c r="E422" s="118"/>
      <c r="F422" s="118"/>
      <c r="G422" s="118"/>
      <c r="H422" s="118"/>
      <c r="I422" s="118"/>
    </row>
    <row r="423" ht="15.75" customHeight="1">
      <c r="A423" s="117"/>
      <c r="B423" s="31" t="s">
        <v>327</v>
      </c>
      <c r="C423" s="31" t="s">
        <v>328</v>
      </c>
      <c r="D423" s="121">
        <v>9.0</v>
      </c>
      <c r="E423" s="118"/>
      <c r="F423" s="118"/>
      <c r="G423" s="118"/>
      <c r="H423" s="118"/>
      <c r="I423" s="118"/>
    </row>
    <row r="424" ht="15.75" customHeight="1">
      <c r="A424" s="117"/>
      <c r="B424" s="31" t="s">
        <v>337</v>
      </c>
      <c r="C424" s="31" t="s">
        <v>338</v>
      </c>
      <c r="D424" s="121">
        <v>4.0</v>
      </c>
      <c r="E424" s="118"/>
      <c r="F424" s="118"/>
      <c r="G424" s="118"/>
      <c r="H424" s="118"/>
      <c r="I424" s="118"/>
    </row>
    <row r="425" ht="15.75" customHeight="1">
      <c r="A425" s="117"/>
      <c r="B425" s="31" t="s">
        <v>295</v>
      </c>
      <c r="C425" s="31" t="s">
        <v>296</v>
      </c>
      <c r="D425" s="121">
        <v>20.0</v>
      </c>
      <c r="E425" s="118"/>
      <c r="F425" s="118"/>
      <c r="G425" s="118"/>
      <c r="H425" s="118"/>
      <c r="I425" s="118"/>
    </row>
    <row r="426" ht="15.75" customHeight="1">
      <c r="A426" s="117"/>
      <c r="B426" s="31" t="s">
        <v>351</v>
      </c>
      <c r="C426" s="31" t="s">
        <v>352</v>
      </c>
      <c r="D426" s="121">
        <v>16.0</v>
      </c>
      <c r="E426" s="118"/>
      <c r="F426" s="118"/>
      <c r="G426" s="118"/>
      <c r="H426" s="118"/>
      <c r="I426" s="118"/>
    </row>
    <row r="427" ht="15.75" customHeight="1">
      <c r="A427" s="117"/>
      <c r="B427" s="31" t="s">
        <v>311</v>
      </c>
      <c r="C427" s="31" t="s">
        <v>312</v>
      </c>
      <c r="D427" s="121">
        <v>10.0</v>
      </c>
      <c r="E427" s="118"/>
      <c r="F427" s="118"/>
      <c r="G427" s="118"/>
      <c r="H427" s="118"/>
      <c r="I427" s="118"/>
    </row>
    <row r="428" ht="15.75" customHeight="1">
      <c r="A428" s="117"/>
      <c r="B428" s="31" t="s">
        <v>301</v>
      </c>
      <c r="C428" s="31" t="s">
        <v>302</v>
      </c>
      <c r="D428" s="121">
        <v>33.0</v>
      </c>
      <c r="E428" s="118"/>
      <c r="F428" s="118"/>
      <c r="G428" s="118"/>
      <c r="H428" s="118"/>
      <c r="I428" s="118"/>
    </row>
    <row r="429" ht="15.75" customHeight="1">
      <c r="A429" s="117"/>
      <c r="B429" s="31" t="s">
        <v>277</v>
      </c>
      <c r="C429" s="31" t="s">
        <v>278</v>
      </c>
      <c r="D429" s="121">
        <v>32.0</v>
      </c>
      <c r="E429" s="118"/>
      <c r="F429" s="118"/>
      <c r="G429" s="118"/>
      <c r="H429" s="118"/>
      <c r="I429" s="118"/>
    </row>
    <row r="430" ht="15.75" customHeight="1">
      <c r="A430" s="117"/>
      <c r="B430" s="114"/>
      <c r="C430" s="131"/>
      <c r="D430" s="117"/>
      <c r="E430" s="118"/>
      <c r="F430" s="118"/>
      <c r="G430" s="118"/>
      <c r="H430" s="118"/>
      <c r="I430" s="118"/>
    </row>
    <row r="431" ht="15.75" customHeight="1">
      <c r="A431" s="133">
        <v>45817.0</v>
      </c>
      <c r="B431" s="134" t="s">
        <v>353</v>
      </c>
      <c r="C431" s="135" t="s">
        <v>354</v>
      </c>
      <c r="D431" s="117">
        <f>37+45+48+16</f>
        <v>146</v>
      </c>
      <c r="E431" s="118"/>
      <c r="F431" s="118"/>
      <c r="G431" s="118"/>
      <c r="H431" s="118"/>
      <c r="I431" s="118"/>
    </row>
    <row r="432" ht="15.75" customHeight="1">
      <c r="A432" s="117"/>
      <c r="B432" s="134" t="s">
        <v>355</v>
      </c>
      <c r="C432" s="135" t="s">
        <v>356</v>
      </c>
      <c r="D432" s="117">
        <f>40+35+52+50</f>
        <v>177</v>
      </c>
      <c r="E432" s="118"/>
      <c r="F432" s="118"/>
      <c r="G432" s="118"/>
      <c r="H432" s="118"/>
      <c r="I432" s="118"/>
    </row>
    <row r="433" ht="15.75" customHeight="1">
      <c r="A433" s="117"/>
      <c r="B433" s="31" t="s">
        <v>357</v>
      </c>
      <c r="C433" s="31" t="s">
        <v>358</v>
      </c>
      <c r="D433" s="117">
        <f>36</f>
        <v>36</v>
      </c>
      <c r="E433" s="118"/>
      <c r="F433" s="118"/>
      <c r="G433" s="118"/>
      <c r="H433" s="118"/>
      <c r="I433" s="118"/>
    </row>
    <row r="434" ht="15.75" customHeight="1">
      <c r="A434" s="117"/>
      <c r="B434" s="31" t="s">
        <v>313</v>
      </c>
      <c r="C434" s="31" t="s">
        <v>314</v>
      </c>
      <c r="D434" s="121">
        <v>10.0</v>
      </c>
      <c r="E434" s="118"/>
      <c r="F434" s="118"/>
      <c r="G434" s="118"/>
      <c r="H434" s="118"/>
      <c r="I434" s="118"/>
    </row>
    <row r="435" ht="15.75" customHeight="1">
      <c r="A435" s="117"/>
      <c r="B435" s="31" t="s">
        <v>321</v>
      </c>
      <c r="C435" s="31" t="s">
        <v>322</v>
      </c>
      <c r="D435" s="121">
        <v>28.0</v>
      </c>
      <c r="E435" s="118"/>
      <c r="F435" s="118"/>
      <c r="G435" s="118"/>
      <c r="H435" s="118"/>
      <c r="I435" s="118"/>
    </row>
    <row r="436" ht="15.75" customHeight="1">
      <c r="A436" s="117"/>
      <c r="B436" s="31" t="s">
        <v>331</v>
      </c>
      <c r="C436" s="31" t="s">
        <v>332</v>
      </c>
      <c r="D436" s="121">
        <f>19+18</f>
        <v>37</v>
      </c>
      <c r="E436" s="118"/>
      <c r="F436" s="118"/>
      <c r="G436" s="118"/>
      <c r="H436" s="118"/>
      <c r="I436" s="118"/>
    </row>
    <row r="437" ht="15.75" customHeight="1">
      <c r="A437" s="117"/>
      <c r="B437" s="31" t="s">
        <v>327</v>
      </c>
      <c r="C437" s="31" t="s">
        <v>328</v>
      </c>
      <c r="D437" s="121">
        <v>16.0</v>
      </c>
      <c r="E437" s="118"/>
      <c r="F437" s="118"/>
      <c r="G437" s="118"/>
      <c r="H437" s="118"/>
      <c r="I437" s="118"/>
    </row>
    <row r="438" ht="15.75" customHeight="1">
      <c r="A438" s="117"/>
      <c r="B438" s="31" t="s">
        <v>351</v>
      </c>
      <c r="C438" s="31" t="s">
        <v>352</v>
      </c>
      <c r="D438" s="121">
        <v>17.0</v>
      </c>
      <c r="E438" s="118"/>
      <c r="F438" s="118"/>
      <c r="G438" s="118"/>
      <c r="H438" s="118"/>
      <c r="I438" s="118"/>
    </row>
    <row r="439" ht="15.75" customHeight="1">
      <c r="A439" s="117"/>
      <c r="B439" s="31" t="s">
        <v>277</v>
      </c>
      <c r="C439" s="31" t="s">
        <v>278</v>
      </c>
      <c r="D439" s="121">
        <v>22.0</v>
      </c>
      <c r="E439" s="118"/>
      <c r="F439" s="118"/>
      <c r="G439" s="118"/>
      <c r="H439" s="118"/>
      <c r="I439" s="118"/>
    </row>
    <row r="440" ht="15.75" customHeight="1">
      <c r="A440" s="117"/>
      <c r="B440" s="31" t="s">
        <v>359</v>
      </c>
      <c r="C440" s="31" t="s">
        <v>360</v>
      </c>
      <c r="D440" s="121">
        <v>17.0</v>
      </c>
      <c r="E440" s="118"/>
      <c r="F440" s="118"/>
      <c r="G440" s="118"/>
      <c r="H440" s="118"/>
      <c r="I440" s="118"/>
    </row>
    <row r="441" ht="15.75" customHeight="1">
      <c r="A441" s="117"/>
      <c r="B441" s="31" t="s">
        <v>295</v>
      </c>
      <c r="C441" s="31" t="s">
        <v>296</v>
      </c>
      <c r="D441" s="121">
        <v>28.0</v>
      </c>
      <c r="E441" s="118"/>
      <c r="F441" s="118"/>
      <c r="G441" s="118"/>
      <c r="H441" s="118"/>
      <c r="I441" s="118"/>
    </row>
    <row r="442" ht="15.75" customHeight="1">
      <c r="A442" s="117"/>
      <c r="B442" s="31" t="s">
        <v>361</v>
      </c>
      <c r="C442" s="31" t="s">
        <v>362</v>
      </c>
      <c r="D442" s="121">
        <v>6.0</v>
      </c>
      <c r="E442" s="118"/>
      <c r="F442" s="118"/>
      <c r="G442" s="118"/>
      <c r="H442" s="118"/>
      <c r="I442" s="118"/>
    </row>
    <row r="443" ht="15.75" customHeight="1">
      <c r="A443" s="117"/>
      <c r="B443" s="114"/>
      <c r="C443" s="131"/>
      <c r="D443" s="117"/>
      <c r="E443" s="118"/>
      <c r="F443" s="118"/>
      <c r="G443" s="118"/>
      <c r="H443" s="118"/>
      <c r="I443" s="118"/>
    </row>
    <row r="444" ht="15.75" customHeight="1">
      <c r="A444" s="133">
        <v>45818.0</v>
      </c>
      <c r="B444" s="134" t="s">
        <v>363</v>
      </c>
      <c r="C444" s="135" t="s">
        <v>364</v>
      </c>
      <c r="D444" s="121">
        <v>36.0</v>
      </c>
      <c r="E444" s="118"/>
      <c r="F444" s="118"/>
      <c r="G444" s="118"/>
      <c r="H444" s="118"/>
      <c r="I444" s="118"/>
    </row>
    <row r="445" ht="15.75" customHeight="1">
      <c r="A445" s="117"/>
      <c r="B445" s="134" t="s">
        <v>365</v>
      </c>
      <c r="C445" s="135" t="s">
        <v>366</v>
      </c>
      <c r="D445" s="117">
        <f>50+45+39</f>
        <v>134</v>
      </c>
      <c r="E445" s="118"/>
      <c r="F445" s="118"/>
      <c r="G445" s="118"/>
      <c r="H445" s="118"/>
      <c r="I445" s="118"/>
    </row>
    <row r="446" ht="15.75" customHeight="1">
      <c r="A446" s="117"/>
      <c r="B446" s="31" t="s">
        <v>357</v>
      </c>
      <c r="C446" s="31" t="s">
        <v>358</v>
      </c>
      <c r="D446" s="117">
        <f>28+38+33+33+33</f>
        <v>165</v>
      </c>
      <c r="E446" s="118"/>
      <c r="F446" s="118"/>
      <c r="G446" s="118"/>
      <c r="H446" s="118"/>
      <c r="I446" s="118"/>
    </row>
    <row r="447" ht="15.75" customHeight="1">
      <c r="A447" s="117"/>
      <c r="B447" s="31" t="s">
        <v>367</v>
      </c>
      <c r="C447" s="31" t="s">
        <v>368</v>
      </c>
      <c r="D447" s="121">
        <v>44.0</v>
      </c>
      <c r="E447" s="118"/>
      <c r="F447" s="118"/>
      <c r="G447" s="118"/>
      <c r="H447" s="118"/>
      <c r="I447" s="118"/>
    </row>
    <row r="448" ht="15.75" customHeight="1">
      <c r="A448" s="117"/>
      <c r="B448" s="31" t="s">
        <v>369</v>
      </c>
      <c r="C448" s="31" t="s">
        <v>370</v>
      </c>
      <c r="D448" s="121">
        <v>33.0</v>
      </c>
      <c r="E448" s="118"/>
      <c r="F448" s="118"/>
      <c r="G448" s="118"/>
      <c r="H448" s="118"/>
      <c r="I448" s="118"/>
    </row>
    <row r="449" ht="15.75" customHeight="1">
      <c r="A449" s="117"/>
      <c r="B449" s="31" t="s">
        <v>331</v>
      </c>
      <c r="C449" s="31" t="s">
        <v>332</v>
      </c>
      <c r="D449" s="121">
        <v>6.0</v>
      </c>
      <c r="E449" s="118"/>
      <c r="F449" s="118"/>
      <c r="G449" s="118"/>
      <c r="H449" s="118"/>
      <c r="I449" s="118"/>
    </row>
    <row r="450" ht="15.75" customHeight="1">
      <c r="A450" s="117"/>
      <c r="B450" s="31" t="s">
        <v>351</v>
      </c>
      <c r="C450" s="31" t="s">
        <v>352</v>
      </c>
      <c r="D450" s="121">
        <v>12.0</v>
      </c>
      <c r="E450" s="118"/>
      <c r="F450" s="118"/>
      <c r="G450" s="118"/>
      <c r="H450" s="118"/>
      <c r="I450" s="118"/>
    </row>
    <row r="451" ht="15.75" customHeight="1">
      <c r="A451" s="117"/>
      <c r="B451" s="31" t="s">
        <v>295</v>
      </c>
      <c r="C451" s="31" t="s">
        <v>296</v>
      </c>
      <c r="D451" s="121">
        <v>31.0</v>
      </c>
      <c r="E451" s="118"/>
      <c r="F451" s="118"/>
      <c r="G451" s="118"/>
      <c r="H451" s="118"/>
      <c r="I451" s="118"/>
    </row>
    <row r="452" ht="15.75" customHeight="1">
      <c r="A452" s="117"/>
      <c r="B452" s="31" t="s">
        <v>277</v>
      </c>
      <c r="C452" s="31" t="s">
        <v>278</v>
      </c>
      <c r="D452" s="121">
        <v>28.0</v>
      </c>
      <c r="E452" s="118"/>
      <c r="F452" s="118"/>
      <c r="G452" s="118"/>
      <c r="H452" s="118"/>
      <c r="I452" s="118"/>
    </row>
    <row r="453" ht="15.75" customHeight="1">
      <c r="A453" s="117"/>
      <c r="B453" s="31" t="s">
        <v>371</v>
      </c>
      <c r="C453" s="31" t="s">
        <v>372</v>
      </c>
      <c r="D453" s="121">
        <v>8.0</v>
      </c>
      <c r="E453" s="118"/>
      <c r="F453" s="118"/>
      <c r="G453" s="118"/>
      <c r="H453" s="118"/>
      <c r="I453" s="118"/>
    </row>
    <row r="454" ht="15.75" customHeight="1">
      <c r="A454" s="117"/>
      <c r="B454" s="31" t="s">
        <v>337</v>
      </c>
      <c r="C454" s="31" t="s">
        <v>338</v>
      </c>
      <c r="D454" s="121">
        <v>12.0</v>
      </c>
      <c r="E454" s="118"/>
      <c r="F454" s="118"/>
      <c r="G454" s="118"/>
      <c r="H454" s="118"/>
      <c r="I454" s="118"/>
    </row>
    <row r="455" ht="15.75" customHeight="1">
      <c r="A455" s="117"/>
      <c r="B455" s="125" t="s">
        <v>279</v>
      </c>
      <c r="C455" s="125" t="s">
        <v>280</v>
      </c>
      <c r="D455" s="121">
        <v>4.0</v>
      </c>
      <c r="E455" s="118"/>
      <c r="F455" s="118"/>
      <c r="G455" s="118"/>
      <c r="H455" s="118"/>
      <c r="I455" s="118"/>
    </row>
    <row r="456" ht="15.75" customHeight="1">
      <c r="A456" s="117"/>
      <c r="B456" s="125" t="s">
        <v>351</v>
      </c>
      <c r="C456" s="125" t="s">
        <v>352</v>
      </c>
      <c r="D456" s="121">
        <v>30.0</v>
      </c>
      <c r="E456" s="118"/>
      <c r="F456" s="118"/>
      <c r="G456" s="118"/>
      <c r="H456" s="118"/>
      <c r="I456" s="118"/>
    </row>
    <row r="457" ht="15.75" customHeight="1">
      <c r="A457" s="117"/>
      <c r="B457" s="31" t="s">
        <v>283</v>
      </c>
      <c r="C457" s="31" t="s">
        <v>284</v>
      </c>
      <c r="D457" s="121">
        <v>17.0</v>
      </c>
      <c r="E457" s="118"/>
      <c r="F457" s="118"/>
      <c r="G457" s="118"/>
      <c r="H457" s="118"/>
      <c r="I457" s="118"/>
    </row>
    <row r="458" ht="15.75" customHeight="1">
      <c r="A458" s="117"/>
      <c r="B458" s="114"/>
      <c r="C458" s="131"/>
      <c r="D458" s="117"/>
      <c r="E458" s="118"/>
      <c r="F458" s="118"/>
      <c r="G458" s="118"/>
      <c r="H458" s="118"/>
      <c r="I458" s="118"/>
    </row>
    <row r="459" ht="15.75" customHeight="1">
      <c r="A459" s="133">
        <v>45819.0</v>
      </c>
      <c r="B459" s="134" t="s">
        <v>373</v>
      </c>
      <c r="C459" s="135" t="s">
        <v>374</v>
      </c>
      <c r="D459" s="117">
        <f>43+30+12</f>
        <v>85</v>
      </c>
      <c r="E459" s="118"/>
      <c r="F459" s="118"/>
      <c r="G459" s="118"/>
      <c r="H459" s="118"/>
      <c r="I459" s="118"/>
    </row>
    <row r="460" ht="15.75" customHeight="1">
      <c r="A460" s="117"/>
      <c r="B460" s="31" t="s">
        <v>375</v>
      </c>
      <c r="C460" s="31" t="s">
        <v>376</v>
      </c>
      <c r="D460" s="121">
        <v>35.0</v>
      </c>
      <c r="E460" s="118"/>
      <c r="F460" s="118"/>
      <c r="G460" s="118"/>
      <c r="H460" s="118"/>
      <c r="I460" s="118"/>
    </row>
    <row r="461" ht="15.75" customHeight="1">
      <c r="A461" s="117"/>
      <c r="B461" s="31" t="s">
        <v>357</v>
      </c>
      <c r="C461" s="31" t="s">
        <v>358</v>
      </c>
      <c r="D461" s="121">
        <v>33.0</v>
      </c>
      <c r="E461" s="118"/>
      <c r="F461" s="118"/>
      <c r="G461" s="118"/>
      <c r="H461" s="118"/>
      <c r="I461" s="118"/>
    </row>
    <row r="462" ht="15.75" customHeight="1">
      <c r="A462" s="117"/>
      <c r="B462" s="134" t="s">
        <v>355</v>
      </c>
      <c r="C462" s="135" t="s">
        <v>356</v>
      </c>
      <c r="D462" s="121">
        <v>50.0</v>
      </c>
      <c r="E462" s="118"/>
      <c r="F462" s="118"/>
      <c r="G462" s="118"/>
      <c r="H462" s="118"/>
      <c r="I462" s="118"/>
    </row>
    <row r="463" ht="15.75" customHeight="1">
      <c r="A463" s="117"/>
      <c r="B463" s="31" t="s">
        <v>327</v>
      </c>
      <c r="C463" s="31" t="s">
        <v>328</v>
      </c>
      <c r="D463" s="121">
        <v>20.0</v>
      </c>
      <c r="E463" s="118"/>
      <c r="F463" s="118"/>
      <c r="G463" s="118"/>
      <c r="H463" s="118"/>
      <c r="I463" s="118"/>
    </row>
    <row r="464" ht="15.75" customHeight="1">
      <c r="A464" s="117"/>
      <c r="B464" s="31" t="s">
        <v>277</v>
      </c>
      <c r="C464" s="31" t="s">
        <v>278</v>
      </c>
      <c r="D464" s="121">
        <v>32.0</v>
      </c>
      <c r="E464" s="118"/>
      <c r="F464" s="118"/>
      <c r="G464" s="118"/>
      <c r="H464" s="118"/>
      <c r="I464" s="118"/>
    </row>
    <row r="465" ht="15.75" customHeight="1">
      <c r="A465" s="117"/>
      <c r="B465" s="31" t="s">
        <v>377</v>
      </c>
      <c r="C465" s="31" t="s">
        <v>378</v>
      </c>
      <c r="D465" s="117">
        <f>10+27</f>
        <v>37</v>
      </c>
      <c r="E465" s="118"/>
      <c r="F465" s="118"/>
      <c r="G465" s="118"/>
      <c r="H465" s="118"/>
      <c r="I465" s="118"/>
    </row>
    <row r="466" ht="15.75" customHeight="1">
      <c r="A466" s="117"/>
      <c r="B466" s="31" t="s">
        <v>367</v>
      </c>
      <c r="C466" s="31" t="s">
        <v>368</v>
      </c>
      <c r="D466" s="121">
        <v>23.0</v>
      </c>
      <c r="E466" s="118"/>
      <c r="F466" s="118"/>
      <c r="G466" s="118"/>
      <c r="H466" s="118"/>
      <c r="I466" s="118"/>
    </row>
    <row r="467" ht="15.75" customHeight="1">
      <c r="A467" s="117"/>
      <c r="B467" s="31" t="s">
        <v>339</v>
      </c>
      <c r="C467" s="31" t="s">
        <v>340</v>
      </c>
      <c r="D467" s="121">
        <v>22.0</v>
      </c>
      <c r="E467" s="118"/>
      <c r="F467" s="118"/>
      <c r="G467" s="118"/>
      <c r="H467" s="118"/>
      <c r="I467" s="118"/>
    </row>
    <row r="468" ht="15.75" customHeight="1">
      <c r="A468" s="117"/>
      <c r="B468" s="31" t="s">
        <v>337</v>
      </c>
      <c r="C468" s="31" t="s">
        <v>338</v>
      </c>
      <c r="D468" s="121">
        <v>9.0</v>
      </c>
      <c r="E468" s="118"/>
      <c r="F468" s="118"/>
      <c r="G468" s="118"/>
      <c r="H468" s="118"/>
      <c r="I468" s="118"/>
    </row>
    <row r="469" ht="15.75" customHeight="1">
      <c r="A469" s="117"/>
      <c r="B469" s="125" t="s">
        <v>379</v>
      </c>
      <c r="C469" s="125" t="s">
        <v>380</v>
      </c>
      <c r="D469" s="117">
        <f>21+20</f>
        <v>41</v>
      </c>
      <c r="E469" s="118"/>
      <c r="F469" s="118"/>
      <c r="G469" s="118"/>
      <c r="H469" s="118"/>
      <c r="I469" s="118"/>
    </row>
    <row r="470" ht="15.75" customHeight="1">
      <c r="A470" s="117"/>
      <c r="B470" s="125" t="s">
        <v>351</v>
      </c>
      <c r="C470" s="125" t="s">
        <v>352</v>
      </c>
      <c r="D470" s="121">
        <v>9.0</v>
      </c>
      <c r="E470" s="118"/>
      <c r="F470" s="118"/>
      <c r="G470" s="118"/>
      <c r="H470" s="118"/>
      <c r="I470" s="118"/>
    </row>
    <row r="471" ht="15.75" customHeight="1">
      <c r="A471" s="117"/>
      <c r="B471" s="114"/>
      <c r="C471" s="131"/>
      <c r="D471" s="117"/>
      <c r="E471" s="118"/>
      <c r="F471" s="118"/>
      <c r="G471" s="118"/>
      <c r="H471" s="118"/>
      <c r="I471" s="118"/>
    </row>
    <row r="472" ht="15.75" customHeight="1">
      <c r="A472" s="133">
        <v>45820.0</v>
      </c>
      <c r="B472" s="134" t="s">
        <v>381</v>
      </c>
      <c r="C472" s="135" t="s">
        <v>382</v>
      </c>
      <c r="D472" s="117">
        <f>36+62+48+62</f>
        <v>208</v>
      </c>
      <c r="E472" s="118"/>
      <c r="F472" s="118"/>
      <c r="G472" s="118"/>
      <c r="H472" s="118"/>
      <c r="I472" s="118"/>
    </row>
    <row r="473" ht="15.75" customHeight="1">
      <c r="A473" s="117"/>
      <c r="B473" s="134" t="s">
        <v>291</v>
      </c>
      <c r="C473" s="135" t="s">
        <v>292</v>
      </c>
      <c r="D473" s="117">
        <f>35+46+53+53+52</f>
        <v>239</v>
      </c>
      <c r="E473" s="118"/>
      <c r="F473" s="118"/>
      <c r="G473" s="118"/>
      <c r="H473" s="118"/>
      <c r="I473" s="118"/>
    </row>
    <row r="474" ht="15.75" customHeight="1">
      <c r="A474" s="117"/>
      <c r="B474" s="31" t="s">
        <v>375</v>
      </c>
      <c r="C474" s="31" t="s">
        <v>376</v>
      </c>
      <c r="D474" s="117">
        <f>35</f>
        <v>35</v>
      </c>
      <c r="E474" s="118"/>
      <c r="F474" s="118"/>
      <c r="G474" s="118"/>
      <c r="H474" s="118"/>
      <c r="I474" s="118"/>
    </row>
    <row r="475" ht="15.75" customHeight="1">
      <c r="A475" s="117"/>
      <c r="B475" s="31" t="s">
        <v>377</v>
      </c>
      <c r="C475" s="31" t="s">
        <v>378</v>
      </c>
      <c r="D475" s="121">
        <v>12.0</v>
      </c>
      <c r="E475" s="118"/>
      <c r="F475" s="118"/>
      <c r="G475" s="118"/>
      <c r="H475" s="118"/>
      <c r="I475" s="118"/>
    </row>
    <row r="476" ht="15.75" customHeight="1">
      <c r="A476" s="117"/>
      <c r="B476" s="31" t="s">
        <v>367</v>
      </c>
      <c r="C476" s="31" t="s">
        <v>368</v>
      </c>
      <c r="D476" s="121">
        <v>14.0</v>
      </c>
      <c r="E476" s="118"/>
      <c r="F476" s="118"/>
      <c r="G476" s="118"/>
      <c r="H476" s="118"/>
      <c r="I476" s="118"/>
    </row>
    <row r="477" ht="15.75" customHeight="1">
      <c r="A477" s="117"/>
      <c r="B477" s="31" t="s">
        <v>383</v>
      </c>
      <c r="C477" s="31" t="s">
        <v>384</v>
      </c>
      <c r="D477" s="121">
        <v>32.0</v>
      </c>
      <c r="E477" s="118"/>
      <c r="F477" s="118"/>
      <c r="G477" s="118"/>
      <c r="H477" s="118"/>
      <c r="I477" s="118"/>
    </row>
    <row r="478" ht="15.75" customHeight="1">
      <c r="A478" s="117"/>
      <c r="B478" s="31" t="s">
        <v>337</v>
      </c>
      <c r="C478" s="31" t="s">
        <v>338</v>
      </c>
      <c r="D478" s="121">
        <v>12.0</v>
      </c>
      <c r="E478" s="118"/>
      <c r="F478" s="118"/>
      <c r="G478" s="118"/>
      <c r="H478" s="118"/>
      <c r="I478" s="118"/>
    </row>
    <row r="479" ht="15.75" customHeight="1">
      <c r="A479" s="117"/>
      <c r="B479" s="31" t="s">
        <v>385</v>
      </c>
      <c r="C479" s="31" t="s">
        <v>386</v>
      </c>
      <c r="D479" s="121">
        <v>10.0</v>
      </c>
      <c r="E479" s="118"/>
      <c r="F479" s="118"/>
      <c r="G479" s="118"/>
      <c r="H479" s="118"/>
      <c r="I479" s="118"/>
    </row>
    <row r="480" ht="15.75" customHeight="1">
      <c r="A480" s="117"/>
      <c r="B480" s="31" t="s">
        <v>277</v>
      </c>
      <c r="C480" s="31" t="s">
        <v>278</v>
      </c>
      <c r="D480" s="121">
        <v>15.0</v>
      </c>
      <c r="E480" s="118"/>
      <c r="F480" s="118"/>
      <c r="G480" s="118"/>
      <c r="H480" s="118"/>
      <c r="I480" s="118"/>
    </row>
    <row r="481" ht="15.75" customHeight="1">
      <c r="A481" s="117"/>
      <c r="B481" s="31" t="s">
        <v>387</v>
      </c>
      <c r="C481" s="31" t="s">
        <v>388</v>
      </c>
      <c r="D481" s="121">
        <v>25.0</v>
      </c>
      <c r="E481" s="118"/>
      <c r="F481" s="118"/>
      <c r="G481" s="118"/>
      <c r="H481" s="118"/>
      <c r="I481" s="118"/>
    </row>
    <row r="482" ht="15.75" customHeight="1">
      <c r="A482" s="117"/>
      <c r="B482" s="125" t="s">
        <v>351</v>
      </c>
      <c r="C482" s="125" t="s">
        <v>352</v>
      </c>
      <c r="D482" s="121">
        <v>26.0</v>
      </c>
      <c r="E482" s="118"/>
      <c r="F482" s="118"/>
      <c r="G482" s="118"/>
      <c r="H482" s="118"/>
      <c r="I482" s="118"/>
    </row>
    <row r="483" ht="15.75" customHeight="1">
      <c r="A483" s="117"/>
      <c r="B483" s="31" t="s">
        <v>337</v>
      </c>
      <c r="C483" s="31" t="s">
        <v>338</v>
      </c>
      <c r="D483" s="121">
        <v>11.0</v>
      </c>
      <c r="E483" s="118"/>
      <c r="F483" s="118"/>
      <c r="G483" s="118"/>
      <c r="H483" s="118"/>
      <c r="I483" s="118"/>
    </row>
    <row r="484" ht="15.75" customHeight="1">
      <c r="A484" s="117"/>
      <c r="B484" s="31" t="s">
        <v>311</v>
      </c>
      <c r="C484" s="31" t="s">
        <v>312</v>
      </c>
      <c r="D484" s="121">
        <v>15.0</v>
      </c>
      <c r="E484" s="118"/>
      <c r="F484" s="118"/>
      <c r="G484" s="118"/>
      <c r="H484" s="118"/>
      <c r="I484" s="118"/>
    </row>
    <row r="485" ht="15.75" customHeight="1">
      <c r="A485" s="117"/>
      <c r="B485" s="31" t="s">
        <v>335</v>
      </c>
      <c r="C485" s="31" t="s">
        <v>336</v>
      </c>
      <c r="D485" s="121">
        <v>13.0</v>
      </c>
      <c r="E485" s="118"/>
      <c r="F485" s="118"/>
      <c r="G485" s="118"/>
      <c r="H485" s="118"/>
      <c r="I485" s="118"/>
    </row>
    <row r="486" ht="15.75" customHeight="1">
      <c r="A486" s="117"/>
      <c r="B486" s="31" t="s">
        <v>389</v>
      </c>
      <c r="C486" s="31" t="s">
        <v>390</v>
      </c>
      <c r="D486" s="121">
        <v>11.0</v>
      </c>
      <c r="E486" s="118"/>
      <c r="F486" s="118"/>
      <c r="G486" s="118"/>
      <c r="H486" s="118"/>
      <c r="I486" s="118"/>
    </row>
    <row r="487" ht="15.75" customHeight="1">
      <c r="A487" s="117"/>
      <c r="B487" s="114"/>
      <c r="C487" s="131"/>
      <c r="D487" s="117"/>
      <c r="E487" s="118"/>
      <c r="F487" s="118"/>
      <c r="G487" s="118"/>
      <c r="H487" s="118"/>
      <c r="I487" s="118"/>
    </row>
    <row r="488" ht="15.75" customHeight="1">
      <c r="A488" s="133">
        <v>45821.0</v>
      </c>
      <c r="B488" s="134" t="s">
        <v>381</v>
      </c>
      <c r="C488" s="135" t="s">
        <v>382</v>
      </c>
      <c r="D488" s="121">
        <v>32.0</v>
      </c>
      <c r="E488" s="118"/>
      <c r="F488" s="118"/>
      <c r="G488" s="118"/>
      <c r="H488" s="118"/>
      <c r="I488" s="118"/>
    </row>
    <row r="489" ht="15.75" customHeight="1">
      <c r="A489" s="117"/>
      <c r="B489" s="130" t="s">
        <v>391</v>
      </c>
      <c r="C489" s="130" t="s">
        <v>392</v>
      </c>
      <c r="D489" s="117">
        <f>22+38+51</f>
        <v>111</v>
      </c>
      <c r="E489" s="118"/>
      <c r="F489" s="118"/>
      <c r="G489" s="118"/>
      <c r="H489" s="118"/>
      <c r="I489" s="118"/>
    </row>
    <row r="490" ht="15.75" customHeight="1">
      <c r="A490" s="117"/>
      <c r="B490" s="130" t="s">
        <v>289</v>
      </c>
      <c r="C490" s="130" t="s">
        <v>290</v>
      </c>
      <c r="D490" s="117">
        <f>28</f>
        <v>28</v>
      </c>
      <c r="E490" s="118"/>
      <c r="F490" s="118"/>
      <c r="G490" s="118"/>
      <c r="H490" s="118"/>
      <c r="I490" s="118"/>
    </row>
    <row r="491" ht="15.75" customHeight="1">
      <c r="A491" s="117"/>
      <c r="B491" s="134" t="s">
        <v>291</v>
      </c>
      <c r="C491" s="135" t="s">
        <v>292</v>
      </c>
      <c r="D491" s="117">
        <f>22+55</f>
        <v>77</v>
      </c>
      <c r="E491" s="118"/>
      <c r="F491" s="118"/>
      <c r="G491" s="118"/>
      <c r="H491" s="118"/>
      <c r="I491" s="118"/>
    </row>
    <row r="492" ht="15.75" customHeight="1">
      <c r="A492" s="117"/>
      <c r="B492" s="31" t="s">
        <v>357</v>
      </c>
      <c r="C492" s="31" t="s">
        <v>358</v>
      </c>
      <c r="D492" s="117">
        <f>33+30+33</f>
        <v>96</v>
      </c>
      <c r="E492" s="118"/>
      <c r="F492" s="118"/>
      <c r="G492" s="118"/>
      <c r="H492" s="118"/>
      <c r="I492" s="118"/>
    </row>
    <row r="493" ht="15.75" customHeight="1">
      <c r="A493" s="117"/>
      <c r="B493" s="31" t="s">
        <v>295</v>
      </c>
      <c r="C493" s="31" t="s">
        <v>296</v>
      </c>
      <c r="D493" s="121">
        <v>7.0</v>
      </c>
      <c r="E493" s="118"/>
      <c r="F493" s="118"/>
      <c r="G493" s="118"/>
      <c r="H493" s="118"/>
      <c r="I493" s="118"/>
    </row>
    <row r="494" ht="15.75" customHeight="1">
      <c r="A494" s="117"/>
      <c r="B494" s="31" t="s">
        <v>351</v>
      </c>
      <c r="C494" s="31" t="s">
        <v>352</v>
      </c>
      <c r="D494" s="121">
        <f>10+14</f>
        <v>24</v>
      </c>
      <c r="E494" s="118"/>
      <c r="F494" s="118"/>
      <c r="G494" s="118"/>
      <c r="H494" s="118"/>
      <c r="I494" s="118"/>
    </row>
    <row r="495" ht="15.75" customHeight="1">
      <c r="A495" s="117"/>
      <c r="B495" s="31" t="s">
        <v>337</v>
      </c>
      <c r="C495" s="31" t="s">
        <v>338</v>
      </c>
      <c r="D495" s="121">
        <f>11+20</f>
        <v>31</v>
      </c>
      <c r="E495" s="118"/>
      <c r="F495" s="118"/>
      <c r="G495" s="118"/>
      <c r="H495" s="118"/>
      <c r="I495" s="118"/>
    </row>
    <row r="496" ht="15.75" customHeight="1">
      <c r="A496" s="117"/>
      <c r="B496" s="31" t="s">
        <v>387</v>
      </c>
      <c r="C496" s="31" t="s">
        <v>388</v>
      </c>
      <c r="D496" s="121">
        <v>37.0</v>
      </c>
      <c r="E496" s="118"/>
      <c r="F496" s="118"/>
      <c r="G496" s="118"/>
      <c r="H496" s="118"/>
      <c r="I496" s="118"/>
    </row>
    <row r="497" ht="15.75" customHeight="1">
      <c r="A497" s="117"/>
      <c r="B497" s="31" t="s">
        <v>277</v>
      </c>
      <c r="C497" s="31" t="s">
        <v>278</v>
      </c>
      <c r="D497" s="121">
        <v>14.0</v>
      </c>
      <c r="E497" s="118"/>
      <c r="F497" s="118"/>
      <c r="G497" s="118"/>
      <c r="H497" s="118"/>
      <c r="I497" s="118"/>
    </row>
    <row r="498" ht="15.75" customHeight="1">
      <c r="A498" s="117"/>
      <c r="B498" s="31" t="s">
        <v>393</v>
      </c>
      <c r="C498" s="31" t="s">
        <v>394</v>
      </c>
      <c r="D498" s="121">
        <v>21.0</v>
      </c>
      <c r="E498" s="118"/>
      <c r="F498" s="118"/>
      <c r="G498" s="118"/>
      <c r="H498" s="118"/>
      <c r="I498" s="118"/>
    </row>
    <row r="499" ht="15.75" customHeight="1">
      <c r="A499" s="117"/>
      <c r="B499" s="31" t="s">
        <v>277</v>
      </c>
      <c r="C499" s="31" t="s">
        <v>278</v>
      </c>
      <c r="D499" s="121">
        <v>12.0</v>
      </c>
      <c r="E499" s="118"/>
      <c r="F499" s="118"/>
      <c r="G499" s="118"/>
      <c r="H499" s="118"/>
      <c r="I499" s="118"/>
    </row>
    <row r="500" ht="15.75" customHeight="1">
      <c r="A500" s="117"/>
      <c r="B500" s="31" t="s">
        <v>327</v>
      </c>
      <c r="C500" s="31" t="s">
        <v>328</v>
      </c>
      <c r="D500" s="121">
        <v>27.0</v>
      </c>
      <c r="E500" s="118"/>
      <c r="F500" s="118"/>
      <c r="G500" s="118"/>
      <c r="H500" s="118"/>
      <c r="I500" s="118"/>
    </row>
    <row r="501" ht="15.75" customHeight="1">
      <c r="A501" s="117"/>
      <c r="B501" s="125" t="s">
        <v>379</v>
      </c>
      <c r="C501" s="125" t="s">
        <v>380</v>
      </c>
      <c r="D501" s="121">
        <v>7.0</v>
      </c>
      <c r="E501" s="118"/>
      <c r="F501" s="118"/>
      <c r="G501" s="118"/>
      <c r="H501" s="118"/>
      <c r="I501" s="118"/>
    </row>
    <row r="502" ht="15.75" customHeight="1">
      <c r="A502" s="117"/>
      <c r="B502" s="31" t="s">
        <v>389</v>
      </c>
      <c r="C502" s="31" t="s">
        <v>390</v>
      </c>
      <c r="D502" s="121">
        <v>18.0</v>
      </c>
      <c r="E502" s="118"/>
      <c r="F502" s="118"/>
      <c r="G502" s="118"/>
      <c r="H502" s="118"/>
      <c r="I502" s="118"/>
    </row>
    <row r="503" ht="15.75" customHeight="1">
      <c r="A503" s="117"/>
      <c r="B503" s="114"/>
      <c r="C503" s="131"/>
      <c r="D503" s="117"/>
      <c r="E503" s="118"/>
      <c r="F503" s="118"/>
      <c r="G503" s="118"/>
      <c r="H503" s="118"/>
      <c r="I503" s="118"/>
    </row>
    <row r="504" ht="15.75" customHeight="1">
      <c r="A504" s="133">
        <v>45822.0</v>
      </c>
      <c r="B504" s="130" t="s">
        <v>289</v>
      </c>
      <c r="C504" s="130" t="s">
        <v>290</v>
      </c>
      <c r="D504" s="121">
        <v>190.0</v>
      </c>
      <c r="E504" s="118"/>
      <c r="F504" s="118"/>
      <c r="G504" s="118"/>
      <c r="H504" s="118"/>
      <c r="I504" s="118"/>
    </row>
    <row r="505" ht="15.75" customHeight="1">
      <c r="A505" s="117"/>
      <c r="B505" s="31" t="s">
        <v>357</v>
      </c>
      <c r="C505" s="31" t="s">
        <v>358</v>
      </c>
      <c r="D505" s="121">
        <v>71.0</v>
      </c>
      <c r="E505" s="118"/>
      <c r="F505" s="118"/>
      <c r="G505" s="118"/>
      <c r="H505" s="118"/>
      <c r="I505" s="118"/>
    </row>
    <row r="506" ht="15.75" customHeight="1">
      <c r="A506" s="117"/>
      <c r="B506" s="134" t="s">
        <v>291</v>
      </c>
      <c r="C506" s="135" t="s">
        <v>292</v>
      </c>
      <c r="D506" s="117">
        <f>56+55</f>
        <v>111</v>
      </c>
      <c r="E506" s="118"/>
      <c r="F506" s="118"/>
      <c r="G506" s="118"/>
      <c r="H506" s="118"/>
      <c r="I506" s="118"/>
    </row>
    <row r="507" ht="15.75" customHeight="1">
      <c r="A507" s="117"/>
      <c r="B507" s="31" t="s">
        <v>377</v>
      </c>
      <c r="C507" s="31" t="s">
        <v>378</v>
      </c>
      <c r="D507" s="121">
        <v>28.0</v>
      </c>
      <c r="E507" s="118"/>
      <c r="F507" s="118"/>
      <c r="G507" s="118"/>
      <c r="H507" s="118"/>
      <c r="I507" s="118"/>
    </row>
    <row r="508" ht="15.75" customHeight="1">
      <c r="A508" s="117"/>
      <c r="B508" s="31" t="s">
        <v>295</v>
      </c>
      <c r="C508" s="31" t="s">
        <v>296</v>
      </c>
      <c r="D508" s="121">
        <v>25.0</v>
      </c>
      <c r="E508" s="118"/>
      <c r="F508" s="118"/>
      <c r="G508" s="118"/>
      <c r="H508" s="118"/>
      <c r="I508" s="118"/>
    </row>
    <row r="509" ht="15.75" customHeight="1">
      <c r="A509" s="117"/>
      <c r="B509" s="31" t="s">
        <v>277</v>
      </c>
      <c r="C509" s="31" t="s">
        <v>278</v>
      </c>
      <c r="D509" s="121">
        <v>20.0</v>
      </c>
      <c r="E509" s="118"/>
      <c r="F509" s="118"/>
      <c r="G509" s="118"/>
      <c r="H509" s="118"/>
      <c r="I509" s="118"/>
    </row>
    <row r="510" ht="15.75" customHeight="1">
      <c r="A510" s="117"/>
      <c r="B510" s="31" t="s">
        <v>301</v>
      </c>
      <c r="C510" s="31" t="s">
        <v>302</v>
      </c>
      <c r="D510" s="121">
        <v>15.0</v>
      </c>
      <c r="E510" s="118"/>
      <c r="F510" s="118"/>
      <c r="G510" s="118"/>
      <c r="H510" s="118"/>
      <c r="I510" s="118"/>
    </row>
    <row r="511" ht="15.75" customHeight="1">
      <c r="A511" s="117"/>
      <c r="B511" s="31" t="s">
        <v>351</v>
      </c>
      <c r="C511" s="31" t="s">
        <v>352</v>
      </c>
      <c r="D511" s="121">
        <v>18.0</v>
      </c>
      <c r="E511" s="118"/>
      <c r="F511" s="118"/>
      <c r="G511" s="118"/>
      <c r="H511" s="118"/>
      <c r="I511" s="118"/>
    </row>
    <row r="512" ht="15.75" customHeight="1">
      <c r="A512" s="117"/>
      <c r="B512" s="125" t="s">
        <v>379</v>
      </c>
      <c r="C512" s="125" t="s">
        <v>380</v>
      </c>
      <c r="D512" s="121">
        <v>14.0</v>
      </c>
      <c r="E512" s="118"/>
      <c r="F512" s="118"/>
      <c r="G512" s="118"/>
      <c r="H512" s="118"/>
      <c r="I512" s="118"/>
    </row>
    <row r="513" ht="15.75" customHeight="1">
      <c r="A513" s="117"/>
      <c r="B513" s="31" t="s">
        <v>395</v>
      </c>
      <c r="C513" s="31" t="s">
        <v>396</v>
      </c>
      <c r="D513" s="117">
        <f>16</f>
        <v>16</v>
      </c>
      <c r="E513" s="118"/>
      <c r="F513" s="118"/>
      <c r="G513" s="118"/>
      <c r="H513" s="118"/>
      <c r="I513" s="118"/>
    </row>
    <row r="514" ht="15.75" customHeight="1">
      <c r="A514" s="117"/>
      <c r="B514" s="31" t="s">
        <v>383</v>
      </c>
      <c r="C514" s="31" t="s">
        <v>384</v>
      </c>
      <c r="D514" s="117">
        <f>52</f>
        <v>52</v>
      </c>
      <c r="E514" s="118"/>
      <c r="F514" s="118"/>
      <c r="G514" s="118"/>
      <c r="H514" s="118"/>
      <c r="I514" s="118"/>
    </row>
    <row r="515" ht="15.75" customHeight="1">
      <c r="A515" s="117"/>
      <c r="B515" s="31" t="s">
        <v>371</v>
      </c>
      <c r="C515" s="31" t="s">
        <v>372</v>
      </c>
      <c r="D515" s="121">
        <v>31.0</v>
      </c>
      <c r="E515" s="118"/>
      <c r="F515" s="118"/>
      <c r="G515" s="118"/>
      <c r="H515" s="118"/>
      <c r="I515" s="118"/>
    </row>
    <row r="516" ht="15.75" customHeight="1">
      <c r="A516" s="117"/>
      <c r="B516" s="114"/>
      <c r="C516" s="131"/>
      <c r="D516" s="117"/>
      <c r="E516" s="118"/>
      <c r="F516" s="118"/>
      <c r="G516" s="118"/>
      <c r="H516" s="118"/>
      <c r="I516" s="118"/>
    </row>
    <row r="517" ht="15.75" customHeight="1">
      <c r="A517" s="133">
        <v>45824.0</v>
      </c>
      <c r="B517" s="130" t="s">
        <v>397</v>
      </c>
      <c r="C517" s="130" t="s">
        <v>398</v>
      </c>
      <c r="D517" s="117">
        <f>63+65</f>
        <v>128</v>
      </c>
      <c r="E517" s="118"/>
      <c r="F517" s="118"/>
      <c r="G517" s="118"/>
      <c r="H517" s="118"/>
      <c r="I517" s="118"/>
    </row>
    <row r="518" ht="15.75" customHeight="1">
      <c r="A518" s="117"/>
      <c r="B518" s="134" t="s">
        <v>399</v>
      </c>
      <c r="C518" s="135" t="s">
        <v>400</v>
      </c>
      <c r="D518" s="117">
        <f>45+42</f>
        <v>87</v>
      </c>
      <c r="E518" s="118"/>
      <c r="F518" s="118"/>
      <c r="G518" s="118"/>
      <c r="H518" s="118"/>
      <c r="I518" s="118"/>
    </row>
    <row r="519" ht="15.75" customHeight="1">
      <c r="A519" s="117"/>
      <c r="B519" s="134" t="s">
        <v>401</v>
      </c>
      <c r="C519" s="135" t="s">
        <v>402</v>
      </c>
      <c r="D519" s="117">
        <f>55+44</f>
        <v>99</v>
      </c>
      <c r="E519" s="118"/>
      <c r="F519" s="118"/>
      <c r="G519" s="118"/>
      <c r="H519" s="118"/>
      <c r="I519" s="118"/>
    </row>
    <row r="520" ht="15.75" customHeight="1">
      <c r="A520" s="117"/>
      <c r="B520" s="31" t="s">
        <v>327</v>
      </c>
      <c r="C520" s="31" t="s">
        <v>328</v>
      </c>
      <c r="D520" s="121">
        <f>12+22</f>
        <v>34</v>
      </c>
      <c r="E520" s="118"/>
      <c r="F520" s="118"/>
      <c r="G520" s="118"/>
      <c r="H520" s="118"/>
      <c r="I520" s="118"/>
    </row>
    <row r="521" ht="15.75" customHeight="1">
      <c r="A521" s="117"/>
      <c r="B521" s="31" t="s">
        <v>295</v>
      </c>
      <c r="C521" s="31" t="s">
        <v>296</v>
      </c>
      <c r="D521" s="121">
        <f>15+6</f>
        <v>21</v>
      </c>
      <c r="E521" s="118"/>
      <c r="F521" s="118"/>
      <c r="G521" s="118"/>
      <c r="H521" s="118"/>
      <c r="I521" s="118"/>
    </row>
    <row r="522" ht="15.75" customHeight="1">
      <c r="A522" s="117"/>
      <c r="B522" s="125" t="s">
        <v>379</v>
      </c>
      <c r="C522" s="125" t="s">
        <v>380</v>
      </c>
      <c r="D522" s="121">
        <v>20.0</v>
      </c>
      <c r="E522" s="118"/>
      <c r="F522" s="118"/>
      <c r="G522" s="118"/>
      <c r="H522" s="118"/>
      <c r="I522" s="118"/>
    </row>
    <row r="523" ht="15.75" customHeight="1">
      <c r="A523" s="117"/>
      <c r="B523" s="31" t="s">
        <v>351</v>
      </c>
      <c r="C523" s="31" t="s">
        <v>352</v>
      </c>
      <c r="D523" s="117">
        <f>18+10</f>
        <v>28</v>
      </c>
      <c r="E523" s="118"/>
      <c r="F523" s="118"/>
      <c r="G523" s="118"/>
      <c r="H523" s="118"/>
      <c r="I523" s="118"/>
    </row>
    <row r="524" ht="15.75" customHeight="1">
      <c r="A524" s="117"/>
      <c r="B524" s="31" t="s">
        <v>395</v>
      </c>
      <c r="C524" s="31" t="s">
        <v>396</v>
      </c>
      <c r="D524" s="121">
        <v>24.0</v>
      </c>
      <c r="E524" s="118"/>
      <c r="F524" s="118"/>
      <c r="G524" s="118"/>
      <c r="H524" s="118"/>
      <c r="I524" s="118"/>
    </row>
    <row r="525" ht="15.75" customHeight="1">
      <c r="A525" s="117"/>
      <c r="B525" s="31" t="s">
        <v>403</v>
      </c>
      <c r="C525" s="31" t="s">
        <v>404</v>
      </c>
      <c r="D525" s="121">
        <v>20.0</v>
      </c>
      <c r="E525" s="118"/>
      <c r="F525" s="118"/>
      <c r="G525" s="118"/>
      <c r="H525" s="118"/>
      <c r="I525" s="118"/>
    </row>
    <row r="526" ht="15.75" customHeight="1">
      <c r="A526" s="117"/>
      <c r="B526" s="31" t="s">
        <v>277</v>
      </c>
      <c r="C526" s="31" t="s">
        <v>278</v>
      </c>
      <c r="D526" s="121">
        <v>35.0</v>
      </c>
      <c r="E526" s="118"/>
      <c r="F526" s="118"/>
      <c r="G526" s="118"/>
      <c r="H526" s="118"/>
      <c r="I526" s="118"/>
    </row>
    <row r="527" ht="15.75" customHeight="1">
      <c r="A527" s="117"/>
      <c r="B527" s="31" t="s">
        <v>393</v>
      </c>
      <c r="C527" s="31" t="s">
        <v>394</v>
      </c>
      <c r="D527" s="121">
        <v>12.0</v>
      </c>
      <c r="E527" s="118"/>
      <c r="F527" s="118"/>
      <c r="G527" s="118"/>
      <c r="H527" s="118"/>
      <c r="I527" s="118"/>
    </row>
    <row r="528" ht="15.75" customHeight="1">
      <c r="A528" s="117"/>
      <c r="B528" s="114"/>
      <c r="C528" s="131"/>
      <c r="D528" s="117"/>
      <c r="E528" s="118"/>
      <c r="F528" s="118"/>
      <c r="G528" s="118"/>
      <c r="H528" s="118"/>
      <c r="I528" s="118"/>
    </row>
    <row r="529" ht="15.75" customHeight="1">
      <c r="A529" s="133">
        <v>45825.0</v>
      </c>
      <c r="B529" s="130" t="s">
        <v>289</v>
      </c>
      <c r="C529" s="130" t="s">
        <v>290</v>
      </c>
      <c r="D529" s="121">
        <v>50.0</v>
      </c>
      <c r="E529" s="118"/>
      <c r="F529" s="118"/>
      <c r="G529" s="118"/>
      <c r="H529" s="118"/>
      <c r="I529" s="118"/>
    </row>
    <row r="530" ht="15.75" customHeight="1">
      <c r="A530" s="117"/>
      <c r="B530" s="134" t="s">
        <v>399</v>
      </c>
      <c r="C530" s="135" t="s">
        <v>400</v>
      </c>
      <c r="D530" s="117">
        <f>45+30+36</f>
        <v>111</v>
      </c>
      <c r="E530" s="118"/>
      <c r="F530" s="118"/>
      <c r="G530" s="118"/>
      <c r="H530" s="118"/>
      <c r="I530" s="118"/>
    </row>
    <row r="531" ht="15.75" customHeight="1">
      <c r="A531" s="117"/>
      <c r="B531" s="134" t="s">
        <v>401</v>
      </c>
      <c r="C531" s="135" t="s">
        <v>402</v>
      </c>
      <c r="D531" s="117">
        <f>55</f>
        <v>55</v>
      </c>
      <c r="E531" s="118"/>
      <c r="F531" s="118"/>
      <c r="G531" s="118"/>
      <c r="H531" s="118"/>
      <c r="I531" s="118"/>
    </row>
    <row r="532" ht="15.75" customHeight="1">
      <c r="A532" s="117"/>
      <c r="B532" s="134" t="s">
        <v>405</v>
      </c>
      <c r="C532" s="135" t="s">
        <v>406</v>
      </c>
      <c r="D532" s="117">
        <f>45+43+45+30</f>
        <v>163</v>
      </c>
      <c r="E532" s="118"/>
      <c r="F532" s="118"/>
      <c r="G532" s="118"/>
      <c r="H532" s="118"/>
      <c r="I532" s="118"/>
    </row>
    <row r="533" ht="15.75" customHeight="1">
      <c r="A533" s="117"/>
      <c r="B533" s="31" t="s">
        <v>403</v>
      </c>
      <c r="C533" s="31" t="s">
        <v>404</v>
      </c>
      <c r="D533" s="117">
        <f>30+17</f>
        <v>47</v>
      </c>
      <c r="E533" s="118"/>
      <c r="F533" s="118"/>
      <c r="G533" s="118"/>
      <c r="H533" s="118"/>
      <c r="I533" s="118"/>
    </row>
    <row r="534" ht="15.75" customHeight="1">
      <c r="A534" s="117"/>
      <c r="B534" s="31" t="s">
        <v>321</v>
      </c>
      <c r="C534" s="31" t="s">
        <v>322</v>
      </c>
      <c r="D534" s="117">
        <f>35</f>
        <v>35</v>
      </c>
      <c r="E534" s="118"/>
      <c r="F534" s="118"/>
      <c r="G534" s="118"/>
      <c r="H534" s="118"/>
      <c r="I534" s="118"/>
    </row>
    <row r="535" ht="15.75" customHeight="1">
      <c r="A535" s="117"/>
      <c r="B535" s="31" t="s">
        <v>407</v>
      </c>
      <c r="C535" s="31" t="s">
        <v>408</v>
      </c>
      <c r="D535" s="121">
        <v>10.0</v>
      </c>
      <c r="E535" s="118"/>
      <c r="F535" s="118"/>
      <c r="G535" s="118"/>
      <c r="H535" s="118"/>
      <c r="I535" s="118"/>
    </row>
    <row r="536" ht="15.75" customHeight="1">
      <c r="A536" s="117"/>
      <c r="B536" s="125" t="s">
        <v>379</v>
      </c>
      <c r="C536" s="125" t="s">
        <v>380</v>
      </c>
      <c r="D536" s="121">
        <f>19+14</f>
        <v>33</v>
      </c>
      <c r="E536" s="118"/>
      <c r="F536" s="118"/>
      <c r="G536" s="118"/>
      <c r="H536" s="118"/>
      <c r="I536" s="118"/>
    </row>
    <row r="537" ht="15.75" customHeight="1">
      <c r="A537" s="117"/>
      <c r="B537" s="31" t="s">
        <v>351</v>
      </c>
      <c r="C537" s="31" t="s">
        <v>352</v>
      </c>
      <c r="D537" s="121">
        <f>12+29</f>
        <v>41</v>
      </c>
      <c r="E537" s="118"/>
      <c r="F537" s="118"/>
      <c r="G537" s="118"/>
      <c r="H537" s="118"/>
      <c r="I537" s="118"/>
    </row>
    <row r="538" ht="15.75" customHeight="1">
      <c r="A538" s="117"/>
      <c r="B538" s="31" t="s">
        <v>383</v>
      </c>
      <c r="C538" s="31" t="s">
        <v>384</v>
      </c>
      <c r="D538" s="121">
        <v>32.0</v>
      </c>
      <c r="E538" s="118"/>
      <c r="F538" s="118"/>
      <c r="G538" s="118"/>
      <c r="H538" s="118"/>
      <c r="I538" s="118"/>
    </row>
    <row r="539" ht="15.75" customHeight="1">
      <c r="A539" s="117"/>
      <c r="B539" s="31" t="s">
        <v>295</v>
      </c>
      <c r="C539" s="31" t="s">
        <v>296</v>
      </c>
      <c r="D539" s="121">
        <v>25.0</v>
      </c>
      <c r="E539" s="118"/>
      <c r="F539" s="118"/>
      <c r="G539" s="118"/>
      <c r="H539" s="118"/>
      <c r="I539" s="118"/>
    </row>
    <row r="540" ht="15.75" customHeight="1">
      <c r="A540" s="117"/>
      <c r="B540" s="31" t="s">
        <v>323</v>
      </c>
      <c r="C540" s="31" t="s">
        <v>324</v>
      </c>
      <c r="D540" s="121">
        <v>7.0</v>
      </c>
      <c r="E540" s="118"/>
      <c r="F540" s="118"/>
      <c r="G540" s="118"/>
      <c r="H540" s="118"/>
      <c r="I540" s="118"/>
    </row>
    <row r="541" ht="15.75" customHeight="1">
      <c r="A541" s="117"/>
      <c r="B541" s="114"/>
      <c r="C541" s="131"/>
      <c r="D541" s="117"/>
      <c r="E541" s="118"/>
      <c r="F541" s="118"/>
      <c r="G541" s="118"/>
      <c r="H541" s="118"/>
      <c r="I541" s="118"/>
    </row>
    <row r="542" ht="15.75" customHeight="1">
      <c r="A542" s="133">
        <v>45826.0</v>
      </c>
      <c r="B542" s="31" t="s">
        <v>393</v>
      </c>
      <c r="C542" s="31" t="s">
        <v>394</v>
      </c>
      <c r="D542" s="121">
        <v>35.0</v>
      </c>
      <c r="E542" s="118"/>
      <c r="F542" s="118"/>
      <c r="G542" s="118"/>
      <c r="H542" s="118"/>
      <c r="I542" s="118"/>
    </row>
    <row r="543" ht="15.75" customHeight="1">
      <c r="A543" s="117"/>
      <c r="B543" s="31" t="s">
        <v>277</v>
      </c>
      <c r="C543" s="31" t="s">
        <v>278</v>
      </c>
      <c r="D543" s="121">
        <f>13+30</f>
        <v>43</v>
      </c>
      <c r="E543" s="118"/>
      <c r="F543" s="118"/>
      <c r="G543" s="118"/>
      <c r="H543" s="118"/>
      <c r="I543" s="118"/>
    </row>
    <row r="544" ht="15.75" customHeight="1">
      <c r="A544" s="117"/>
      <c r="B544" s="31" t="s">
        <v>395</v>
      </c>
      <c r="C544" s="31" t="s">
        <v>396</v>
      </c>
      <c r="D544" s="121">
        <v>28.0</v>
      </c>
      <c r="E544" s="118"/>
      <c r="F544" s="118"/>
      <c r="G544" s="118"/>
      <c r="H544" s="118"/>
      <c r="I544" s="118"/>
    </row>
    <row r="545" ht="15.75" customHeight="1">
      <c r="A545" s="117"/>
      <c r="B545" s="31" t="s">
        <v>361</v>
      </c>
      <c r="C545" s="31" t="s">
        <v>362</v>
      </c>
      <c r="D545" s="121">
        <v>9.0</v>
      </c>
      <c r="E545" s="118"/>
      <c r="F545" s="118"/>
      <c r="G545" s="118"/>
      <c r="H545" s="118"/>
      <c r="I545" s="118"/>
    </row>
    <row r="546" ht="15.75" customHeight="1">
      <c r="A546" s="117"/>
      <c r="B546" s="31" t="s">
        <v>359</v>
      </c>
      <c r="C546" s="31" t="s">
        <v>360</v>
      </c>
      <c r="D546" s="121">
        <v>8.0</v>
      </c>
      <c r="E546" s="118"/>
      <c r="F546" s="118"/>
      <c r="G546" s="118"/>
      <c r="H546" s="118"/>
      <c r="I546" s="118"/>
    </row>
    <row r="547" ht="15.75" customHeight="1">
      <c r="A547" s="117"/>
      <c r="B547" s="31" t="s">
        <v>331</v>
      </c>
      <c r="C547" s="31" t="s">
        <v>332</v>
      </c>
      <c r="D547" s="121">
        <v>21.0</v>
      </c>
      <c r="E547" s="118"/>
      <c r="F547" s="118"/>
      <c r="G547" s="118"/>
      <c r="H547" s="118"/>
      <c r="I547" s="118"/>
    </row>
    <row r="548" ht="15.75" customHeight="1">
      <c r="A548" s="117"/>
      <c r="B548" s="31" t="s">
        <v>409</v>
      </c>
      <c r="C548" s="31" t="s">
        <v>410</v>
      </c>
      <c r="D548" s="121">
        <v>27.0</v>
      </c>
      <c r="E548" s="118"/>
      <c r="F548" s="118"/>
      <c r="G548" s="118"/>
      <c r="H548" s="118"/>
      <c r="I548" s="118"/>
    </row>
    <row r="549" ht="15.75" customHeight="1">
      <c r="A549" s="117"/>
      <c r="B549" s="114"/>
      <c r="C549" s="131"/>
      <c r="D549" s="117"/>
      <c r="E549" s="118"/>
      <c r="F549" s="118"/>
      <c r="G549" s="118"/>
      <c r="H549" s="118"/>
      <c r="I549" s="118"/>
    </row>
    <row r="550" ht="15.75" customHeight="1">
      <c r="A550" s="133">
        <v>45827.0</v>
      </c>
      <c r="B550" s="106" t="s">
        <v>411</v>
      </c>
      <c r="C550" s="135" t="s">
        <v>412</v>
      </c>
      <c r="D550" s="121">
        <v>47.0</v>
      </c>
      <c r="E550" s="118"/>
      <c r="F550" s="118"/>
      <c r="G550" s="118"/>
      <c r="H550" s="118"/>
      <c r="I550" s="118"/>
    </row>
    <row r="551" ht="15.75" customHeight="1">
      <c r="A551" s="117"/>
      <c r="B551" s="134" t="s">
        <v>413</v>
      </c>
      <c r="C551" s="135" t="s">
        <v>414</v>
      </c>
      <c r="D551" s="117">
        <f>21+37</f>
        <v>58</v>
      </c>
      <c r="E551" s="118"/>
      <c r="F551" s="118"/>
      <c r="G551" s="118"/>
      <c r="H551" s="118"/>
      <c r="I551" s="118"/>
    </row>
    <row r="552" ht="15.75" customHeight="1">
      <c r="A552" s="117"/>
      <c r="B552" s="106" t="s">
        <v>415</v>
      </c>
      <c r="C552" s="106" t="s">
        <v>416</v>
      </c>
      <c r="D552" s="121">
        <v>56.0</v>
      </c>
      <c r="E552" s="118"/>
      <c r="F552" s="118"/>
      <c r="G552" s="118"/>
      <c r="H552" s="118"/>
      <c r="I552" s="118"/>
    </row>
    <row r="553" ht="15.75" customHeight="1">
      <c r="A553" s="117"/>
      <c r="B553" s="106" t="s">
        <v>405</v>
      </c>
      <c r="C553" s="143" t="s">
        <v>406</v>
      </c>
      <c r="D553" s="117">
        <f>54+54</f>
        <v>108</v>
      </c>
      <c r="E553" s="118"/>
      <c r="F553" s="118"/>
      <c r="G553" s="118"/>
      <c r="H553" s="118"/>
      <c r="I553" s="118"/>
    </row>
    <row r="554" ht="15.75" customHeight="1">
      <c r="A554" s="117"/>
      <c r="B554" s="31" t="s">
        <v>375</v>
      </c>
      <c r="C554" s="31" t="s">
        <v>376</v>
      </c>
      <c r="D554" s="117">
        <f>37+37</f>
        <v>74</v>
      </c>
      <c r="E554" s="118"/>
      <c r="F554" s="118"/>
      <c r="G554" s="118"/>
      <c r="H554" s="118"/>
      <c r="I554" s="118"/>
    </row>
    <row r="555" ht="15.75" customHeight="1">
      <c r="A555" s="117"/>
      <c r="B555" s="31" t="s">
        <v>409</v>
      </c>
      <c r="C555" s="31" t="s">
        <v>410</v>
      </c>
      <c r="D555" s="117">
        <f>62</f>
        <v>62</v>
      </c>
      <c r="E555" s="118"/>
      <c r="F555" s="118"/>
      <c r="G555" s="118"/>
      <c r="H555" s="118"/>
      <c r="I555" s="118"/>
    </row>
    <row r="556" ht="15.75" customHeight="1">
      <c r="A556" s="117"/>
      <c r="B556" s="31" t="s">
        <v>299</v>
      </c>
      <c r="C556" s="31" t="s">
        <v>300</v>
      </c>
      <c r="D556" s="121">
        <f>12+19</f>
        <v>31</v>
      </c>
      <c r="E556" s="118"/>
      <c r="F556" s="118"/>
      <c r="G556" s="118"/>
      <c r="H556" s="118"/>
      <c r="I556" s="118"/>
    </row>
    <row r="557" ht="15.75" customHeight="1">
      <c r="A557" s="117"/>
      <c r="B557" s="31" t="s">
        <v>379</v>
      </c>
      <c r="C557" s="31" t="s">
        <v>380</v>
      </c>
      <c r="D557" s="121">
        <v>35.0</v>
      </c>
      <c r="E557" s="118"/>
      <c r="F557" s="118"/>
      <c r="G557" s="118"/>
      <c r="H557" s="118"/>
      <c r="I557" s="118"/>
    </row>
    <row r="558" ht="15.75" customHeight="1">
      <c r="A558" s="117"/>
      <c r="B558" s="31" t="s">
        <v>359</v>
      </c>
      <c r="C558" s="31" t="s">
        <v>360</v>
      </c>
      <c r="D558" s="121">
        <f>4+11</f>
        <v>15</v>
      </c>
      <c r="E558" s="118"/>
      <c r="F558" s="118"/>
      <c r="G558" s="118"/>
      <c r="H558" s="118"/>
      <c r="I558" s="118"/>
    </row>
    <row r="559" ht="15.75" customHeight="1">
      <c r="A559" s="117"/>
      <c r="B559" s="31" t="s">
        <v>287</v>
      </c>
      <c r="C559" s="31" t="s">
        <v>288</v>
      </c>
      <c r="D559" s="121">
        <f>2+1</f>
        <v>3</v>
      </c>
      <c r="E559" s="118"/>
      <c r="F559" s="118"/>
      <c r="G559" s="118"/>
      <c r="H559" s="118"/>
      <c r="I559" s="118"/>
    </row>
    <row r="560" ht="15.75" customHeight="1">
      <c r="A560" s="117"/>
      <c r="B560" s="31" t="s">
        <v>277</v>
      </c>
      <c r="C560" s="31" t="s">
        <v>278</v>
      </c>
      <c r="D560" s="121">
        <v>36.0</v>
      </c>
      <c r="E560" s="118"/>
      <c r="F560" s="118"/>
      <c r="G560" s="118"/>
      <c r="H560" s="118"/>
      <c r="I560" s="118"/>
    </row>
    <row r="561" ht="15.75" customHeight="1">
      <c r="A561" s="117"/>
      <c r="B561" s="31" t="s">
        <v>417</v>
      </c>
      <c r="C561" s="31" t="s">
        <v>418</v>
      </c>
      <c r="D561" s="121">
        <v>10.0</v>
      </c>
      <c r="E561" s="118"/>
      <c r="F561" s="118"/>
      <c r="G561" s="118"/>
      <c r="H561" s="118"/>
      <c r="I561" s="118"/>
    </row>
    <row r="562" ht="15.75" customHeight="1">
      <c r="A562" s="117"/>
      <c r="B562" s="31" t="s">
        <v>323</v>
      </c>
      <c r="C562" s="31" t="s">
        <v>324</v>
      </c>
      <c r="D562" s="121">
        <v>12.0</v>
      </c>
      <c r="E562" s="118"/>
      <c r="F562" s="118"/>
      <c r="G562" s="118"/>
      <c r="H562" s="118"/>
      <c r="I562" s="118"/>
    </row>
    <row r="563" ht="15.75" customHeight="1">
      <c r="A563" s="117"/>
      <c r="B563" s="31" t="s">
        <v>351</v>
      </c>
      <c r="C563" s="31" t="s">
        <v>352</v>
      </c>
      <c r="D563" s="121">
        <v>5.0</v>
      </c>
      <c r="E563" s="118"/>
      <c r="F563" s="118"/>
      <c r="G563" s="118"/>
      <c r="H563" s="118"/>
      <c r="I563" s="118"/>
    </row>
    <row r="564" ht="15.75" customHeight="1">
      <c r="A564" s="117"/>
      <c r="B564" s="31" t="s">
        <v>281</v>
      </c>
      <c r="C564" s="31" t="s">
        <v>282</v>
      </c>
      <c r="D564" s="121">
        <v>6.0</v>
      </c>
      <c r="E564" s="118"/>
      <c r="F564" s="118"/>
      <c r="G564" s="118"/>
      <c r="H564" s="118"/>
      <c r="I564" s="118"/>
    </row>
    <row r="565" ht="15.75" customHeight="1">
      <c r="A565" s="117"/>
      <c r="B565" s="31" t="s">
        <v>403</v>
      </c>
      <c r="C565" s="31" t="s">
        <v>404</v>
      </c>
      <c r="D565" s="121">
        <v>37.0</v>
      </c>
      <c r="E565" s="118"/>
      <c r="F565" s="118"/>
      <c r="G565" s="118"/>
      <c r="H565" s="118"/>
      <c r="I565" s="118"/>
    </row>
    <row r="566" ht="15.75" customHeight="1">
      <c r="A566" s="117"/>
      <c r="B566" s="114"/>
      <c r="C566" s="131"/>
      <c r="D566" s="117"/>
      <c r="E566" s="118"/>
      <c r="F566" s="118"/>
      <c r="G566" s="118"/>
      <c r="H566" s="118"/>
      <c r="I566" s="118"/>
    </row>
    <row r="567" ht="15.75" customHeight="1">
      <c r="A567" s="133">
        <v>45828.0</v>
      </c>
      <c r="B567" s="134" t="s">
        <v>343</v>
      </c>
      <c r="C567" s="135" t="s">
        <v>344</v>
      </c>
      <c r="D567" s="121">
        <v>53.0</v>
      </c>
      <c r="E567" s="118"/>
      <c r="F567" s="118"/>
      <c r="G567" s="118"/>
      <c r="H567" s="118"/>
      <c r="I567" s="118"/>
    </row>
    <row r="568" ht="15.75" customHeight="1">
      <c r="A568" s="117"/>
      <c r="B568" s="134" t="s">
        <v>419</v>
      </c>
      <c r="C568" s="135" t="s">
        <v>420</v>
      </c>
      <c r="D568" s="121">
        <v>24.0</v>
      </c>
      <c r="E568" s="118"/>
      <c r="F568" s="118"/>
      <c r="G568" s="118"/>
      <c r="H568" s="118"/>
      <c r="I568" s="118"/>
    </row>
    <row r="569" ht="15.75" customHeight="1">
      <c r="A569" s="117"/>
      <c r="B569" s="31" t="s">
        <v>375</v>
      </c>
      <c r="C569" s="31" t="s">
        <v>376</v>
      </c>
      <c r="D569" s="117">
        <f>37+38+38+38</f>
        <v>151</v>
      </c>
      <c r="E569" s="118"/>
      <c r="F569" s="118"/>
      <c r="G569" s="118"/>
      <c r="H569" s="118"/>
      <c r="I569" s="118"/>
    </row>
    <row r="570" ht="15.75" customHeight="1">
      <c r="A570" s="117"/>
      <c r="B570" s="31" t="s">
        <v>421</v>
      </c>
      <c r="C570" s="31" t="s">
        <v>422</v>
      </c>
      <c r="D570" s="117">
        <f>23+25</f>
        <v>48</v>
      </c>
      <c r="E570" s="118"/>
      <c r="F570" s="118"/>
      <c r="G570" s="118"/>
      <c r="H570" s="118"/>
      <c r="I570" s="118"/>
    </row>
    <row r="571" ht="15.75" customHeight="1">
      <c r="A571" s="117"/>
      <c r="B571" s="31" t="s">
        <v>281</v>
      </c>
      <c r="C571" s="31" t="s">
        <v>282</v>
      </c>
      <c r="D571" s="121">
        <v>5.0</v>
      </c>
      <c r="E571" s="118"/>
      <c r="F571" s="118"/>
      <c r="G571" s="118"/>
      <c r="H571" s="118"/>
      <c r="I571" s="118"/>
    </row>
    <row r="572" ht="15.75" customHeight="1">
      <c r="A572" s="117"/>
      <c r="B572" s="31" t="s">
        <v>287</v>
      </c>
      <c r="C572" s="31" t="s">
        <v>288</v>
      </c>
      <c r="D572" s="121">
        <v>20.0</v>
      </c>
      <c r="E572" s="118"/>
      <c r="F572" s="118"/>
      <c r="G572" s="118"/>
      <c r="H572" s="118"/>
      <c r="I572" s="118"/>
    </row>
    <row r="573" ht="15.75" customHeight="1">
      <c r="A573" s="117"/>
      <c r="B573" s="31" t="s">
        <v>423</v>
      </c>
      <c r="C573" s="31" t="s">
        <v>424</v>
      </c>
      <c r="D573" s="121">
        <v>9.0</v>
      </c>
      <c r="E573" s="118"/>
      <c r="F573" s="118"/>
      <c r="G573" s="118"/>
      <c r="H573" s="118"/>
      <c r="I573" s="118"/>
    </row>
    <row r="574" ht="15.75" customHeight="1">
      <c r="A574" s="117"/>
      <c r="B574" s="31" t="s">
        <v>299</v>
      </c>
      <c r="C574" s="31" t="s">
        <v>300</v>
      </c>
      <c r="D574" s="121">
        <v>19.0</v>
      </c>
      <c r="E574" s="118"/>
      <c r="F574" s="118"/>
      <c r="G574" s="118"/>
      <c r="H574" s="118"/>
      <c r="I574" s="118"/>
    </row>
    <row r="575" ht="15.75" customHeight="1">
      <c r="A575" s="117"/>
      <c r="B575" s="31" t="s">
        <v>295</v>
      </c>
      <c r="C575" s="31" t="s">
        <v>296</v>
      </c>
      <c r="D575" s="121">
        <v>27.0</v>
      </c>
      <c r="E575" s="118"/>
      <c r="F575" s="118"/>
      <c r="G575" s="118"/>
      <c r="H575" s="118"/>
      <c r="I575" s="118"/>
    </row>
    <row r="576" ht="15.75" customHeight="1">
      <c r="A576" s="117"/>
      <c r="B576" s="31" t="s">
        <v>361</v>
      </c>
      <c r="C576" s="31" t="s">
        <v>362</v>
      </c>
      <c r="D576" s="121">
        <v>22.0</v>
      </c>
      <c r="E576" s="118"/>
      <c r="F576" s="118"/>
      <c r="G576" s="118"/>
      <c r="H576" s="118"/>
      <c r="I576" s="118"/>
    </row>
    <row r="577" ht="15.75" customHeight="1">
      <c r="A577" s="117"/>
      <c r="B577" s="125" t="s">
        <v>379</v>
      </c>
      <c r="C577" s="125" t="s">
        <v>380</v>
      </c>
      <c r="D577" s="121">
        <v>22.0</v>
      </c>
      <c r="E577" s="118"/>
      <c r="F577" s="118"/>
      <c r="G577" s="118"/>
      <c r="H577" s="118"/>
      <c r="I577" s="118"/>
    </row>
    <row r="578" ht="15.75" customHeight="1">
      <c r="A578" s="117"/>
      <c r="B578" s="125" t="s">
        <v>425</v>
      </c>
      <c r="C578" s="125" t="s">
        <v>426</v>
      </c>
      <c r="D578" s="121">
        <v>10.0</v>
      </c>
      <c r="E578" s="118"/>
      <c r="F578" s="118"/>
      <c r="G578" s="118"/>
      <c r="H578" s="118"/>
      <c r="I578" s="118"/>
    </row>
    <row r="579" ht="15.75" customHeight="1">
      <c r="A579" s="117"/>
      <c r="B579" s="31" t="s">
        <v>321</v>
      </c>
      <c r="C579" s="31" t="s">
        <v>322</v>
      </c>
      <c r="D579" s="121">
        <v>46.0</v>
      </c>
      <c r="E579" s="118"/>
      <c r="F579" s="118"/>
      <c r="G579" s="118"/>
      <c r="H579" s="118"/>
      <c r="I579" s="118"/>
    </row>
    <row r="580" ht="15.75" customHeight="1">
      <c r="A580" s="117"/>
      <c r="B580" s="31" t="s">
        <v>277</v>
      </c>
      <c r="C580" s="31" t="s">
        <v>278</v>
      </c>
      <c r="D580" s="121">
        <v>32.0</v>
      </c>
      <c r="E580" s="118"/>
      <c r="F580" s="118"/>
      <c r="G580" s="118"/>
      <c r="H580" s="118"/>
      <c r="I580" s="118"/>
    </row>
    <row r="581" ht="15.75" customHeight="1">
      <c r="A581" s="117"/>
      <c r="B581" s="31" t="s">
        <v>301</v>
      </c>
      <c r="C581" s="31" t="s">
        <v>302</v>
      </c>
      <c r="D581" s="121">
        <v>10.0</v>
      </c>
      <c r="E581" s="118"/>
      <c r="F581" s="118"/>
      <c r="G581" s="118"/>
      <c r="H581" s="118"/>
      <c r="I581" s="118"/>
    </row>
    <row r="582" ht="15.75" customHeight="1">
      <c r="A582" s="117"/>
      <c r="B582" s="114"/>
      <c r="C582" s="131"/>
      <c r="D582" s="117"/>
      <c r="E582" s="118"/>
      <c r="F582" s="118"/>
      <c r="G582" s="118"/>
      <c r="H582" s="118"/>
      <c r="I582" s="118"/>
    </row>
    <row r="583" ht="15.75" customHeight="1">
      <c r="A583" s="133">
        <v>45829.0</v>
      </c>
      <c r="B583" s="134" t="s">
        <v>343</v>
      </c>
      <c r="C583" s="135" t="s">
        <v>344</v>
      </c>
      <c r="D583" s="121">
        <v>55.0</v>
      </c>
      <c r="E583" s="118"/>
      <c r="F583" s="118"/>
      <c r="G583" s="118"/>
      <c r="H583" s="118"/>
      <c r="I583" s="118"/>
    </row>
    <row r="584" ht="15.75" customHeight="1">
      <c r="A584" s="117"/>
      <c r="B584" s="106" t="s">
        <v>427</v>
      </c>
      <c r="C584" s="144" t="s">
        <v>428</v>
      </c>
      <c r="D584" s="117">
        <f>46+44</f>
        <v>90</v>
      </c>
      <c r="E584" s="118"/>
      <c r="F584" s="118"/>
      <c r="G584" s="118"/>
      <c r="H584" s="118"/>
      <c r="I584" s="118"/>
    </row>
    <row r="585" ht="15.75" customHeight="1">
      <c r="A585" s="117"/>
      <c r="B585" s="139" t="s">
        <v>325</v>
      </c>
      <c r="C585" s="140" t="s">
        <v>326</v>
      </c>
      <c r="D585" s="117">
        <f>44+43</f>
        <v>87</v>
      </c>
      <c r="E585" s="118"/>
      <c r="F585" s="118"/>
      <c r="G585" s="118"/>
      <c r="H585" s="118"/>
      <c r="I585" s="118"/>
    </row>
    <row r="586" ht="15.75" customHeight="1">
      <c r="A586" s="117"/>
      <c r="B586" s="31" t="s">
        <v>429</v>
      </c>
      <c r="C586" s="31" t="s">
        <v>430</v>
      </c>
      <c r="D586" s="117">
        <f>32+32+32</f>
        <v>96</v>
      </c>
      <c r="E586" s="118"/>
      <c r="F586" s="118"/>
      <c r="G586" s="118"/>
      <c r="H586" s="118"/>
      <c r="I586" s="118"/>
    </row>
    <row r="587" ht="15.75" customHeight="1">
      <c r="A587" s="117"/>
      <c r="B587" s="31" t="s">
        <v>327</v>
      </c>
      <c r="C587" s="31" t="s">
        <v>328</v>
      </c>
      <c r="D587" s="121">
        <f>27+6</f>
        <v>33</v>
      </c>
      <c r="E587" s="118"/>
      <c r="F587" s="118"/>
      <c r="G587" s="118"/>
      <c r="H587" s="118"/>
      <c r="I587" s="118"/>
    </row>
    <row r="588" ht="15.75" customHeight="1">
      <c r="A588" s="117"/>
      <c r="B588" s="125" t="s">
        <v>379</v>
      </c>
      <c r="C588" s="125" t="s">
        <v>380</v>
      </c>
      <c r="D588" s="121">
        <v>22.0</v>
      </c>
      <c r="E588" s="118"/>
      <c r="F588" s="118"/>
      <c r="G588" s="118"/>
      <c r="H588" s="118"/>
      <c r="I588" s="118"/>
    </row>
    <row r="589" ht="15.75" customHeight="1">
      <c r="A589" s="117"/>
      <c r="B589" s="125" t="s">
        <v>425</v>
      </c>
      <c r="C589" s="125" t="s">
        <v>426</v>
      </c>
      <c r="D589" s="121">
        <v>17.0</v>
      </c>
      <c r="E589" s="118"/>
      <c r="F589" s="118"/>
      <c r="G589" s="118"/>
      <c r="H589" s="118"/>
      <c r="I589" s="118"/>
    </row>
    <row r="590" ht="15.75" customHeight="1">
      <c r="A590" s="117"/>
      <c r="B590" s="31" t="s">
        <v>431</v>
      </c>
      <c r="C590" s="31" t="s">
        <v>432</v>
      </c>
      <c r="D590" s="121">
        <v>28.0</v>
      </c>
      <c r="E590" s="118"/>
      <c r="F590" s="118"/>
      <c r="G590" s="118"/>
      <c r="H590" s="118"/>
      <c r="I590" s="118"/>
    </row>
    <row r="591" ht="15.75" customHeight="1">
      <c r="A591" s="117"/>
      <c r="B591" s="31" t="s">
        <v>341</v>
      </c>
      <c r="C591" s="31" t="s">
        <v>342</v>
      </c>
      <c r="D591" s="121">
        <v>11.0</v>
      </c>
      <c r="E591" s="118"/>
      <c r="F591" s="118"/>
      <c r="G591" s="118"/>
      <c r="H591" s="118"/>
      <c r="I591" s="118"/>
    </row>
    <row r="592" ht="15.75" customHeight="1">
      <c r="A592" s="117"/>
      <c r="B592" s="31" t="s">
        <v>277</v>
      </c>
      <c r="C592" s="31" t="s">
        <v>278</v>
      </c>
      <c r="D592" s="121">
        <v>35.0</v>
      </c>
      <c r="E592" s="118"/>
      <c r="F592" s="118"/>
      <c r="G592" s="118"/>
      <c r="H592" s="118"/>
      <c r="I592" s="118"/>
    </row>
    <row r="593" ht="15.75" customHeight="1">
      <c r="A593" s="117"/>
      <c r="B593" s="31" t="s">
        <v>301</v>
      </c>
      <c r="C593" s="31" t="s">
        <v>302</v>
      </c>
      <c r="D593" s="121">
        <v>22.0</v>
      </c>
      <c r="E593" s="118"/>
      <c r="F593" s="118"/>
      <c r="G593" s="118"/>
      <c r="H593" s="118"/>
      <c r="I593" s="118"/>
    </row>
    <row r="594" ht="15.75" customHeight="1">
      <c r="A594" s="117"/>
      <c r="B594" s="31" t="s">
        <v>331</v>
      </c>
      <c r="C594" s="31" t="s">
        <v>332</v>
      </c>
      <c r="D594" s="121">
        <v>17.0</v>
      </c>
      <c r="E594" s="118"/>
      <c r="F594" s="118"/>
      <c r="G594" s="118"/>
      <c r="H594" s="118"/>
      <c r="I594" s="118"/>
    </row>
    <row r="595" ht="15.75" customHeight="1">
      <c r="A595" s="117"/>
      <c r="B595" s="31" t="s">
        <v>281</v>
      </c>
      <c r="C595" s="31" t="s">
        <v>282</v>
      </c>
      <c r="D595" s="121">
        <v>20.0</v>
      </c>
      <c r="E595" s="118"/>
      <c r="F595" s="118"/>
      <c r="G595" s="118"/>
      <c r="H595" s="118"/>
      <c r="I595" s="118"/>
    </row>
    <row r="596" ht="15.75" customHeight="1">
      <c r="A596" s="117"/>
      <c r="B596" s="114"/>
      <c r="C596" s="131"/>
      <c r="D596" s="117"/>
      <c r="E596" s="118"/>
      <c r="F596" s="118"/>
      <c r="G596" s="118"/>
      <c r="H596" s="118"/>
      <c r="I596" s="118"/>
    </row>
    <row r="597" ht="15.75" customHeight="1">
      <c r="A597" s="117"/>
      <c r="B597" s="114"/>
      <c r="C597" s="131"/>
      <c r="D597" s="117"/>
      <c r="E597" s="118"/>
      <c r="F597" s="118"/>
      <c r="G597" s="118"/>
      <c r="H597" s="118"/>
      <c r="I597" s="118"/>
    </row>
    <row r="598" ht="15.75" customHeight="1">
      <c r="A598" s="117"/>
      <c r="B598" s="114"/>
      <c r="C598" s="131"/>
      <c r="D598" s="117"/>
      <c r="E598" s="118"/>
      <c r="F598" s="118"/>
      <c r="G598" s="118"/>
      <c r="H598" s="118"/>
      <c r="I598" s="118"/>
    </row>
    <row r="599" ht="15.75" customHeight="1">
      <c r="A599" s="117"/>
      <c r="B599" s="114"/>
      <c r="C599" s="131"/>
      <c r="D599" s="117"/>
      <c r="E599" s="118"/>
      <c r="F599" s="118"/>
      <c r="G599" s="118"/>
      <c r="H599" s="118"/>
      <c r="I599" s="118"/>
    </row>
    <row r="600" ht="15.75" customHeight="1">
      <c r="A600" s="117"/>
      <c r="B600" s="114"/>
      <c r="C600" s="131"/>
      <c r="D600" s="117"/>
      <c r="E600" s="118"/>
      <c r="F600" s="118"/>
      <c r="G600" s="118"/>
      <c r="H600" s="118"/>
      <c r="I600" s="118"/>
    </row>
    <row r="601" ht="15.75" customHeight="1">
      <c r="A601" s="117"/>
      <c r="B601" s="114"/>
      <c r="C601" s="131"/>
      <c r="D601" s="117"/>
      <c r="E601" s="118"/>
      <c r="F601" s="118"/>
      <c r="G601" s="118"/>
      <c r="H601" s="118"/>
      <c r="I601" s="118"/>
    </row>
    <row r="602" ht="15.75" customHeight="1">
      <c r="A602" s="117"/>
      <c r="B602" s="114"/>
      <c r="C602" s="131"/>
      <c r="D602" s="117"/>
      <c r="E602" s="118"/>
      <c r="F602" s="118"/>
      <c r="G602" s="118"/>
      <c r="H602" s="118"/>
      <c r="I602" s="118"/>
    </row>
    <row r="603" ht="15.75" customHeight="1">
      <c r="A603" s="117"/>
      <c r="B603" s="114"/>
      <c r="C603" s="131"/>
      <c r="D603" s="117"/>
      <c r="E603" s="118"/>
      <c r="F603" s="118"/>
      <c r="G603" s="118"/>
      <c r="H603" s="118"/>
      <c r="I603" s="118"/>
    </row>
    <row r="604" ht="15.75" customHeight="1">
      <c r="A604" s="117"/>
      <c r="B604" s="114"/>
      <c r="C604" s="131"/>
      <c r="D604" s="117"/>
      <c r="E604" s="118"/>
      <c r="F604" s="118"/>
      <c r="G604" s="118"/>
      <c r="H604" s="118"/>
      <c r="I604" s="118"/>
    </row>
    <row r="605" ht="15.75" customHeight="1">
      <c r="A605" s="117"/>
      <c r="B605" s="114"/>
      <c r="C605" s="131"/>
      <c r="D605" s="117"/>
      <c r="E605" s="118"/>
      <c r="F605" s="118"/>
      <c r="G605" s="118"/>
      <c r="H605" s="118"/>
      <c r="I605" s="118"/>
    </row>
    <row r="606" ht="15.75" customHeight="1">
      <c r="A606" s="117"/>
      <c r="B606" s="114"/>
      <c r="C606" s="131"/>
      <c r="D606" s="117"/>
      <c r="E606" s="118"/>
      <c r="F606" s="118"/>
      <c r="G606" s="118"/>
      <c r="H606" s="118"/>
      <c r="I606" s="118"/>
    </row>
    <row r="607" ht="15.75" customHeight="1">
      <c r="A607" s="117"/>
      <c r="B607" s="114"/>
      <c r="C607" s="131"/>
      <c r="D607" s="117"/>
      <c r="E607" s="118"/>
      <c r="F607" s="118"/>
      <c r="G607" s="118"/>
      <c r="H607" s="118"/>
      <c r="I607" s="118"/>
    </row>
    <row r="608" ht="12.75" customHeight="1">
      <c r="A608" s="93"/>
      <c r="B608" s="23"/>
      <c r="C608" s="24" t="s">
        <v>433</v>
      </c>
      <c r="D608" s="94"/>
      <c r="E608" s="27"/>
      <c r="F608" s="95"/>
      <c r="G608" s="95"/>
      <c r="H608" s="95"/>
      <c r="I608" s="95"/>
    </row>
    <row r="609" ht="15.75" customHeight="1">
      <c r="A609" s="133">
        <v>45808.0</v>
      </c>
      <c r="B609" s="72" t="s">
        <v>434</v>
      </c>
      <c r="C609" s="116" t="s">
        <v>435</v>
      </c>
      <c r="D609" s="145">
        <f>30+30+35+38+35+34</f>
        <v>202</v>
      </c>
      <c r="E609" s="146"/>
      <c r="F609" s="146"/>
      <c r="G609" s="146"/>
      <c r="H609" s="146"/>
      <c r="I609" s="146"/>
    </row>
    <row r="610" ht="15.75" customHeight="1">
      <c r="A610" s="147"/>
      <c r="B610" s="72" t="s">
        <v>436</v>
      </c>
      <c r="C610" s="116" t="s">
        <v>437</v>
      </c>
      <c r="D610" s="145">
        <f>13</f>
        <v>13</v>
      </c>
      <c r="E610" s="146"/>
      <c r="F610" s="146"/>
      <c r="G610" s="146"/>
      <c r="H610" s="146"/>
      <c r="I610" s="146"/>
    </row>
    <row r="611" ht="15.75" customHeight="1">
      <c r="A611" s="147"/>
      <c r="B611" s="72" t="s">
        <v>438</v>
      </c>
      <c r="C611" s="116" t="s">
        <v>439</v>
      </c>
      <c r="D611" s="145">
        <f>21+33+27+36+27+30+32+29+29+33+22+30+27</f>
        <v>376</v>
      </c>
      <c r="E611" s="146"/>
      <c r="F611" s="146"/>
      <c r="G611" s="146"/>
      <c r="H611" s="146"/>
      <c r="I611" s="146"/>
    </row>
    <row r="612" ht="15.75" customHeight="1">
      <c r="A612" s="147"/>
      <c r="B612" s="31" t="s">
        <v>440</v>
      </c>
      <c r="C612" s="31" t="s">
        <v>441</v>
      </c>
      <c r="D612" s="145">
        <f>54+48+58+40+40+26+28+44+44+45+42+35+32+18</f>
        <v>554</v>
      </c>
      <c r="E612" s="146"/>
      <c r="F612" s="146"/>
      <c r="G612" s="146"/>
      <c r="H612" s="146"/>
      <c r="I612" s="146"/>
    </row>
    <row r="613" ht="15.75" customHeight="1">
      <c r="A613" s="147"/>
      <c r="B613" s="72" t="s">
        <v>442</v>
      </c>
      <c r="C613" s="116" t="s">
        <v>443</v>
      </c>
      <c r="D613" s="145">
        <f>42+43+44+45+47+29+35+49+32+32+40+76+33+50+42</f>
        <v>639</v>
      </c>
      <c r="E613" s="146"/>
      <c r="F613" s="146"/>
      <c r="G613" s="146"/>
      <c r="H613" s="146"/>
      <c r="I613" s="146"/>
    </row>
    <row r="614" ht="15.75" customHeight="1">
      <c r="A614" s="147"/>
      <c r="B614" s="72" t="s">
        <v>444</v>
      </c>
      <c r="C614" s="148" t="s">
        <v>445</v>
      </c>
      <c r="D614" s="145">
        <f>43+38+44+54+34+52+18+18+20+22+45+50+42+45+55+49+39+35</f>
        <v>703</v>
      </c>
      <c r="E614" s="146"/>
      <c r="F614" s="146"/>
      <c r="G614" s="146"/>
      <c r="H614" s="146"/>
      <c r="I614" s="146"/>
    </row>
    <row r="615" ht="15.75" customHeight="1">
      <c r="A615" s="147"/>
      <c r="B615" s="31" t="s">
        <v>446</v>
      </c>
      <c r="C615" s="31" t="s">
        <v>447</v>
      </c>
      <c r="D615" s="145">
        <f>22+19+11+15+18+33+20+24+17+12+9+34+11+14+11+9+9+26+20+20+26+18+17+24+13+8+13+13+20+20+15+16+19+12+9+26+24+18+10</f>
        <v>675</v>
      </c>
      <c r="E615" s="146"/>
      <c r="F615" s="146"/>
      <c r="G615" s="146"/>
      <c r="H615" s="146"/>
      <c r="I615" s="146"/>
    </row>
    <row r="616" ht="15.75" customHeight="1">
      <c r="A616" s="147"/>
      <c r="B616" s="72" t="s">
        <v>448</v>
      </c>
      <c r="C616" s="116" t="s">
        <v>449</v>
      </c>
      <c r="D616" s="145">
        <f>32+32+24+25+28+29+23+23+24+24+31+28</f>
        <v>323</v>
      </c>
      <c r="E616" s="146"/>
      <c r="F616" s="146"/>
      <c r="G616" s="146"/>
      <c r="H616" s="146"/>
      <c r="I616" s="146"/>
    </row>
    <row r="617" ht="15.75" customHeight="1">
      <c r="A617" s="147"/>
      <c r="B617" s="72" t="s">
        <v>450</v>
      </c>
      <c r="C617" s="149" t="s">
        <v>451</v>
      </c>
      <c r="D617" s="145">
        <f>35+35+35+32+35+24+34+39+29+36+33+26+26+33+34+35+29+34+31+30+35+36+42+40+33+35+27+30+25+33+24</f>
        <v>1005</v>
      </c>
      <c r="E617" s="146"/>
      <c r="F617" s="146"/>
      <c r="G617" s="146"/>
      <c r="H617" s="146"/>
      <c r="I617" s="146"/>
    </row>
    <row r="618" ht="15.75" customHeight="1">
      <c r="A618" s="147"/>
      <c r="B618" s="72" t="s">
        <v>452</v>
      </c>
      <c r="C618" s="116" t="s">
        <v>453</v>
      </c>
      <c r="D618" s="145">
        <f>35+30+33+28+29+21+28+28+29+33+32+34+34+38+29+29+40+34+29</f>
        <v>593</v>
      </c>
      <c r="E618" s="146"/>
      <c r="F618" s="146"/>
      <c r="G618" s="146"/>
      <c r="H618" s="146"/>
      <c r="I618" s="146"/>
    </row>
    <row r="619" ht="15.75" customHeight="1">
      <c r="A619" s="147"/>
      <c r="B619" s="72" t="s">
        <v>454</v>
      </c>
      <c r="C619" s="149" t="s">
        <v>455</v>
      </c>
      <c r="D619" s="145">
        <f>28+36+35+38+39</f>
        <v>176</v>
      </c>
      <c r="E619" s="146"/>
      <c r="F619" s="146"/>
      <c r="G619" s="146"/>
      <c r="H619" s="146"/>
      <c r="I619" s="146"/>
    </row>
    <row r="620" ht="15.75" customHeight="1">
      <c r="A620" s="147"/>
      <c r="B620" s="72" t="s">
        <v>456</v>
      </c>
      <c r="C620" s="116" t="s">
        <v>457</v>
      </c>
      <c r="D620" s="145">
        <f>38+36+31+40+38+34+36+35+35+37+35+35+39+42+38+19+29+35</f>
        <v>632</v>
      </c>
      <c r="E620" s="146"/>
      <c r="F620" s="146"/>
      <c r="G620" s="146"/>
      <c r="H620" s="146"/>
      <c r="I620" s="146"/>
    </row>
    <row r="621" ht="15.75" customHeight="1">
      <c r="A621" s="147"/>
      <c r="B621" s="72" t="s">
        <v>458</v>
      </c>
      <c r="C621" s="149" t="s">
        <v>459</v>
      </c>
      <c r="D621" s="145">
        <f>38+34+39+30+25+22+35+41+35+34+22+38+38+38+36+37</f>
        <v>542</v>
      </c>
      <c r="E621" s="146"/>
      <c r="F621" s="146"/>
      <c r="G621" s="146"/>
      <c r="H621" s="146"/>
      <c r="I621" s="146"/>
    </row>
    <row r="622" ht="15.75" customHeight="1">
      <c r="A622" s="147"/>
      <c r="B622" s="72" t="s">
        <v>460</v>
      </c>
      <c r="C622" s="116" t="s">
        <v>461</v>
      </c>
      <c r="D622" s="145">
        <f>22</f>
        <v>22</v>
      </c>
      <c r="E622" s="146"/>
      <c r="F622" s="146"/>
      <c r="G622" s="146"/>
      <c r="H622" s="146"/>
      <c r="I622" s="146"/>
    </row>
    <row r="623" ht="15.75" customHeight="1">
      <c r="A623" s="147"/>
      <c r="B623" s="31" t="s">
        <v>462</v>
      </c>
      <c r="C623" s="31" t="s">
        <v>463</v>
      </c>
      <c r="D623" s="145">
        <f>75+70+65</f>
        <v>210</v>
      </c>
      <c r="E623" s="146"/>
      <c r="F623" s="146"/>
      <c r="G623" s="146"/>
      <c r="H623" s="146"/>
      <c r="I623" s="146"/>
    </row>
    <row r="624" ht="15.75" customHeight="1">
      <c r="A624" s="147"/>
      <c r="B624" s="124" t="s">
        <v>464</v>
      </c>
      <c r="C624" s="116" t="s">
        <v>465</v>
      </c>
      <c r="D624" s="145">
        <f>34+34+30+35+34+33+29+31+28+18+25+28+28+34</f>
        <v>421</v>
      </c>
      <c r="E624" s="146"/>
      <c r="F624" s="146"/>
      <c r="G624" s="146"/>
      <c r="H624" s="146"/>
      <c r="I624" s="146"/>
    </row>
    <row r="625" ht="15.75" customHeight="1">
      <c r="A625" s="147"/>
      <c r="B625" s="72" t="s">
        <v>466</v>
      </c>
      <c r="C625" s="149" t="s">
        <v>467</v>
      </c>
      <c r="D625" s="145">
        <f>37+48+41+33+39+35+39+36+33+32+18+37+19+24+30+30+34+23</f>
        <v>588</v>
      </c>
      <c r="E625" s="146"/>
      <c r="F625" s="146"/>
      <c r="G625" s="146"/>
      <c r="H625" s="146"/>
      <c r="I625" s="146"/>
    </row>
    <row r="626" ht="15.75" customHeight="1">
      <c r="A626" s="147"/>
      <c r="B626" s="72" t="s">
        <v>468</v>
      </c>
      <c r="C626" s="149" t="s">
        <v>469</v>
      </c>
      <c r="D626" s="145">
        <f>57+52+51+51+31</f>
        <v>242</v>
      </c>
      <c r="E626" s="146"/>
      <c r="F626" s="146"/>
      <c r="G626" s="146"/>
      <c r="H626" s="146"/>
      <c r="I626" s="146"/>
    </row>
    <row r="627" ht="15.75" customHeight="1">
      <c r="A627" s="147"/>
      <c r="B627" s="150"/>
      <c r="C627" s="151"/>
      <c r="D627" s="145"/>
      <c r="E627" s="146"/>
      <c r="F627" s="146"/>
      <c r="G627" s="146"/>
      <c r="H627" s="146"/>
      <c r="I627" s="146"/>
    </row>
    <row r="628" ht="15.75" customHeight="1">
      <c r="A628" s="133">
        <v>45809.0</v>
      </c>
      <c r="B628" s="31" t="s">
        <v>440</v>
      </c>
      <c r="C628" s="31" t="s">
        <v>441</v>
      </c>
      <c r="D628" s="145">
        <f>51+53+45+36+38+20+22</f>
        <v>265</v>
      </c>
      <c r="E628" s="146"/>
      <c r="F628" s="146"/>
      <c r="G628" s="146"/>
      <c r="H628" s="146"/>
      <c r="I628" s="146"/>
    </row>
    <row r="629" ht="15.75" customHeight="1">
      <c r="A629" s="147"/>
      <c r="B629" s="72" t="s">
        <v>442</v>
      </c>
      <c r="C629" s="116" t="s">
        <v>443</v>
      </c>
      <c r="D629" s="145">
        <f>26+35</f>
        <v>61</v>
      </c>
      <c r="E629" s="146"/>
      <c r="F629" s="146"/>
      <c r="G629" s="146"/>
      <c r="H629" s="146"/>
      <c r="I629" s="146"/>
    </row>
    <row r="630" ht="15.75" customHeight="1">
      <c r="A630" s="147"/>
      <c r="B630" s="72" t="s">
        <v>470</v>
      </c>
      <c r="C630" s="149" t="s">
        <v>471</v>
      </c>
      <c r="D630" s="145">
        <f>45+30+32+51+18+18+32+30</f>
        <v>256</v>
      </c>
      <c r="E630" s="146"/>
      <c r="F630" s="146"/>
      <c r="G630" s="146"/>
      <c r="H630" s="146"/>
      <c r="I630" s="146"/>
    </row>
    <row r="631" ht="15.75" customHeight="1">
      <c r="A631" s="147"/>
      <c r="B631" s="72" t="s">
        <v>444</v>
      </c>
      <c r="C631" s="148" t="s">
        <v>445</v>
      </c>
      <c r="D631" s="145">
        <f>20+20+56+60+61+52</f>
        <v>269</v>
      </c>
      <c r="E631" s="146"/>
      <c r="F631" s="146"/>
      <c r="G631" s="146"/>
      <c r="H631" s="146"/>
      <c r="I631" s="146"/>
    </row>
    <row r="632" ht="15.75" customHeight="1">
      <c r="A632" s="147"/>
      <c r="B632" s="72" t="s">
        <v>472</v>
      </c>
      <c r="C632" s="116" t="s">
        <v>473</v>
      </c>
      <c r="D632" s="145">
        <f>33+38+55+48+50+52+30+18</f>
        <v>324</v>
      </c>
      <c r="E632" s="146"/>
      <c r="F632" s="146"/>
      <c r="G632" s="146"/>
      <c r="H632" s="146"/>
      <c r="I632" s="146"/>
    </row>
    <row r="633" ht="15.75" customHeight="1">
      <c r="A633" s="147"/>
      <c r="B633" s="31" t="s">
        <v>446</v>
      </c>
      <c r="C633" s="31" t="s">
        <v>447</v>
      </c>
      <c r="D633" s="145">
        <f>19+32+18+32+23+15+32+39+37+27+26+28+23+25+19+20+31+27+27+17+14+20</f>
        <v>551</v>
      </c>
      <c r="E633" s="146"/>
      <c r="F633" s="146"/>
      <c r="G633" s="146"/>
      <c r="H633" s="146"/>
      <c r="I633" s="146"/>
    </row>
    <row r="634" ht="15.75" customHeight="1">
      <c r="A634" s="147"/>
      <c r="B634" s="72" t="s">
        <v>448</v>
      </c>
      <c r="C634" s="116" t="s">
        <v>449</v>
      </c>
      <c r="D634" s="145">
        <f>37+36+38+41</f>
        <v>152</v>
      </c>
      <c r="E634" s="146"/>
      <c r="F634" s="146"/>
      <c r="G634" s="146"/>
      <c r="H634" s="146"/>
      <c r="I634" s="146"/>
    </row>
    <row r="635" ht="15.75" customHeight="1">
      <c r="A635" s="147"/>
      <c r="B635" s="72" t="s">
        <v>474</v>
      </c>
      <c r="C635" s="149" t="s">
        <v>475</v>
      </c>
      <c r="D635" s="145">
        <f>18+18+30+28+28+27+27+30</f>
        <v>206</v>
      </c>
      <c r="E635" s="146"/>
      <c r="F635" s="146"/>
      <c r="G635" s="146"/>
      <c r="H635" s="146"/>
      <c r="I635" s="146"/>
    </row>
    <row r="636" ht="15.75" customHeight="1">
      <c r="A636" s="147"/>
      <c r="B636" s="31" t="s">
        <v>440</v>
      </c>
      <c r="C636" s="31" t="s">
        <v>441</v>
      </c>
      <c r="D636" s="145">
        <f>46+72+76+38+39+45+45+44</f>
        <v>405</v>
      </c>
      <c r="E636" s="146"/>
      <c r="F636" s="146"/>
      <c r="G636" s="146"/>
      <c r="H636" s="146"/>
      <c r="I636" s="146"/>
    </row>
    <row r="637" ht="15.75" customHeight="1">
      <c r="A637" s="147"/>
      <c r="B637" s="124" t="s">
        <v>464</v>
      </c>
      <c r="C637" s="116" t="s">
        <v>465</v>
      </c>
      <c r="D637" s="145">
        <f>29+29+29+26+31+35+30+28+23+28+29+29+29+27+32+23+23+16+23+23+31+30+32+29+29+22+27+33+32+36+34+21+33+29+34+33</f>
        <v>1027</v>
      </c>
      <c r="E637" s="146"/>
      <c r="F637" s="146"/>
      <c r="G637" s="146"/>
      <c r="H637" s="146"/>
      <c r="I637" s="146"/>
    </row>
    <row r="638" ht="15.75" customHeight="1">
      <c r="A638" s="147"/>
      <c r="B638" s="72" t="s">
        <v>466</v>
      </c>
      <c r="C638" s="149" t="s">
        <v>467</v>
      </c>
      <c r="D638" s="145">
        <f>32+32+34+38+33+39+33+37+39+36+39+38+38+39+40+44+39+33+31+38+38+37+34+26+46+42+43+44+35+38+36+36+41+37+21+34+46+40+40+23+23+41+34+37+42+29+40+40+34+41+34+28+41+34+29+35+36+20+39+35+40+39+31+32+34+38+39</f>
        <v>2414</v>
      </c>
      <c r="E638" s="146"/>
      <c r="F638" s="146"/>
      <c r="G638" s="146"/>
      <c r="H638" s="146"/>
      <c r="I638" s="146"/>
    </row>
    <row r="639" ht="15.75" customHeight="1">
      <c r="A639" s="147"/>
      <c r="B639" s="72" t="s">
        <v>468</v>
      </c>
      <c r="C639" s="149" t="s">
        <v>469</v>
      </c>
      <c r="D639" s="145">
        <f>52+49+55+43+53+54+47+47+49+34+32</f>
        <v>515</v>
      </c>
      <c r="E639" s="146"/>
      <c r="F639" s="146"/>
      <c r="G639" s="146"/>
      <c r="H639" s="146"/>
      <c r="I639" s="146"/>
    </row>
    <row r="640" ht="15.75" customHeight="1">
      <c r="A640" s="147"/>
      <c r="B640" s="72" t="s">
        <v>460</v>
      </c>
      <c r="C640" s="116" t="s">
        <v>461</v>
      </c>
      <c r="D640" s="145">
        <f>27+29+32+22</f>
        <v>110</v>
      </c>
      <c r="E640" s="146"/>
      <c r="F640" s="146"/>
      <c r="G640" s="146"/>
      <c r="H640" s="146"/>
      <c r="I640" s="146"/>
    </row>
    <row r="641" ht="15.75" customHeight="1">
      <c r="A641" s="147"/>
      <c r="B641" s="72" t="s">
        <v>438</v>
      </c>
      <c r="C641" s="116" t="s">
        <v>439</v>
      </c>
      <c r="D641" s="145">
        <f>31+31+36+26+25+28</f>
        <v>177</v>
      </c>
      <c r="E641" s="146"/>
      <c r="F641" s="146"/>
      <c r="G641" s="146"/>
      <c r="H641" s="146"/>
      <c r="I641" s="146"/>
    </row>
    <row r="642" ht="15.75" customHeight="1">
      <c r="A642" s="147"/>
      <c r="B642" s="31" t="s">
        <v>462</v>
      </c>
      <c r="C642" s="31" t="s">
        <v>463</v>
      </c>
      <c r="D642" s="145">
        <f>44+50+38+40+62+73+33</f>
        <v>340</v>
      </c>
      <c r="E642" s="146"/>
      <c r="F642" s="146"/>
      <c r="G642" s="146"/>
      <c r="H642" s="146"/>
      <c r="I642" s="146"/>
    </row>
    <row r="643" ht="15.75" customHeight="1">
      <c r="A643" s="147"/>
      <c r="B643" s="150"/>
      <c r="C643" s="151"/>
      <c r="D643" s="145"/>
      <c r="E643" s="146"/>
      <c r="F643" s="146"/>
      <c r="G643" s="146"/>
      <c r="H643" s="146"/>
      <c r="I643" s="146"/>
    </row>
    <row r="644" ht="15.75" customHeight="1">
      <c r="A644" s="133">
        <v>45810.0</v>
      </c>
      <c r="B644" s="72" t="s">
        <v>460</v>
      </c>
      <c r="C644" s="116" t="s">
        <v>461</v>
      </c>
      <c r="D644" s="145">
        <f>45+41+23</f>
        <v>109</v>
      </c>
      <c r="E644" s="146"/>
      <c r="F644" s="146"/>
      <c r="G644" s="146"/>
      <c r="H644" s="146"/>
      <c r="I644" s="146"/>
    </row>
    <row r="645" ht="15.75" customHeight="1">
      <c r="A645" s="147"/>
      <c r="B645" s="72" t="s">
        <v>438</v>
      </c>
      <c r="C645" s="116" t="s">
        <v>439</v>
      </c>
      <c r="D645" s="145">
        <f>23+30+30+35+34+33+19</f>
        <v>204</v>
      </c>
      <c r="E645" s="146"/>
      <c r="F645" s="146"/>
      <c r="G645" s="146"/>
      <c r="H645" s="146"/>
      <c r="I645" s="146"/>
    </row>
    <row r="646" ht="15.75" customHeight="1">
      <c r="A646" s="147"/>
      <c r="B646" s="31" t="s">
        <v>440</v>
      </c>
      <c r="C646" s="31" t="s">
        <v>441</v>
      </c>
      <c r="D646" s="145">
        <f>42+44+40+43+42+17+22+48+46+38+38+50</f>
        <v>470</v>
      </c>
      <c r="E646" s="146"/>
      <c r="F646" s="146"/>
      <c r="G646" s="146"/>
      <c r="H646" s="146"/>
      <c r="I646" s="146"/>
    </row>
    <row r="647" ht="15.75" customHeight="1">
      <c r="A647" s="147"/>
      <c r="B647" s="31" t="s">
        <v>462</v>
      </c>
      <c r="C647" s="31" t="s">
        <v>463</v>
      </c>
      <c r="D647" s="145">
        <f>50+47+50+56+33+32+67+63+64+54+53+48+48</f>
        <v>665</v>
      </c>
      <c r="E647" s="146"/>
      <c r="F647" s="146"/>
      <c r="G647" s="146"/>
      <c r="H647" s="146"/>
      <c r="I647" s="146"/>
    </row>
    <row r="648" ht="15.75" customHeight="1">
      <c r="A648" s="147"/>
      <c r="B648" s="72" t="s">
        <v>472</v>
      </c>
      <c r="C648" s="116" t="s">
        <v>473</v>
      </c>
      <c r="D648" s="145">
        <f>32+55+62+30</f>
        <v>179</v>
      </c>
      <c r="E648" s="146"/>
      <c r="F648" s="146"/>
      <c r="G648" s="146"/>
      <c r="H648" s="146"/>
      <c r="I648" s="146"/>
    </row>
    <row r="649" ht="15.75" customHeight="1">
      <c r="A649" s="147"/>
      <c r="B649" s="72" t="s">
        <v>476</v>
      </c>
      <c r="C649" s="116" t="s">
        <v>477</v>
      </c>
      <c r="D649" s="145">
        <f>24+19+21+22+27+29+26+29+27+27+28+22+25</f>
        <v>326</v>
      </c>
      <c r="E649" s="146"/>
      <c r="F649" s="146"/>
      <c r="G649" s="146"/>
      <c r="H649" s="146"/>
      <c r="I649" s="146"/>
    </row>
    <row r="650" ht="15.75" customHeight="1">
      <c r="A650" s="147"/>
      <c r="B650" s="31" t="s">
        <v>446</v>
      </c>
      <c r="C650" s="31" t="s">
        <v>447</v>
      </c>
      <c r="D650" s="145">
        <f>31+28+22+22+22+16+8+32+18+43+30+30+28+30+20+19+13+14+20</f>
        <v>446</v>
      </c>
      <c r="E650" s="146"/>
      <c r="F650" s="146"/>
      <c r="G650" s="146"/>
      <c r="H650" s="146"/>
      <c r="I650" s="146"/>
    </row>
    <row r="651" ht="15.75" customHeight="1">
      <c r="A651" s="147"/>
      <c r="B651" s="31" t="s">
        <v>478</v>
      </c>
      <c r="C651" s="31" t="s">
        <v>479</v>
      </c>
      <c r="D651" s="145">
        <f>27+24</f>
        <v>51</v>
      </c>
      <c r="E651" s="146"/>
      <c r="F651" s="146"/>
      <c r="G651" s="146"/>
      <c r="H651" s="146"/>
      <c r="I651" s="146"/>
    </row>
    <row r="652" ht="15.75" customHeight="1">
      <c r="A652" s="147"/>
      <c r="B652" s="72" t="s">
        <v>474</v>
      </c>
      <c r="C652" s="149" t="s">
        <v>475</v>
      </c>
      <c r="D652" s="145">
        <f>25+27+29+34+24+35+25+25+30+30+35+37+32+28</f>
        <v>416</v>
      </c>
      <c r="E652" s="146"/>
      <c r="F652" s="146"/>
      <c r="G652" s="146"/>
      <c r="H652" s="146"/>
      <c r="I652" s="146"/>
    </row>
    <row r="653" ht="15.75" customHeight="1">
      <c r="A653" s="147"/>
      <c r="B653" s="124" t="s">
        <v>464</v>
      </c>
      <c r="C653" s="116" t="s">
        <v>465</v>
      </c>
      <c r="D653" s="145">
        <f>29+29+29+28+26+25+29+22+29+24+28+31+28+29+19+26+23+31+29+31+28+25+24+32+25+26+28+23+25+28+32+23+28+29+17+21+33+31+27+14+30+25+22+22+30+31+30+27+30+29</f>
        <v>1340</v>
      </c>
      <c r="E653" s="146"/>
      <c r="F653" s="146"/>
      <c r="G653" s="146"/>
      <c r="H653" s="146"/>
      <c r="I653" s="146"/>
    </row>
    <row r="654" ht="15.75" customHeight="1">
      <c r="A654" s="147"/>
      <c r="B654" s="72" t="s">
        <v>466</v>
      </c>
      <c r="C654" s="149" t="s">
        <v>467</v>
      </c>
      <c r="D654" s="145">
        <f>37+35+37+34+33+24+32+31+34+31+35+35+35+26+38+37+37+39+36+26+17+32+26+33+26+22+23+33+29+41+38+39</f>
        <v>1031</v>
      </c>
      <c r="E654" s="146"/>
      <c r="F654" s="146"/>
      <c r="G654" s="146"/>
      <c r="H654" s="146"/>
      <c r="I654" s="146"/>
    </row>
    <row r="655" ht="15.75" customHeight="1">
      <c r="A655" s="147"/>
      <c r="B655" s="72" t="s">
        <v>468</v>
      </c>
      <c r="C655" s="149" t="s">
        <v>469</v>
      </c>
      <c r="D655" s="145">
        <f>48+57+47+43+40+43+41+29+33+37+53+55+42+47+47+51+36+34+52+53+54+46+58</f>
        <v>1046</v>
      </c>
      <c r="E655" s="146"/>
      <c r="F655" s="146"/>
      <c r="G655" s="146"/>
      <c r="H655" s="146"/>
      <c r="I655" s="146"/>
    </row>
    <row r="656" ht="15.75" customHeight="1">
      <c r="A656" s="147"/>
      <c r="B656" s="72" t="s">
        <v>448</v>
      </c>
      <c r="C656" s="116" t="s">
        <v>449</v>
      </c>
      <c r="D656" s="145">
        <f>33+32+29+28+32+18</f>
        <v>172</v>
      </c>
      <c r="E656" s="146"/>
      <c r="F656" s="146"/>
      <c r="G656" s="146"/>
      <c r="H656" s="146"/>
      <c r="I656" s="146"/>
    </row>
    <row r="657" ht="15.75" customHeight="1">
      <c r="A657" s="147"/>
      <c r="B657" s="31" t="s">
        <v>480</v>
      </c>
      <c r="C657" s="31" t="s">
        <v>481</v>
      </c>
      <c r="D657" s="145">
        <f>38+30+32+31+33</f>
        <v>164</v>
      </c>
      <c r="E657" s="146"/>
      <c r="F657" s="146"/>
      <c r="G657" s="146"/>
      <c r="H657" s="146"/>
      <c r="I657" s="146"/>
    </row>
    <row r="658" ht="15.75" customHeight="1">
      <c r="A658" s="147"/>
      <c r="B658" s="150"/>
      <c r="C658" s="151"/>
      <c r="D658" s="145"/>
      <c r="E658" s="146"/>
      <c r="F658" s="146"/>
      <c r="G658" s="146"/>
      <c r="H658" s="146"/>
      <c r="I658" s="146"/>
    </row>
    <row r="659" ht="15.75" customHeight="1">
      <c r="A659" s="133">
        <v>45811.0</v>
      </c>
      <c r="B659" s="72" t="s">
        <v>438</v>
      </c>
      <c r="C659" s="116" t="s">
        <v>439</v>
      </c>
      <c r="D659" s="145">
        <f>33+33+20+25+31+33+32+30+22</f>
        <v>259</v>
      </c>
      <c r="E659" s="146"/>
      <c r="F659" s="146"/>
      <c r="G659" s="146"/>
      <c r="H659" s="146"/>
      <c r="I659" s="146"/>
    </row>
    <row r="660" ht="15.75" customHeight="1">
      <c r="A660" s="147"/>
      <c r="B660" s="72" t="s">
        <v>460</v>
      </c>
      <c r="C660" s="116" t="s">
        <v>461</v>
      </c>
      <c r="D660" s="145">
        <f>35+28+31+35+36+39+30+27+14+28</f>
        <v>303</v>
      </c>
      <c r="E660" s="146"/>
      <c r="F660" s="146"/>
      <c r="G660" s="146"/>
      <c r="H660" s="146"/>
      <c r="I660" s="146"/>
    </row>
    <row r="661" ht="15.75" customHeight="1">
      <c r="A661" s="147"/>
      <c r="B661" s="31" t="s">
        <v>480</v>
      </c>
      <c r="C661" s="31" t="s">
        <v>481</v>
      </c>
      <c r="D661" s="145">
        <f>36+31</f>
        <v>67</v>
      </c>
      <c r="E661" s="146"/>
      <c r="F661" s="146"/>
      <c r="G661" s="146"/>
      <c r="H661" s="146"/>
      <c r="I661" s="146"/>
    </row>
    <row r="662" ht="15.75" customHeight="1">
      <c r="A662" s="147"/>
      <c r="B662" s="31" t="s">
        <v>482</v>
      </c>
      <c r="C662" s="31" t="s">
        <v>483</v>
      </c>
      <c r="D662" s="145">
        <f>30+25+32+31+30+36+33+34+31+34+28+25</f>
        <v>369</v>
      </c>
      <c r="E662" s="146"/>
      <c r="F662" s="146"/>
      <c r="G662" s="146"/>
      <c r="H662" s="146"/>
      <c r="I662" s="146"/>
    </row>
    <row r="663" ht="15.75" customHeight="1">
      <c r="A663" s="147"/>
      <c r="B663" s="31" t="s">
        <v>484</v>
      </c>
      <c r="C663" s="31" t="s">
        <v>485</v>
      </c>
      <c r="D663" s="145">
        <f>48+46+47+43+41+38+35+32</f>
        <v>330</v>
      </c>
      <c r="E663" s="146"/>
      <c r="F663" s="146"/>
      <c r="G663" s="146"/>
      <c r="H663" s="146"/>
      <c r="I663" s="146"/>
    </row>
    <row r="664" ht="15.75" customHeight="1">
      <c r="A664" s="147"/>
      <c r="B664" s="31" t="s">
        <v>440</v>
      </c>
      <c r="C664" s="31" t="s">
        <v>441</v>
      </c>
      <c r="D664" s="145">
        <f>33+48</f>
        <v>81</v>
      </c>
      <c r="E664" s="146"/>
      <c r="F664" s="146"/>
      <c r="G664" s="146"/>
      <c r="H664" s="146"/>
      <c r="I664" s="146"/>
    </row>
    <row r="665" ht="15.75" customHeight="1">
      <c r="A665" s="147"/>
      <c r="B665" s="72" t="s">
        <v>476</v>
      </c>
      <c r="C665" s="116" t="s">
        <v>477</v>
      </c>
      <c r="D665" s="145">
        <f>26+25+27+24+24+25+29+25+22+22+28+25+27+28+26+26+25</f>
        <v>434</v>
      </c>
      <c r="E665" s="146"/>
      <c r="F665" s="146"/>
      <c r="G665" s="146"/>
      <c r="H665" s="146"/>
      <c r="I665" s="146"/>
    </row>
    <row r="666" ht="15.75" customHeight="1">
      <c r="A666" s="147"/>
      <c r="B666" s="31" t="s">
        <v>446</v>
      </c>
      <c r="C666" s="31" t="s">
        <v>447</v>
      </c>
      <c r="D666" s="145">
        <f>24+19+17+16+18+19+21+18+19+20+13+21+22+21+27+24+25+28+21+20+12+12+16+10</f>
        <v>463</v>
      </c>
      <c r="E666" s="146"/>
      <c r="F666" s="146"/>
      <c r="G666" s="146"/>
      <c r="H666" s="146"/>
      <c r="I666" s="146"/>
    </row>
    <row r="667" ht="15.75" customHeight="1">
      <c r="A667" s="147"/>
      <c r="B667" s="72" t="s">
        <v>474</v>
      </c>
      <c r="C667" s="149" t="s">
        <v>475</v>
      </c>
      <c r="D667" s="145">
        <f>28+29+30+30+27+28+23+23</f>
        <v>218</v>
      </c>
      <c r="E667" s="146"/>
      <c r="F667" s="146"/>
      <c r="G667" s="146"/>
      <c r="H667" s="146"/>
      <c r="I667" s="146"/>
    </row>
    <row r="668" ht="15.75" customHeight="1">
      <c r="A668" s="147"/>
      <c r="B668" s="31" t="s">
        <v>462</v>
      </c>
      <c r="C668" s="31" t="s">
        <v>463</v>
      </c>
      <c r="D668" s="145">
        <f>55+54+43</f>
        <v>152</v>
      </c>
      <c r="E668" s="146"/>
      <c r="F668" s="146"/>
      <c r="G668" s="146"/>
      <c r="H668" s="146"/>
      <c r="I668" s="146"/>
    </row>
    <row r="669" ht="15.75" customHeight="1">
      <c r="A669" s="147"/>
      <c r="B669" s="124" t="s">
        <v>464</v>
      </c>
      <c r="C669" s="116" t="s">
        <v>465</v>
      </c>
      <c r="D669" s="145">
        <f>25+26+27+24+20+30+27+31+24+29+26+20+26+15+27+29+30+25+24+26+23+24+17+14+23+26+22+25+29+31+21+18+31+28+27+31+25+30+30+13+15+25+27+28+17+30</f>
        <v>1141</v>
      </c>
      <c r="E669" s="146"/>
      <c r="F669" s="146"/>
      <c r="G669" s="146"/>
      <c r="H669" s="146"/>
      <c r="I669" s="146"/>
    </row>
    <row r="670" ht="15.75" customHeight="1">
      <c r="A670" s="147"/>
      <c r="B670" s="124" t="s">
        <v>486</v>
      </c>
      <c r="C670" s="116" t="s">
        <v>487</v>
      </c>
      <c r="D670" s="145">
        <f>27+56+74+50+67+69+70+44+53</f>
        <v>510</v>
      </c>
      <c r="E670" s="146"/>
      <c r="F670" s="146"/>
      <c r="G670" s="146"/>
      <c r="H670" s="146"/>
      <c r="I670" s="146"/>
    </row>
    <row r="671" ht="15.75" customHeight="1">
      <c r="A671" s="147"/>
      <c r="B671" s="72" t="s">
        <v>468</v>
      </c>
      <c r="C671" s="149" t="s">
        <v>469</v>
      </c>
      <c r="D671" s="145">
        <f>28+50+50+49+49+31+45+41+35+54+32+45+38+48+44+22+40+48+49+49+38+50+51+53+47+46+52+40</f>
        <v>1224</v>
      </c>
      <c r="E671" s="146"/>
      <c r="F671" s="146"/>
      <c r="G671" s="146"/>
      <c r="H671" s="146"/>
      <c r="I671" s="146"/>
    </row>
    <row r="672" ht="15.75" customHeight="1">
      <c r="A672" s="147"/>
      <c r="B672" s="72" t="s">
        <v>434</v>
      </c>
      <c r="C672" s="116" t="s">
        <v>435</v>
      </c>
      <c r="D672" s="145">
        <f>30+32+31+31+33</f>
        <v>157</v>
      </c>
      <c r="E672" s="146"/>
      <c r="F672" s="146"/>
      <c r="G672" s="146"/>
      <c r="H672" s="146"/>
      <c r="I672" s="146"/>
    </row>
    <row r="673" ht="15.75" customHeight="1">
      <c r="A673" s="147"/>
      <c r="B673" s="72" t="s">
        <v>488</v>
      </c>
      <c r="C673" s="149" t="s">
        <v>489</v>
      </c>
      <c r="D673" s="145">
        <f>32+32+25+25</f>
        <v>114</v>
      </c>
      <c r="E673" s="146"/>
      <c r="F673" s="146"/>
      <c r="G673" s="146"/>
      <c r="H673" s="146"/>
      <c r="I673" s="146"/>
    </row>
    <row r="674" ht="15.75" customHeight="1">
      <c r="A674" s="147"/>
      <c r="B674" s="31" t="s">
        <v>462</v>
      </c>
      <c r="C674" s="31" t="s">
        <v>463</v>
      </c>
      <c r="D674" s="145">
        <f>52</f>
        <v>52</v>
      </c>
      <c r="E674" s="146"/>
      <c r="F674" s="146"/>
      <c r="G674" s="146"/>
      <c r="H674" s="146"/>
      <c r="I674" s="146"/>
    </row>
    <row r="675" ht="15.75" customHeight="1">
      <c r="A675" s="147"/>
      <c r="B675" s="31" t="s">
        <v>490</v>
      </c>
      <c r="C675" s="31" t="s">
        <v>491</v>
      </c>
      <c r="D675" s="145">
        <f>41+50</f>
        <v>91</v>
      </c>
      <c r="E675" s="146"/>
      <c r="F675" s="146"/>
      <c r="G675" s="146"/>
      <c r="H675" s="146"/>
      <c r="I675" s="146"/>
    </row>
    <row r="676" ht="15.75" customHeight="1">
      <c r="A676" s="147"/>
      <c r="B676" s="72" t="s">
        <v>452</v>
      </c>
      <c r="C676" s="116" t="s">
        <v>453</v>
      </c>
      <c r="D676" s="145">
        <f>37+29+30</f>
        <v>96</v>
      </c>
      <c r="E676" s="146"/>
      <c r="F676" s="146"/>
      <c r="G676" s="146"/>
      <c r="H676" s="146"/>
      <c r="I676" s="146"/>
    </row>
    <row r="677" ht="15.75" customHeight="1">
      <c r="A677" s="147"/>
      <c r="B677" s="72" t="s">
        <v>492</v>
      </c>
      <c r="C677" s="116" t="s">
        <v>493</v>
      </c>
      <c r="D677" s="145">
        <f>52+59+61+45+61+50+52+54+53</f>
        <v>487</v>
      </c>
      <c r="E677" s="146"/>
      <c r="F677" s="146"/>
      <c r="G677" s="146"/>
      <c r="H677" s="146"/>
      <c r="I677" s="146"/>
    </row>
    <row r="678" ht="15.75" customHeight="1">
      <c r="A678" s="147"/>
      <c r="B678" s="150"/>
      <c r="C678" s="151"/>
      <c r="D678" s="145"/>
      <c r="E678" s="146"/>
      <c r="F678" s="146"/>
      <c r="G678" s="146"/>
      <c r="H678" s="146"/>
      <c r="I678" s="146"/>
    </row>
    <row r="679" ht="15.75" customHeight="1">
      <c r="A679" s="133">
        <v>45812.0</v>
      </c>
      <c r="B679" s="72" t="s">
        <v>434</v>
      </c>
      <c r="C679" s="116" t="s">
        <v>435</v>
      </c>
      <c r="D679" s="152">
        <f>25+28+25+27+25+27+30+35+34+3</f>
        <v>259</v>
      </c>
      <c r="E679" s="146"/>
      <c r="F679" s="146"/>
      <c r="G679" s="146"/>
      <c r="H679" s="146"/>
      <c r="I679" s="146"/>
    </row>
    <row r="680" ht="15.75" customHeight="1">
      <c r="A680" s="147"/>
      <c r="B680" s="72" t="s">
        <v>494</v>
      </c>
      <c r="C680" s="116" t="s">
        <v>495</v>
      </c>
      <c r="D680" s="152">
        <f>38+31+36+29+28+24</f>
        <v>186</v>
      </c>
      <c r="E680" s="146"/>
      <c r="F680" s="146"/>
      <c r="G680" s="146"/>
      <c r="H680" s="146"/>
      <c r="I680" s="146"/>
    </row>
    <row r="681" ht="15.75" customHeight="1">
      <c r="A681" s="147"/>
      <c r="B681" s="31" t="s">
        <v>496</v>
      </c>
      <c r="C681" s="31" t="s">
        <v>497</v>
      </c>
      <c r="D681" s="145">
        <f>25+15+22+28+24+27+25</f>
        <v>166</v>
      </c>
      <c r="E681" s="146"/>
      <c r="F681" s="146"/>
      <c r="G681" s="146"/>
      <c r="H681" s="146"/>
      <c r="I681" s="146"/>
    </row>
    <row r="682" ht="15.75" customHeight="1">
      <c r="A682" s="147"/>
      <c r="B682" s="31" t="s">
        <v>484</v>
      </c>
      <c r="C682" s="31" t="s">
        <v>485</v>
      </c>
      <c r="D682" s="145">
        <f>30+18</f>
        <v>48</v>
      </c>
      <c r="E682" s="146"/>
      <c r="F682" s="146"/>
      <c r="G682" s="146"/>
      <c r="H682" s="146"/>
      <c r="I682" s="146"/>
    </row>
    <row r="683" ht="15.75" customHeight="1">
      <c r="A683" s="147"/>
      <c r="B683" s="31" t="s">
        <v>482</v>
      </c>
      <c r="C683" s="31" t="s">
        <v>483</v>
      </c>
      <c r="D683" s="145">
        <f>29+28</f>
        <v>57</v>
      </c>
      <c r="E683" s="146"/>
      <c r="F683" s="146"/>
      <c r="G683" s="146"/>
      <c r="H683" s="146"/>
      <c r="I683" s="146"/>
    </row>
    <row r="684" ht="15.75" customHeight="1">
      <c r="A684" s="147"/>
      <c r="B684" s="31" t="s">
        <v>498</v>
      </c>
      <c r="C684" s="31" t="s">
        <v>499</v>
      </c>
      <c r="D684" s="145">
        <f>24+24+24+24+22+23+31+29+23+29+19+25+19+23+16+17</f>
        <v>372</v>
      </c>
      <c r="E684" s="146"/>
      <c r="F684" s="146"/>
      <c r="G684" s="146"/>
      <c r="H684" s="146"/>
      <c r="I684" s="146"/>
    </row>
    <row r="685" ht="15.75" customHeight="1">
      <c r="A685" s="147"/>
      <c r="B685" s="72" t="s">
        <v>500</v>
      </c>
      <c r="C685" s="149" t="s">
        <v>501</v>
      </c>
      <c r="D685" s="145">
        <f>31+33+34+25+32+26</f>
        <v>181</v>
      </c>
      <c r="E685" s="146"/>
      <c r="F685" s="146"/>
      <c r="G685" s="146"/>
      <c r="H685" s="146"/>
      <c r="I685" s="146"/>
    </row>
    <row r="686" ht="15.75" customHeight="1">
      <c r="A686" s="147"/>
      <c r="B686" s="31" t="s">
        <v>446</v>
      </c>
      <c r="C686" s="31" t="s">
        <v>447</v>
      </c>
      <c r="D686" s="145">
        <f>33+27+25+24+15+10+17+25+16+21+15+12+21+27+17+22+19+33+34+15+15+13+25+9+10+16</f>
        <v>516</v>
      </c>
      <c r="E686" s="146"/>
      <c r="F686" s="146"/>
      <c r="G686" s="146"/>
      <c r="H686" s="146"/>
      <c r="I686" s="146"/>
    </row>
    <row r="687" ht="15.75" customHeight="1">
      <c r="A687" s="147"/>
      <c r="B687" s="72" t="s">
        <v>488</v>
      </c>
      <c r="C687" s="149" t="s">
        <v>489</v>
      </c>
      <c r="D687" s="145">
        <f>33+33+40+39</f>
        <v>145</v>
      </c>
      <c r="E687" s="146"/>
      <c r="F687" s="146"/>
      <c r="G687" s="146"/>
      <c r="H687" s="146"/>
      <c r="I687" s="146"/>
    </row>
    <row r="688" ht="15.75" customHeight="1">
      <c r="A688" s="147"/>
      <c r="B688" s="31" t="s">
        <v>490</v>
      </c>
      <c r="C688" s="31" t="s">
        <v>491</v>
      </c>
      <c r="D688" s="145">
        <f>50+65</f>
        <v>115</v>
      </c>
      <c r="E688" s="146"/>
      <c r="F688" s="146"/>
      <c r="G688" s="146"/>
      <c r="H688" s="146"/>
      <c r="I688" s="146"/>
    </row>
    <row r="689" ht="15.75" customHeight="1">
      <c r="A689" s="147"/>
      <c r="B689" s="72" t="s">
        <v>452</v>
      </c>
      <c r="C689" s="116" t="s">
        <v>453</v>
      </c>
      <c r="D689" s="145">
        <f>40+32+44+32+19+31+30+34+32+35+42+35+27+29+35</f>
        <v>497</v>
      </c>
      <c r="E689" s="146"/>
      <c r="F689" s="146"/>
      <c r="G689" s="146"/>
      <c r="H689" s="146"/>
      <c r="I689" s="146"/>
    </row>
    <row r="690" ht="15.75" customHeight="1">
      <c r="A690" s="147"/>
      <c r="B690" s="72" t="s">
        <v>502</v>
      </c>
      <c r="C690" s="116" t="s">
        <v>503</v>
      </c>
      <c r="D690" s="145">
        <f>68+43</f>
        <v>111</v>
      </c>
      <c r="E690" s="146"/>
      <c r="F690" s="146"/>
      <c r="G690" s="146"/>
      <c r="H690" s="146"/>
      <c r="I690" s="146"/>
    </row>
    <row r="691" ht="15.75" customHeight="1">
      <c r="A691" s="147"/>
      <c r="B691" s="72" t="s">
        <v>492</v>
      </c>
      <c r="C691" s="116" t="s">
        <v>493</v>
      </c>
      <c r="D691" s="145">
        <f>62+67+45+56+45+67</f>
        <v>342</v>
      </c>
      <c r="E691" s="146"/>
      <c r="F691" s="146"/>
      <c r="G691" s="146"/>
      <c r="H691" s="146"/>
      <c r="I691" s="146"/>
    </row>
    <row r="692" ht="15.75" customHeight="1">
      <c r="A692" s="147"/>
      <c r="B692" s="72" t="s">
        <v>504</v>
      </c>
      <c r="C692" s="149" t="s">
        <v>505</v>
      </c>
      <c r="D692" s="152">
        <f>57</f>
        <v>57</v>
      </c>
      <c r="E692" s="146"/>
      <c r="F692" s="146"/>
      <c r="G692" s="146"/>
      <c r="H692" s="146"/>
      <c r="I692" s="146"/>
    </row>
    <row r="693" ht="15.75" customHeight="1">
      <c r="A693" s="147"/>
      <c r="B693" s="72" t="s">
        <v>458</v>
      </c>
      <c r="C693" s="149" t="s">
        <v>459</v>
      </c>
      <c r="D693" s="152">
        <f>37+32+24+37</f>
        <v>130</v>
      </c>
      <c r="E693" s="146"/>
      <c r="F693" s="146"/>
      <c r="G693" s="146"/>
      <c r="H693" s="146"/>
      <c r="I693" s="146"/>
    </row>
    <row r="694" ht="15.75" customHeight="1">
      <c r="A694" s="147"/>
      <c r="B694" s="72" t="s">
        <v>468</v>
      </c>
      <c r="C694" s="149" t="s">
        <v>469</v>
      </c>
      <c r="D694" s="145">
        <f>62+30+49+22+18+50</f>
        <v>231</v>
      </c>
      <c r="E694" s="146"/>
      <c r="F694" s="146"/>
      <c r="G694" s="146"/>
      <c r="H694" s="146"/>
      <c r="I694" s="146"/>
    </row>
    <row r="695" ht="15.75" customHeight="1">
      <c r="A695" s="147"/>
      <c r="B695" s="72" t="s">
        <v>458</v>
      </c>
      <c r="C695" s="149" t="s">
        <v>459</v>
      </c>
      <c r="D695" s="145">
        <f>43+24</f>
        <v>67</v>
      </c>
      <c r="E695" s="146"/>
      <c r="F695" s="146"/>
      <c r="G695" s="146"/>
      <c r="H695" s="146"/>
      <c r="I695" s="146"/>
    </row>
    <row r="696" ht="15.75" customHeight="1">
      <c r="A696" s="147"/>
      <c r="B696" s="72" t="s">
        <v>506</v>
      </c>
      <c r="C696" s="149" t="s">
        <v>507</v>
      </c>
      <c r="D696" s="145">
        <f>46+45+21+50+28+51+41</f>
        <v>282</v>
      </c>
      <c r="E696" s="146"/>
      <c r="F696" s="146"/>
      <c r="G696" s="146"/>
      <c r="H696" s="146"/>
      <c r="I696" s="146"/>
    </row>
    <row r="697" ht="15.75" customHeight="1">
      <c r="A697" s="147"/>
      <c r="B697" s="124" t="s">
        <v>464</v>
      </c>
      <c r="C697" s="116" t="s">
        <v>465</v>
      </c>
      <c r="D697" s="145">
        <f>20+23+21</f>
        <v>64</v>
      </c>
      <c r="E697" s="146"/>
      <c r="F697" s="146"/>
      <c r="G697" s="146"/>
      <c r="H697" s="146"/>
      <c r="I697" s="146"/>
    </row>
    <row r="698" ht="15.75" customHeight="1">
      <c r="A698" s="147"/>
      <c r="B698" s="72" t="s">
        <v>454</v>
      </c>
      <c r="C698" s="149" t="s">
        <v>455</v>
      </c>
      <c r="D698" s="145">
        <f>40+35+38</f>
        <v>113</v>
      </c>
      <c r="E698" s="146"/>
      <c r="F698" s="146"/>
      <c r="G698" s="146"/>
      <c r="H698" s="146"/>
      <c r="I698" s="146"/>
    </row>
    <row r="699" ht="15.75" customHeight="1">
      <c r="A699" s="147"/>
      <c r="B699" s="124" t="s">
        <v>508</v>
      </c>
      <c r="C699" s="153" t="s">
        <v>509</v>
      </c>
      <c r="D699" s="152">
        <f>42+60+44+53+60+64</f>
        <v>323</v>
      </c>
      <c r="E699" s="146"/>
      <c r="F699" s="146"/>
      <c r="G699" s="146"/>
      <c r="H699" s="146"/>
      <c r="I699" s="146"/>
    </row>
    <row r="700" ht="15.75" customHeight="1">
      <c r="A700" s="147"/>
      <c r="B700" s="124" t="s">
        <v>510</v>
      </c>
      <c r="C700" s="154" t="s">
        <v>511</v>
      </c>
      <c r="D700" s="152">
        <v>37.0</v>
      </c>
      <c r="E700" s="146"/>
      <c r="F700" s="146"/>
      <c r="G700" s="146"/>
      <c r="H700" s="146"/>
      <c r="I700" s="146"/>
    </row>
    <row r="701" ht="15.75" customHeight="1">
      <c r="A701" s="147"/>
      <c r="B701" s="72" t="s">
        <v>512</v>
      </c>
      <c r="C701" s="149" t="s">
        <v>513</v>
      </c>
      <c r="D701" s="152">
        <f>53+66+52+50+49+54</f>
        <v>324</v>
      </c>
      <c r="E701" s="146"/>
      <c r="F701" s="146"/>
      <c r="G701" s="146"/>
      <c r="H701" s="146"/>
      <c r="I701" s="146"/>
    </row>
    <row r="702" ht="15.75" customHeight="1">
      <c r="A702" s="147"/>
      <c r="B702" s="72" t="s">
        <v>514</v>
      </c>
      <c r="C702" s="116" t="s">
        <v>515</v>
      </c>
      <c r="D702" s="145">
        <f>23+23+23+25+23+17+24+24</f>
        <v>182</v>
      </c>
      <c r="E702" s="146"/>
      <c r="F702" s="146"/>
      <c r="G702" s="146"/>
      <c r="H702" s="146"/>
      <c r="I702" s="146"/>
    </row>
    <row r="703" ht="15.75" customHeight="1">
      <c r="A703" s="147"/>
      <c r="B703" s="72" t="s">
        <v>516</v>
      </c>
      <c r="C703" s="116" t="s">
        <v>517</v>
      </c>
      <c r="D703" s="145">
        <f>30+29+26+24+26+23+21+19+17+16</f>
        <v>231</v>
      </c>
      <c r="E703" s="146"/>
      <c r="F703" s="146"/>
      <c r="G703" s="146"/>
      <c r="H703" s="146"/>
      <c r="I703" s="146"/>
    </row>
    <row r="704" ht="15.75" customHeight="1">
      <c r="A704" s="147"/>
      <c r="B704" s="31" t="s">
        <v>462</v>
      </c>
      <c r="C704" s="31" t="s">
        <v>463</v>
      </c>
      <c r="D704" s="145">
        <f>52+49+49+41</f>
        <v>191</v>
      </c>
      <c r="E704" s="146"/>
      <c r="F704" s="146"/>
      <c r="G704" s="146"/>
      <c r="H704" s="146"/>
      <c r="I704" s="146"/>
    </row>
    <row r="705" ht="15.75" customHeight="1">
      <c r="A705" s="147"/>
      <c r="B705" s="72" t="s">
        <v>442</v>
      </c>
      <c r="C705" s="116" t="s">
        <v>443</v>
      </c>
      <c r="D705" s="145">
        <f>37+38+31+32+42+45</f>
        <v>225</v>
      </c>
      <c r="E705" s="146"/>
      <c r="F705" s="146"/>
      <c r="G705" s="146"/>
      <c r="H705" s="146"/>
      <c r="I705" s="146"/>
    </row>
    <row r="706" ht="15.75" customHeight="1">
      <c r="A706" s="147"/>
      <c r="B706" s="72" t="s">
        <v>504</v>
      </c>
      <c r="C706" s="149" t="s">
        <v>505</v>
      </c>
      <c r="D706" s="145">
        <f>49+57+59+45+69</f>
        <v>279</v>
      </c>
      <c r="E706" s="146"/>
      <c r="F706" s="146"/>
      <c r="G706" s="146"/>
      <c r="H706" s="146"/>
      <c r="I706" s="146"/>
    </row>
    <row r="707" ht="15.75" customHeight="1">
      <c r="A707" s="147"/>
      <c r="B707" s="72" t="s">
        <v>494</v>
      </c>
      <c r="C707" s="116" t="s">
        <v>495</v>
      </c>
      <c r="D707" s="145">
        <f>29+31+32+30+37</f>
        <v>159</v>
      </c>
      <c r="E707" s="146"/>
      <c r="F707" s="146"/>
      <c r="G707" s="146"/>
      <c r="H707" s="146"/>
      <c r="I707" s="146"/>
    </row>
    <row r="708" ht="15.75" customHeight="1">
      <c r="A708" s="147"/>
      <c r="B708" s="72" t="s">
        <v>518</v>
      </c>
      <c r="C708" s="149" t="s">
        <v>519</v>
      </c>
      <c r="D708" s="145">
        <f>38+47+47+49+37</f>
        <v>218</v>
      </c>
      <c r="E708" s="146"/>
      <c r="F708" s="146"/>
      <c r="G708" s="146"/>
      <c r="H708" s="146"/>
      <c r="I708" s="146"/>
    </row>
    <row r="709" ht="15.75" customHeight="1">
      <c r="A709" s="147"/>
      <c r="B709" s="72" t="s">
        <v>520</v>
      </c>
      <c r="C709" s="116" t="s">
        <v>521</v>
      </c>
      <c r="D709" s="145">
        <f>29+26+34+40</f>
        <v>129</v>
      </c>
      <c r="E709" s="146"/>
      <c r="F709" s="146"/>
      <c r="G709" s="146"/>
      <c r="H709" s="146"/>
      <c r="I709" s="146"/>
    </row>
    <row r="710" ht="15.75" customHeight="1">
      <c r="A710" s="147"/>
      <c r="B710" s="72" t="s">
        <v>434</v>
      </c>
      <c r="C710" s="116" t="s">
        <v>435</v>
      </c>
      <c r="D710" s="145">
        <f>46+36+20+34+37</f>
        <v>173</v>
      </c>
      <c r="E710" s="146"/>
      <c r="F710" s="146"/>
      <c r="G710" s="146"/>
      <c r="H710" s="146"/>
      <c r="I710" s="146"/>
    </row>
    <row r="711" ht="15.75" customHeight="1">
      <c r="A711" s="147"/>
      <c r="B711" s="155"/>
      <c r="C711" s="151"/>
      <c r="D711" s="145"/>
      <c r="E711" s="146"/>
      <c r="F711" s="146"/>
      <c r="G711" s="146"/>
      <c r="H711" s="146"/>
      <c r="I711" s="146"/>
    </row>
    <row r="712" ht="15.75" customHeight="1">
      <c r="A712" s="133">
        <v>45813.0</v>
      </c>
      <c r="B712" s="72" t="s">
        <v>494</v>
      </c>
      <c r="C712" s="116" t="s">
        <v>495</v>
      </c>
      <c r="D712" s="145">
        <f>33+34+35+15+26+26+31+31+32+32+31+29+38+28+29+33+33+29+30+32+28+20</f>
        <v>655</v>
      </c>
      <c r="E712" s="146"/>
      <c r="F712" s="146"/>
      <c r="G712" s="146"/>
      <c r="H712" s="146"/>
      <c r="I712" s="146"/>
    </row>
    <row r="713" ht="15.75" customHeight="1">
      <c r="A713" s="147"/>
      <c r="B713" s="72" t="s">
        <v>434</v>
      </c>
      <c r="C713" s="116" t="s">
        <v>435</v>
      </c>
      <c r="D713" s="145">
        <f>34+34+35+33+37+35+31+30+28+37+25+36+26+32+40+36+28+29+29+26+24+27+27+22+25+30+30+37+38+37+33+37+35+34+36</f>
        <v>1113</v>
      </c>
      <c r="E713" s="146"/>
      <c r="F713" s="146"/>
      <c r="G713" s="146"/>
      <c r="H713" s="146"/>
      <c r="I713" s="146"/>
    </row>
    <row r="714" ht="15.75" customHeight="1">
      <c r="A714" s="147"/>
      <c r="B714" s="31" t="s">
        <v>496</v>
      </c>
      <c r="C714" s="31" t="s">
        <v>497</v>
      </c>
      <c r="D714" s="145">
        <f>27+15+14</f>
        <v>56</v>
      </c>
      <c r="E714" s="146"/>
      <c r="F714" s="146"/>
      <c r="G714" s="146"/>
      <c r="H714" s="146"/>
      <c r="I714" s="146"/>
    </row>
    <row r="715" ht="15.75" customHeight="1">
      <c r="A715" s="147"/>
      <c r="B715" s="31" t="s">
        <v>498</v>
      </c>
      <c r="C715" s="31" t="s">
        <v>499</v>
      </c>
      <c r="D715" s="145">
        <f>28+26+29+16+15+12+22+34+31+32+32+31+22+24+26+25+25+29+26+24+23+23+21+13+28+26+26+22+29+27+21+16+22+22</f>
        <v>828</v>
      </c>
      <c r="E715" s="146"/>
      <c r="F715" s="146"/>
      <c r="G715" s="146"/>
      <c r="H715" s="146"/>
      <c r="I715" s="146"/>
    </row>
    <row r="716" ht="15.75" customHeight="1">
      <c r="A716" s="147"/>
      <c r="B716" s="31" t="s">
        <v>446</v>
      </c>
      <c r="C716" s="31" t="s">
        <v>447</v>
      </c>
      <c r="D716" s="145">
        <f>14+20+12+27+21+13+11+17+30+24+18+20+13+14+18+13</f>
        <v>285</v>
      </c>
      <c r="E716" s="146"/>
      <c r="F716" s="146"/>
      <c r="G716" s="146"/>
      <c r="H716" s="146"/>
      <c r="I716" s="146"/>
    </row>
    <row r="717" ht="15.75" customHeight="1">
      <c r="A717" s="147"/>
      <c r="B717" s="72" t="s">
        <v>516</v>
      </c>
      <c r="C717" s="116" t="s">
        <v>517</v>
      </c>
      <c r="D717" s="145">
        <f>30+25+30+28+30+30</f>
        <v>173</v>
      </c>
      <c r="E717" s="146"/>
      <c r="F717" s="146"/>
      <c r="G717" s="146"/>
      <c r="H717" s="146"/>
      <c r="I717" s="146"/>
    </row>
    <row r="718" ht="15.75" customHeight="1">
      <c r="A718" s="147"/>
      <c r="B718" s="31" t="s">
        <v>462</v>
      </c>
      <c r="C718" s="31" t="s">
        <v>463</v>
      </c>
      <c r="D718" s="145">
        <f>62+62+63</f>
        <v>187</v>
      </c>
      <c r="E718" s="146"/>
      <c r="F718" s="146"/>
      <c r="G718" s="146"/>
      <c r="H718" s="146"/>
      <c r="I718" s="146"/>
    </row>
    <row r="719" ht="15.75" customHeight="1">
      <c r="A719" s="147"/>
      <c r="B719" s="72" t="s">
        <v>442</v>
      </c>
      <c r="C719" s="116" t="s">
        <v>443</v>
      </c>
      <c r="D719" s="145">
        <f>24+37+30+46+49+41+37+41+37+34</f>
        <v>376</v>
      </c>
      <c r="E719" s="146"/>
      <c r="F719" s="146"/>
      <c r="G719" s="146"/>
      <c r="H719" s="146"/>
      <c r="I719" s="146"/>
    </row>
    <row r="720" ht="15.75" customHeight="1">
      <c r="A720" s="147"/>
      <c r="B720" s="72" t="s">
        <v>504</v>
      </c>
      <c r="C720" s="149" t="s">
        <v>505</v>
      </c>
      <c r="D720" s="145">
        <f>76+64+58</f>
        <v>198</v>
      </c>
      <c r="E720" s="146"/>
      <c r="F720" s="146"/>
      <c r="G720" s="146"/>
      <c r="H720" s="146"/>
      <c r="I720" s="146"/>
    </row>
    <row r="721" ht="15.75" customHeight="1">
      <c r="A721" s="147"/>
      <c r="B721" s="72" t="s">
        <v>452</v>
      </c>
      <c r="C721" s="116" t="s">
        <v>453</v>
      </c>
      <c r="D721" s="145">
        <f>26</f>
        <v>26</v>
      </c>
      <c r="E721" s="146"/>
      <c r="F721" s="146"/>
      <c r="G721" s="146"/>
      <c r="H721" s="146"/>
      <c r="I721" s="146"/>
    </row>
    <row r="722" ht="15.75" customHeight="1">
      <c r="A722" s="147"/>
      <c r="B722" s="72" t="s">
        <v>518</v>
      </c>
      <c r="C722" s="149" t="s">
        <v>519</v>
      </c>
      <c r="D722" s="145">
        <f>50+48+36+40</f>
        <v>174</v>
      </c>
      <c r="E722" s="146"/>
      <c r="F722" s="146"/>
      <c r="G722" s="146"/>
      <c r="H722" s="146"/>
      <c r="I722" s="146"/>
    </row>
    <row r="723" ht="15.75" customHeight="1">
      <c r="A723" s="147"/>
      <c r="B723" s="72" t="s">
        <v>506</v>
      </c>
      <c r="C723" s="149" t="s">
        <v>507</v>
      </c>
      <c r="D723" s="145">
        <f>42+38+52+30+28+44+35+35+54</f>
        <v>358</v>
      </c>
      <c r="E723" s="146"/>
      <c r="F723" s="146"/>
      <c r="G723" s="146"/>
      <c r="H723" s="146"/>
      <c r="I723" s="146"/>
    </row>
    <row r="724" ht="15.75" customHeight="1">
      <c r="A724" s="147"/>
      <c r="B724" s="72" t="s">
        <v>520</v>
      </c>
      <c r="C724" s="116" t="s">
        <v>521</v>
      </c>
      <c r="D724" s="145">
        <f>28+48+40+41+41+50+56+52+45</f>
        <v>401</v>
      </c>
      <c r="E724" s="146"/>
      <c r="F724" s="146"/>
      <c r="G724" s="146"/>
      <c r="H724" s="146"/>
      <c r="I724" s="146"/>
    </row>
    <row r="725" ht="15.75" customHeight="1">
      <c r="A725" s="147"/>
      <c r="B725" s="124" t="s">
        <v>508</v>
      </c>
      <c r="C725" s="153" t="s">
        <v>509</v>
      </c>
      <c r="D725" s="145">
        <f>63+57+54+48+52+35+51+61+66+34</f>
        <v>521</v>
      </c>
      <c r="E725" s="146"/>
      <c r="F725" s="146"/>
      <c r="G725" s="146"/>
      <c r="H725" s="146"/>
      <c r="I725" s="146"/>
    </row>
    <row r="726" ht="15.75" customHeight="1">
      <c r="A726" s="147"/>
      <c r="B726" s="156" t="s">
        <v>512</v>
      </c>
      <c r="C726" s="157" t="s">
        <v>513</v>
      </c>
      <c r="D726" s="145">
        <f>62+42+47+58</f>
        <v>209</v>
      </c>
      <c r="E726" s="146"/>
      <c r="F726" s="146"/>
      <c r="G726" s="146"/>
      <c r="H726" s="146"/>
      <c r="I726" s="146"/>
    </row>
    <row r="727" ht="15.75" customHeight="1">
      <c r="A727" s="147"/>
      <c r="B727" s="72" t="s">
        <v>522</v>
      </c>
      <c r="C727" s="149" t="s">
        <v>523</v>
      </c>
      <c r="D727" s="145">
        <f>33+31+31+28+26+29+33+29+22+20+27+32+31+31+30+33+23</f>
        <v>489</v>
      </c>
      <c r="E727" s="146"/>
      <c r="F727" s="146"/>
      <c r="G727" s="146"/>
      <c r="H727" s="146"/>
      <c r="I727" s="146"/>
    </row>
    <row r="728" ht="15.75" customHeight="1">
      <c r="A728" s="147"/>
      <c r="B728" s="31" t="s">
        <v>478</v>
      </c>
      <c r="C728" s="31" t="s">
        <v>479</v>
      </c>
      <c r="D728" s="145">
        <f>19+13+13+14+30+4</f>
        <v>93</v>
      </c>
      <c r="E728" s="146"/>
      <c r="F728" s="146"/>
      <c r="G728" s="146"/>
      <c r="H728" s="146"/>
      <c r="I728" s="146"/>
    </row>
    <row r="729" ht="15.75" customHeight="1">
      <c r="A729" s="147"/>
      <c r="B729" s="31" t="s">
        <v>462</v>
      </c>
      <c r="C729" s="31" t="s">
        <v>463</v>
      </c>
      <c r="D729" s="145">
        <f>55+60+64+61+53+45+68</f>
        <v>406</v>
      </c>
      <c r="E729" s="146"/>
      <c r="F729" s="146"/>
      <c r="G729" s="146"/>
      <c r="H729" s="146"/>
      <c r="I729" s="146"/>
    </row>
    <row r="730" ht="15.75" customHeight="1">
      <c r="A730" s="147"/>
      <c r="B730" s="72" t="s">
        <v>494</v>
      </c>
      <c r="C730" s="116" t="s">
        <v>495</v>
      </c>
      <c r="D730" s="145">
        <f>32+36+36+37+33</f>
        <v>174</v>
      </c>
      <c r="E730" s="146"/>
      <c r="F730" s="146"/>
      <c r="G730" s="146"/>
      <c r="H730" s="146"/>
      <c r="I730" s="146"/>
    </row>
    <row r="731" ht="15.75" customHeight="1">
      <c r="A731" s="147"/>
      <c r="B731" s="72" t="s">
        <v>518</v>
      </c>
      <c r="C731" s="149" t="s">
        <v>519</v>
      </c>
      <c r="D731" s="145">
        <f>54+55+58+45</f>
        <v>212</v>
      </c>
      <c r="E731" s="146"/>
      <c r="F731" s="146"/>
      <c r="G731" s="146"/>
      <c r="H731" s="146"/>
      <c r="I731" s="146"/>
    </row>
    <row r="732" ht="15.75" customHeight="1">
      <c r="A732" s="147"/>
      <c r="B732" s="72" t="s">
        <v>524</v>
      </c>
      <c r="C732" s="116" t="s">
        <v>525</v>
      </c>
      <c r="D732" s="145">
        <f>35+45+40+33+35</f>
        <v>188</v>
      </c>
      <c r="E732" s="146"/>
      <c r="F732" s="146"/>
      <c r="G732" s="146"/>
      <c r="H732" s="146"/>
      <c r="I732" s="146"/>
    </row>
    <row r="733" ht="15.75" customHeight="1">
      <c r="A733" s="147"/>
      <c r="B733" s="72" t="s">
        <v>460</v>
      </c>
      <c r="C733" s="116" t="s">
        <v>461</v>
      </c>
      <c r="D733" s="145">
        <f>35</f>
        <v>35</v>
      </c>
      <c r="E733" s="146"/>
      <c r="F733" s="146"/>
      <c r="G733" s="146"/>
      <c r="H733" s="146"/>
      <c r="I733" s="146"/>
    </row>
    <row r="734" ht="15.75" customHeight="1">
      <c r="A734" s="147"/>
      <c r="B734" s="124" t="s">
        <v>526</v>
      </c>
      <c r="C734" s="153" t="s">
        <v>527</v>
      </c>
      <c r="D734" s="145">
        <f>55+56+56+41+34+32</f>
        <v>274</v>
      </c>
      <c r="E734" s="146"/>
      <c r="F734" s="146"/>
      <c r="G734" s="146"/>
      <c r="H734" s="146"/>
      <c r="I734" s="146"/>
    </row>
    <row r="735" ht="15.75" customHeight="1">
      <c r="A735" s="147"/>
      <c r="B735" s="131"/>
      <c r="C735" s="131"/>
      <c r="D735" s="145"/>
      <c r="E735" s="146"/>
      <c r="F735" s="146"/>
      <c r="G735" s="146"/>
      <c r="H735" s="146"/>
      <c r="I735" s="146"/>
    </row>
    <row r="736" ht="15.75" customHeight="1">
      <c r="A736" s="133">
        <v>45814.0</v>
      </c>
      <c r="B736" s="72" t="s">
        <v>448</v>
      </c>
      <c r="C736" s="116" t="s">
        <v>449</v>
      </c>
      <c r="D736" s="145">
        <f>45+30+30+27+30</f>
        <v>162</v>
      </c>
      <c r="E736" s="146"/>
      <c r="F736" s="146"/>
      <c r="G736" s="146"/>
      <c r="H736" s="146"/>
      <c r="I736" s="146"/>
    </row>
    <row r="737" ht="15.75" customHeight="1">
      <c r="A737" s="147"/>
      <c r="B737" s="31" t="s">
        <v>498</v>
      </c>
      <c r="C737" s="31" t="s">
        <v>499</v>
      </c>
      <c r="D737" s="145">
        <f>29+32+28+24+24+28+17+18+29+33+33+30+28+32+17+20+26+24+24+24+22+24+22+23+19+23+23+23+17+26+27+25+26+20+21</f>
        <v>861</v>
      </c>
      <c r="E737" s="146"/>
      <c r="F737" s="146"/>
      <c r="G737" s="146"/>
      <c r="H737" s="146"/>
      <c r="I737" s="146"/>
    </row>
    <row r="738" ht="15.75" customHeight="1">
      <c r="A738" s="147"/>
      <c r="B738" s="72" t="s">
        <v>522</v>
      </c>
      <c r="C738" s="149" t="s">
        <v>523</v>
      </c>
      <c r="D738" s="145">
        <f>26+30+11+29+32+30+31+27+31</f>
        <v>247</v>
      </c>
      <c r="E738" s="146"/>
      <c r="F738" s="146"/>
      <c r="G738" s="146"/>
      <c r="H738" s="146"/>
      <c r="I738" s="146"/>
    </row>
    <row r="739" ht="15.75" customHeight="1">
      <c r="A739" s="147"/>
      <c r="B739" s="72" t="s">
        <v>528</v>
      </c>
      <c r="C739" s="149" t="s">
        <v>529</v>
      </c>
      <c r="D739" s="145">
        <f>39+36+23+25+29+27+34+35+33+35+33+31+23+25</f>
        <v>428</v>
      </c>
      <c r="E739" s="146"/>
      <c r="F739" s="146"/>
      <c r="G739" s="146"/>
      <c r="H739" s="146"/>
      <c r="I739" s="146"/>
    </row>
    <row r="740" ht="15.75" customHeight="1">
      <c r="A740" s="147"/>
      <c r="B740" s="31" t="s">
        <v>446</v>
      </c>
      <c r="C740" s="31" t="s">
        <v>447</v>
      </c>
      <c r="D740" s="145">
        <f>16+18+7+8+13+11+16+16+18+15+10+10+7+11+10+11+15+12+10+10+14+14+8+5+9+17+16+16+15+18+9+7+14+9+11+8</f>
        <v>434</v>
      </c>
      <c r="E740" s="146"/>
      <c r="F740" s="146"/>
      <c r="G740" s="146"/>
      <c r="H740" s="146"/>
      <c r="I740" s="146"/>
    </row>
    <row r="741" ht="15.75" customHeight="1">
      <c r="A741" s="147"/>
      <c r="B741" s="72" t="s">
        <v>530</v>
      </c>
      <c r="C741" s="149" t="s">
        <v>531</v>
      </c>
      <c r="D741" s="145">
        <f>37+37+35+32+33+29+22+20+16+17</f>
        <v>278</v>
      </c>
      <c r="E741" s="146"/>
      <c r="F741" s="146"/>
      <c r="G741" s="146"/>
      <c r="H741" s="146"/>
      <c r="I741" s="146"/>
    </row>
    <row r="742" ht="15.75" customHeight="1">
      <c r="A742" s="147"/>
      <c r="B742" s="31" t="s">
        <v>462</v>
      </c>
      <c r="C742" s="31" t="s">
        <v>463</v>
      </c>
      <c r="D742" s="145">
        <f>55+64+49+48</f>
        <v>216</v>
      </c>
      <c r="E742" s="146"/>
      <c r="F742" s="146"/>
      <c r="G742" s="146"/>
      <c r="H742" s="146"/>
      <c r="I742" s="146"/>
    </row>
    <row r="743" ht="15.75" customHeight="1">
      <c r="A743" s="147"/>
      <c r="B743" s="72" t="s">
        <v>442</v>
      </c>
      <c r="C743" s="116" t="s">
        <v>443</v>
      </c>
      <c r="D743" s="145">
        <f>61+43+40+52+43+45+42+43</f>
        <v>369</v>
      </c>
      <c r="E743" s="146"/>
      <c r="F743" s="146"/>
      <c r="G743" s="146"/>
      <c r="H743" s="146"/>
      <c r="I743" s="146"/>
    </row>
    <row r="744" ht="15.75" customHeight="1">
      <c r="A744" s="147"/>
      <c r="B744" s="31" t="s">
        <v>440</v>
      </c>
      <c r="C744" s="31" t="s">
        <v>441</v>
      </c>
      <c r="D744" s="145">
        <f>48+44+40+42+46+44+44+42+43+37</f>
        <v>430</v>
      </c>
      <c r="E744" s="146"/>
      <c r="F744" s="146"/>
      <c r="G744" s="146"/>
      <c r="H744" s="146"/>
      <c r="I744" s="146"/>
    </row>
    <row r="745" ht="15.75" customHeight="1">
      <c r="A745" s="147"/>
      <c r="B745" s="72" t="s">
        <v>494</v>
      </c>
      <c r="C745" s="116" t="s">
        <v>495</v>
      </c>
      <c r="D745" s="145">
        <f>34+27+41+38+28+35+28+31+32+30+35+34+33+39+36</f>
        <v>501</v>
      </c>
      <c r="E745" s="146"/>
      <c r="F745" s="146"/>
      <c r="G745" s="146"/>
      <c r="H745" s="146"/>
      <c r="I745" s="146"/>
    </row>
    <row r="746" ht="15.75" customHeight="1">
      <c r="A746" s="147"/>
      <c r="B746" s="72" t="s">
        <v>524</v>
      </c>
      <c r="C746" s="116" t="s">
        <v>525</v>
      </c>
      <c r="D746" s="145">
        <f>46+43+43+52+51+40+43+52+48+46+49</f>
        <v>513</v>
      </c>
      <c r="E746" s="146"/>
      <c r="F746" s="146"/>
      <c r="G746" s="146"/>
      <c r="H746" s="146"/>
      <c r="I746" s="146"/>
    </row>
    <row r="747" ht="15.75" customHeight="1">
      <c r="A747" s="147"/>
      <c r="B747" s="72" t="s">
        <v>520</v>
      </c>
      <c r="C747" s="116" t="s">
        <v>521</v>
      </c>
      <c r="D747" s="145">
        <f>32</f>
        <v>32</v>
      </c>
      <c r="E747" s="146"/>
      <c r="F747" s="146"/>
      <c r="G747" s="146"/>
      <c r="H747" s="146"/>
      <c r="I747" s="146"/>
    </row>
    <row r="748" ht="15.75" customHeight="1">
      <c r="A748" s="147"/>
      <c r="B748" s="72" t="s">
        <v>532</v>
      </c>
      <c r="C748" s="148" t="s">
        <v>533</v>
      </c>
      <c r="D748" s="145">
        <f>35+35+32+32+37+34+33+19</f>
        <v>257</v>
      </c>
      <c r="E748" s="146"/>
      <c r="F748" s="146"/>
      <c r="G748" s="146"/>
      <c r="H748" s="146"/>
      <c r="I748" s="146"/>
    </row>
    <row r="749" ht="15.75" customHeight="1">
      <c r="A749" s="147"/>
      <c r="B749" s="72" t="s">
        <v>460</v>
      </c>
      <c r="C749" s="116" t="s">
        <v>461</v>
      </c>
      <c r="D749" s="145">
        <f>35+35+35+34+33+32+37+33+40+28+19</f>
        <v>361</v>
      </c>
      <c r="E749" s="146"/>
      <c r="F749" s="146"/>
      <c r="G749" s="146"/>
      <c r="H749" s="146"/>
      <c r="I749" s="146"/>
    </row>
    <row r="750" ht="15.75" customHeight="1">
      <c r="A750" s="147"/>
      <c r="B750" s="124" t="s">
        <v>534</v>
      </c>
      <c r="C750" s="153" t="s">
        <v>535</v>
      </c>
      <c r="D750" s="145">
        <f>55+60+42+55+58+47+48+63+23+54</f>
        <v>505</v>
      </c>
      <c r="E750" s="146"/>
      <c r="F750" s="146"/>
      <c r="G750" s="146"/>
      <c r="H750" s="146"/>
      <c r="I750" s="146"/>
    </row>
    <row r="751" ht="15.75" customHeight="1">
      <c r="A751" s="147"/>
      <c r="B751" s="158" t="s">
        <v>526</v>
      </c>
      <c r="C751" s="159" t="s">
        <v>527</v>
      </c>
      <c r="D751" s="145">
        <f>60+50+53+50+57+53+44+61</f>
        <v>428</v>
      </c>
      <c r="E751" s="146"/>
      <c r="F751" s="146"/>
      <c r="G751" s="146"/>
      <c r="H751" s="146"/>
      <c r="I751" s="146"/>
    </row>
    <row r="752" ht="15.75" customHeight="1">
      <c r="A752" s="147"/>
      <c r="B752" s="31" t="s">
        <v>536</v>
      </c>
      <c r="C752" s="31" t="s">
        <v>537</v>
      </c>
      <c r="D752" s="145">
        <f>63+43</f>
        <v>106</v>
      </c>
      <c r="E752" s="146"/>
      <c r="F752" s="146"/>
      <c r="G752" s="146"/>
      <c r="H752" s="146"/>
      <c r="I752" s="146"/>
    </row>
    <row r="753" ht="15.75" customHeight="1">
      <c r="A753" s="147"/>
      <c r="B753" s="72" t="s">
        <v>448</v>
      </c>
      <c r="C753" s="116" t="s">
        <v>449</v>
      </c>
      <c r="D753" s="145">
        <f>34+32+31+32</f>
        <v>129</v>
      </c>
      <c r="E753" s="146"/>
      <c r="F753" s="146"/>
      <c r="G753" s="146"/>
      <c r="H753" s="146"/>
      <c r="I753" s="146"/>
    </row>
    <row r="754" ht="15.75" customHeight="1">
      <c r="A754" s="147"/>
      <c r="B754" s="72" t="s">
        <v>524</v>
      </c>
      <c r="C754" s="116" t="s">
        <v>525</v>
      </c>
      <c r="D754" s="145">
        <f>45+50+51+41+42+49+44+31+52+39+58</f>
        <v>502</v>
      </c>
      <c r="E754" s="146"/>
      <c r="F754" s="146"/>
      <c r="G754" s="146"/>
      <c r="H754" s="146"/>
      <c r="I754" s="146"/>
    </row>
    <row r="755" ht="15.75" customHeight="1">
      <c r="A755" s="147"/>
      <c r="B755" s="131"/>
      <c r="C755" s="131"/>
      <c r="D755" s="145"/>
      <c r="E755" s="146"/>
      <c r="F755" s="146"/>
      <c r="G755" s="146"/>
      <c r="H755" s="146"/>
      <c r="I755" s="146"/>
    </row>
    <row r="756" ht="15.75" customHeight="1">
      <c r="A756" s="133">
        <v>45815.0</v>
      </c>
      <c r="B756" s="72" t="s">
        <v>494</v>
      </c>
      <c r="C756" s="116" t="s">
        <v>495</v>
      </c>
      <c r="D756" s="145">
        <f>30+29+33+25+33+36+35+22+35+33+31+25+37+32+33+38</f>
        <v>507</v>
      </c>
      <c r="E756" s="146"/>
      <c r="F756" s="146"/>
      <c r="G756" s="146"/>
      <c r="H756" s="146"/>
      <c r="I756" s="146"/>
    </row>
    <row r="757" ht="15.75" customHeight="1">
      <c r="A757" s="147"/>
      <c r="B757" s="31" t="s">
        <v>498</v>
      </c>
      <c r="C757" s="31" t="s">
        <v>499</v>
      </c>
      <c r="D757" s="145">
        <f>32+30+27+30+23+28+21+18+27+28+32+27+26+23+21+18+23+20+23+26+26+23+25+24+25+26+27+22+26+28</f>
        <v>755</v>
      </c>
      <c r="E757" s="146"/>
      <c r="F757" s="146"/>
      <c r="G757" s="146"/>
      <c r="H757" s="146"/>
      <c r="I757" s="146"/>
    </row>
    <row r="758" ht="15.75" customHeight="1">
      <c r="A758" s="147"/>
      <c r="B758" s="72" t="s">
        <v>514</v>
      </c>
      <c r="C758" s="116" t="s">
        <v>515</v>
      </c>
      <c r="D758" s="145">
        <f>18+20+22+24+17+18+30+27+25+25+25+22</f>
        <v>273</v>
      </c>
      <c r="E758" s="146"/>
      <c r="F758" s="146"/>
      <c r="G758" s="146"/>
      <c r="H758" s="146"/>
      <c r="I758" s="146"/>
    </row>
    <row r="759" ht="15.75" customHeight="1">
      <c r="A759" s="147"/>
      <c r="B759" s="72" t="s">
        <v>528</v>
      </c>
      <c r="C759" s="149" t="s">
        <v>529</v>
      </c>
      <c r="D759" s="145">
        <f>31+28+32+30</f>
        <v>121</v>
      </c>
      <c r="E759" s="146"/>
      <c r="F759" s="146"/>
      <c r="G759" s="146"/>
      <c r="H759" s="146"/>
      <c r="I759" s="146"/>
    </row>
    <row r="760" ht="15.75" customHeight="1">
      <c r="A760" s="147"/>
      <c r="B760" s="31" t="s">
        <v>446</v>
      </c>
      <c r="C760" s="31" t="s">
        <v>447</v>
      </c>
      <c r="D760" s="145">
        <f>9+9+9+13+11+9+13+8+9+8+9+7+6+6+12+9+20+8+13+10+7+9+12+20+10+5+11+9+13+11+11+11+12+17+10+10+11+5+5+7+11+13+12+10+12+7+10+10+10+9+11+8</f>
        <v>527</v>
      </c>
      <c r="E760" s="146"/>
      <c r="F760" s="146"/>
      <c r="G760" s="146"/>
      <c r="H760" s="146"/>
      <c r="I760" s="146"/>
    </row>
    <row r="761" ht="15.75" customHeight="1">
      <c r="A761" s="147"/>
      <c r="B761" s="72" t="s">
        <v>530</v>
      </c>
      <c r="C761" s="149" t="s">
        <v>531</v>
      </c>
      <c r="D761" s="145">
        <f>31+28+31+29</f>
        <v>119</v>
      </c>
      <c r="E761" s="146"/>
      <c r="F761" s="146"/>
      <c r="G761" s="146"/>
      <c r="H761" s="146"/>
      <c r="I761" s="146"/>
    </row>
    <row r="762" ht="15.75" customHeight="1">
      <c r="A762" s="147"/>
      <c r="B762" s="72" t="s">
        <v>538</v>
      </c>
      <c r="C762" s="116" t="s">
        <v>539</v>
      </c>
      <c r="D762" s="145">
        <f>28+31+30+28+27+25+27+16</f>
        <v>212</v>
      </c>
      <c r="E762" s="146"/>
      <c r="F762" s="146"/>
      <c r="G762" s="146"/>
      <c r="H762" s="146"/>
      <c r="I762" s="146"/>
    </row>
    <row r="763" ht="15.75" customHeight="1">
      <c r="A763" s="147"/>
      <c r="B763" s="31" t="s">
        <v>536</v>
      </c>
      <c r="C763" s="31" t="s">
        <v>537</v>
      </c>
      <c r="D763" s="145">
        <f>71+84+61+72</f>
        <v>288</v>
      </c>
      <c r="E763" s="146"/>
      <c r="F763" s="146"/>
      <c r="G763" s="146"/>
      <c r="H763" s="146"/>
      <c r="I763" s="146"/>
    </row>
    <row r="764" ht="15.75" customHeight="1">
      <c r="A764" s="147"/>
      <c r="B764" s="72" t="s">
        <v>442</v>
      </c>
      <c r="C764" s="116" t="s">
        <v>443</v>
      </c>
      <c r="D764" s="145">
        <f>38+38+41+49+28+56+54+49+29+48+42</f>
        <v>472</v>
      </c>
      <c r="E764" s="146"/>
      <c r="F764" s="146"/>
      <c r="G764" s="146"/>
      <c r="H764" s="146"/>
      <c r="I764" s="146"/>
    </row>
    <row r="765" ht="15.75" customHeight="1">
      <c r="A765" s="147"/>
      <c r="B765" s="31" t="s">
        <v>440</v>
      </c>
      <c r="C765" s="31" t="s">
        <v>441</v>
      </c>
      <c r="D765" s="145">
        <f>51</f>
        <v>51</v>
      </c>
      <c r="E765" s="146"/>
      <c r="F765" s="146"/>
      <c r="G765" s="146"/>
      <c r="H765" s="146"/>
      <c r="I765" s="146"/>
    </row>
    <row r="766" ht="15.75" customHeight="1">
      <c r="A766" s="147"/>
      <c r="B766" s="72" t="s">
        <v>448</v>
      </c>
      <c r="C766" s="116" t="s">
        <v>449</v>
      </c>
      <c r="D766" s="145">
        <f>27+25+31+24+36+33+32+35+22+32+30+28+29+37+32</f>
        <v>453</v>
      </c>
      <c r="E766" s="146"/>
      <c r="F766" s="146"/>
      <c r="G766" s="146"/>
      <c r="H766" s="146"/>
      <c r="I766" s="146"/>
    </row>
    <row r="767" ht="15.75" customHeight="1">
      <c r="A767" s="147"/>
      <c r="B767" s="72" t="s">
        <v>524</v>
      </c>
      <c r="C767" s="116" t="s">
        <v>525</v>
      </c>
      <c r="D767" s="145">
        <f>54+54+45+45+50+57+4+44+45+21</f>
        <v>419</v>
      </c>
      <c r="E767" s="146"/>
      <c r="F767" s="146"/>
      <c r="G767" s="146"/>
      <c r="H767" s="146"/>
      <c r="I767" s="146"/>
    </row>
    <row r="768" ht="15.75" customHeight="1">
      <c r="A768" s="147"/>
      <c r="B768" s="72" t="s">
        <v>532</v>
      </c>
      <c r="C768" s="148" t="s">
        <v>533</v>
      </c>
      <c r="D768" s="145">
        <f>23+43+43+45+43+47+39+32+38+37</f>
        <v>390</v>
      </c>
      <c r="E768" s="146"/>
      <c r="F768" s="146"/>
      <c r="G768" s="146"/>
      <c r="H768" s="146"/>
      <c r="I768" s="146"/>
    </row>
    <row r="769" ht="15.75" customHeight="1">
      <c r="A769" s="147"/>
      <c r="B769" s="72" t="s">
        <v>460</v>
      </c>
      <c r="C769" s="116" t="s">
        <v>461</v>
      </c>
      <c r="D769" s="145">
        <f>33+35+34+33+38+29+35+28+33+28+32+41+38+38</f>
        <v>475</v>
      </c>
      <c r="E769" s="146"/>
      <c r="F769" s="146"/>
      <c r="G769" s="146"/>
      <c r="H769" s="146"/>
      <c r="I769" s="146"/>
    </row>
    <row r="770" ht="15.75" customHeight="1">
      <c r="A770" s="147"/>
      <c r="B770" s="124" t="s">
        <v>534</v>
      </c>
      <c r="C770" s="153" t="s">
        <v>535</v>
      </c>
      <c r="D770" s="145">
        <f>55+41+55+32+60+56+52+66</f>
        <v>417</v>
      </c>
      <c r="E770" s="146"/>
      <c r="F770" s="146"/>
      <c r="G770" s="146"/>
      <c r="H770" s="146"/>
      <c r="I770" s="146"/>
    </row>
    <row r="771" ht="15.75" customHeight="1">
      <c r="A771" s="147"/>
      <c r="B771" s="124" t="s">
        <v>526</v>
      </c>
      <c r="C771" s="153" t="s">
        <v>527</v>
      </c>
      <c r="D771" s="145">
        <f>40+52+32+53+49+56+51+53</f>
        <v>386</v>
      </c>
      <c r="E771" s="146"/>
      <c r="F771" s="146"/>
      <c r="G771" s="146"/>
      <c r="H771" s="146"/>
      <c r="I771" s="146"/>
    </row>
    <row r="772" ht="15.75" customHeight="1">
      <c r="A772" s="147"/>
      <c r="B772" s="124" t="s">
        <v>508</v>
      </c>
      <c r="C772" s="153" t="s">
        <v>509</v>
      </c>
      <c r="D772" s="145">
        <f>37+30+53</f>
        <v>120</v>
      </c>
      <c r="E772" s="146"/>
      <c r="F772" s="146"/>
      <c r="G772" s="146"/>
      <c r="H772" s="146"/>
      <c r="I772" s="146"/>
    </row>
    <row r="773" ht="15.75" customHeight="1">
      <c r="A773" s="147"/>
      <c r="B773" s="131"/>
      <c r="C773" s="131"/>
      <c r="D773" s="145"/>
      <c r="E773" s="146"/>
      <c r="F773" s="146"/>
      <c r="G773" s="146"/>
      <c r="H773" s="146"/>
      <c r="I773" s="146"/>
    </row>
    <row r="774" ht="15.75" customHeight="1">
      <c r="A774" s="133">
        <v>45817.0</v>
      </c>
      <c r="B774" s="72" t="s">
        <v>494</v>
      </c>
      <c r="C774" s="116" t="s">
        <v>495</v>
      </c>
      <c r="D774" s="145">
        <f>38+18+32+32+20+18+33+35+22+36+36</f>
        <v>320</v>
      </c>
      <c r="E774" s="146"/>
      <c r="F774" s="146"/>
      <c r="G774" s="146"/>
      <c r="H774" s="146"/>
      <c r="I774" s="146"/>
    </row>
    <row r="775" ht="15.75" customHeight="1">
      <c r="A775" s="147"/>
      <c r="B775" s="72" t="s">
        <v>448</v>
      </c>
      <c r="C775" s="116" t="s">
        <v>449</v>
      </c>
      <c r="D775" s="152">
        <f>30+23+32+35+24+39+39+38+34+39+30+36+26+29+29+30+35+18+17+29+23+31+36+30+34+27+35+30+32+31+31</f>
        <v>952</v>
      </c>
      <c r="E775" s="146"/>
      <c r="F775" s="146"/>
      <c r="G775" s="146"/>
      <c r="H775" s="146"/>
      <c r="I775" s="146"/>
    </row>
    <row r="776" ht="15.75" customHeight="1">
      <c r="A776" s="147"/>
      <c r="B776" s="31" t="s">
        <v>498</v>
      </c>
      <c r="C776" s="31" t="s">
        <v>499</v>
      </c>
      <c r="D776" s="145">
        <f>23+25+20+22+24+21+20+26+29+30+27+24+28+31+30+31</f>
        <v>411</v>
      </c>
      <c r="E776" s="146"/>
      <c r="F776" s="146"/>
      <c r="G776" s="146"/>
      <c r="H776" s="146"/>
      <c r="I776" s="146"/>
    </row>
    <row r="777" ht="15.75" customHeight="1">
      <c r="A777" s="147"/>
      <c r="B777" s="31" t="s">
        <v>496</v>
      </c>
      <c r="C777" s="31" t="s">
        <v>497</v>
      </c>
      <c r="D777" s="145">
        <f>26+25+35+29+20+39+16+17+20+24+22+15+21+22+21+27</f>
        <v>379</v>
      </c>
      <c r="E777" s="146"/>
      <c r="F777" s="146"/>
      <c r="G777" s="146"/>
      <c r="H777" s="146"/>
      <c r="I777" s="146"/>
    </row>
    <row r="778" ht="15.75" customHeight="1">
      <c r="A778" s="147"/>
      <c r="B778" s="72" t="s">
        <v>514</v>
      </c>
      <c r="C778" s="116" t="s">
        <v>515</v>
      </c>
      <c r="D778" s="145">
        <f>29+17+20+28</f>
        <v>94</v>
      </c>
      <c r="E778" s="146"/>
      <c r="F778" s="146"/>
      <c r="G778" s="146"/>
      <c r="H778" s="146"/>
      <c r="I778" s="146"/>
    </row>
    <row r="779" ht="15.75" customHeight="1">
      <c r="A779" s="147"/>
      <c r="B779" s="72" t="s">
        <v>540</v>
      </c>
      <c r="C779" s="116" t="s">
        <v>541</v>
      </c>
      <c r="D779" s="145">
        <f>30+26+31+29</f>
        <v>116</v>
      </c>
      <c r="E779" s="146"/>
      <c r="F779" s="146"/>
      <c r="G779" s="146"/>
      <c r="H779" s="146"/>
      <c r="I779" s="146"/>
    </row>
    <row r="780" ht="15.75" customHeight="1">
      <c r="A780" s="147"/>
      <c r="B780" s="31" t="s">
        <v>446</v>
      </c>
      <c r="C780" s="31" t="s">
        <v>447</v>
      </c>
      <c r="D780" s="145">
        <f>10+10+6+16+10+15+19+10+17+9+7+12+14+16+14+14+18+22+24+6+22+20+18+9+11+11+10+10+11+10+9+10+11+18+11</f>
        <v>460</v>
      </c>
      <c r="E780" s="146"/>
      <c r="F780" s="146"/>
      <c r="G780" s="146"/>
      <c r="H780" s="146"/>
      <c r="I780" s="146"/>
    </row>
    <row r="781" ht="15.75" customHeight="1">
      <c r="A781" s="147"/>
      <c r="B781" s="72" t="s">
        <v>516</v>
      </c>
      <c r="C781" s="116" t="s">
        <v>517</v>
      </c>
      <c r="D781" s="145">
        <f>26+28+27+26</f>
        <v>107</v>
      </c>
      <c r="E781" s="146"/>
      <c r="F781" s="146"/>
      <c r="G781" s="146"/>
      <c r="H781" s="146"/>
      <c r="I781" s="146"/>
    </row>
    <row r="782" ht="15.75" customHeight="1">
      <c r="A782" s="147"/>
      <c r="B782" s="72" t="s">
        <v>540</v>
      </c>
      <c r="C782" s="116" t="s">
        <v>541</v>
      </c>
      <c r="D782" s="145">
        <f>22+27+23+21+21+24+24+25+20+17</f>
        <v>224</v>
      </c>
      <c r="E782" s="146"/>
      <c r="F782" s="146"/>
      <c r="G782" s="146"/>
      <c r="H782" s="146"/>
      <c r="I782" s="146"/>
    </row>
    <row r="783" ht="15.75" customHeight="1">
      <c r="A783" s="147"/>
      <c r="B783" s="31" t="s">
        <v>536</v>
      </c>
      <c r="C783" s="31" t="s">
        <v>537</v>
      </c>
      <c r="D783" s="145">
        <f>58</f>
        <v>58</v>
      </c>
      <c r="E783" s="146"/>
      <c r="F783" s="146"/>
      <c r="G783" s="146"/>
      <c r="H783" s="146"/>
      <c r="I783" s="146"/>
    </row>
    <row r="784" ht="15.75" customHeight="1">
      <c r="A784" s="147"/>
      <c r="B784" s="31" t="s">
        <v>490</v>
      </c>
      <c r="C784" s="31" t="s">
        <v>491</v>
      </c>
      <c r="D784" s="145">
        <f>51+34+64+68+61</f>
        <v>278</v>
      </c>
      <c r="E784" s="146"/>
      <c r="F784" s="146"/>
      <c r="G784" s="146"/>
      <c r="H784" s="146"/>
      <c r="I784" s="146"/>
    </row>
    <row r="785" ht="15.75" customHeight="1">
      <c r="A785" s="147"/>
      <c r="B785" s="31" t="s">
        <v>478</v>
      </c>
      <c r="C785" s="31" t="s">
        <v>479</v>
      </c>
      <c r="D785" s="145">
        <f>17+15</f>
        <v>32</v>
      </c>
      <c r="E785" s="146"/>
      <c r="F785" s="146"/>
      <c r="G785" s="146"/>
      <c r="H785" s="146"/>
      <c r="I785" s="146"/>
    </row>
    <row r="786" ht="15.75" customHeight="1">
      <c r="A786" s="147"/>
      <c r="B786" s="72" t="s">
        <v>542</v>
      </c>
      <c r="C786" s="116" t="s">
        <v>543</v>
      </c>
      <c r="D786" s="152">
        <f>46+46+71+59+56</f>
        <v>278</v>
      </c>
      <c r="E786" s="146"/>
      <c r="F786" s="146"/>
      <c r="G786" s="146"/>
      <c r="H786" s="146"/>
      <c r="I786" s="146"/>
    </row>
    <row r="787" ht="15.75" customHeight="1">
      <c r="A787" s="147"/>
      <c r="B787" s="72" t="s">
        <v>442</v>
      </c>
      <c r="C787" s="116" t="s">
        <v>443</v>
      </c>
      <c r="D787" s="145">
        <f>42+39+33+28+44+46+39+28+31+37+35+38+44+25+41+29</f>
        <v>579</v>
      </c>
      <c r="E787" s="146"/>
      <c r="F787" s="146"/>
      <c r="G787" s="146"/>
      <c r="H787" s="146"/>
      <c r="I787" s="146"/>
    </row>
    <row r="788" ht="15.75" customHeight="1">
      <c r="A788" s="147"/>
      <c r="B788" s="72" t="s">
        <v>544</v>
      </c>
      <c r="C788" s="116" t="s">
        <v>545</v>
      </c>
      <c r="D788" s="145">
        <f>40</f>
        <v>40</v>
      </c>
      <c r="E788" s="146"/>
      <c r="F788" s="146"/>
      <c r="G788" s="146"/>
      <c r="H788" s="146"/>
      <c r="I788" s="146"/>
    </row>
    <row r="789" ht="15.75" customHeight="1">
      <c r="A789" s="147"/>
      <c r="B789" s="72" t="s">
        <v>434</v>
      </c>
      <c r="C789" s="116" t="s">
        <v>435</v>
      </c>
      <c r="D789" s="152">
        <v>32.0</v>
      </c>
      <c r="E789" s="146"/>
      <c r="F789" s="146"/>
      <c r="G789" s="146"/>
      <c r="H789" s="146"/>
      <c r="I789" s="146"/>
    </row>
    <row r="790" ht="15.75" customHeight="1">
      <c r="A790" s="147"/>
      <c r="B790" s="124" t="s">
        <v>508</v>
      </c>
      <c r="C790" s="153" t="s">
        <v>509</v>
      </c>
      <c r="D790" s="145">
        <f>51+39</f>
        <v>90</v>
      </c>
      <c r="E790" s="146"/>
      <c r="F790" s="146"/>
      <c r="G790" s="146"/>
      <c r="H790" s="146"/>
      <c r="I790" s="146"/>
    </row>
    <row r="791" ht="15.75" customHeight="1">
      <c r="A791" s="147"/>
      <c r="B791" s="124" t="s">
        <v>444</v>
      </c>
      <c r="C791" s="154" t="s">
        <v>445</v>
      </c>
      <c r="D791" s="145">
        <f>64+67+59+52+44+54+42+40</f>
        <v>422</v>
      </c>
      <c r="E791" s="146"/>
      <c r="F791" s="146"/>
      <c r="G791" s="146"/>
      <c r="H791" s="146"/>
      <c r="I791" s="146"/>
    </row>
    <row r="792" ht="15.75" customHeight="1">
      <c r="A792" s="147"/>
      <c r="B792" s="124" t="s">
        <v>526</v>
      </c>
      <c r="C792" s="153" t="s">
        <v>527</v>
      </c>
      <c r="D792" s="145">
        <f>57+53+50+27</f>
        <v>187</v>
      </c>
      <c r="E792" s="146"/>
      <c r="F792" s="146"/>
      <c r="G792" s="146"/>
      <c r="H792" s="146"/>
      <c r="I792" s="146"/>
    </row>
    <row r="793" ht="15.75" customHeight="1">
      <c r="A793" s="147"/>
      <c r="B793" s="124" t="s">
        <v>444</v>
      </c>
      <c r="C793" s="154" t="s">
        <v>445</v>
      </c>
      <c r="D793" s="152">
        <v>45.0</v>
      </c>
      <c r="E793" s="146"/>
      <c r="F793" s="146"/>
      <c r="G793" s="146"/>
      <c r="H793" s="146"/>
      <c r="I793" s="146"/>
    </row>
    <row r="794" ht="15.75" customHeight="1">
      <c r="A794" s="147"/>
      <c r="B794" s="31" t="s">
        <v>482</v>
      </c>
      <c r="C794" s="31" t="s">
        <v>483</v>
      </c>
      <c r="D794" s="145">
        <f>38+16+15+36</f>
        <v>105</v>
      </c>
      <c r="E794" s="146"/>
      <c r="F794" s="146"/>
      <c r="G794" s="146"/>
      <c r="H794" s="146"/>
      <c r="I794" s="146"/>
    </row>
    <row r="795" ht="15.75" customHeight="1">
      <c r="A795" s="147"/>
      <c r="B795" s="124" t="s">
        <v>546</v>
      </c>
      <c r="C795" s="116" t="s">
        <v>547</v>
      </c>
      <c r="D795" s="145">
        <f>27+26</f>
        <v>53</v>
      </c>
      <c r="E795" s="146"/>
      <c r="F795" s="146"/>
      <c r="G795" s="146"/>
      <c r="H795" s="146"/>
      <c r="I795" s="146"/>
    </row>
    <row r="796" ht="15.75" customHeight="1">
      <c r="A796" s="147"/>
      <c r="B796" s="72" t="s">
        <v>506</v>
      </c>
      <c r="C796" s="149" t="s">
        <v>507</v>
      </c>
      <c r="D796" s="145">
        <f>39+54+46+20</f>
        <v>159</v>
      </c>
      <c r="E796" s="146"/>
      <c r="F796" s="146"/>
      <c r="G796" s="146"/>
      <c r="H796" s="146"/>
      <c r="I796" s="146"/>
    </row>
    <row r="797" ht="15.75" customHeight="1">
      <c r="A797" s="147"/>
      <c r="B797" s="72" t="s">
        <v>548</v>
      </c>
      <c r="C797" s="149" t="s">
        <v>549</v>
      </c>
      <c r="D797" s="145">
        <f>30+48+46+42+59+31</f>
        <v>256</v>
      </c>
      <c r="E797" s="146"/>
      <c r="F797" s="146"/>
      <c r="G797" s="146"/>
      <c r="H797" s="146"/>
      <c r="I797" s="146"/>
    </row>
    <row r="798" ht="15.75" customHeight="1">
      <c r="A798" s="147"/>
      <c r="B798" s="72" t="s">
        <v>448</v>
      </c>
      <c r="C798" s="116" t="s">
        <v>449</v>
      </c>
      <c r="D798" s="145">
        <f>39+35+26+32+26</f>
        <v>158</v>
      </c>
      <c r="E798" s="146"/>
      <c r="F798" s="146"/>
      <c r="G798" s="146"/>
      <c r="H798" s="146"/>
      <c r="I798" s="146"/>
    </row>
    <row r="799" ht="15.75" customHeight="1">
      <c r="A799" s="147"/>
      <c r="B799" s="31" t="s">
        <v>462</v>
      </c>
      <c r="C799" s="31" t="s">
        <v>463</v>
      </c>
      <c r="D799" s="145">
        <f>73+68+71+73</f>
        <v>285</v>
      </c>
      <c r="E799" s="146"/>
      <c r="F799" s="146"/>
      <c r="G799" s="146"/>
      <c r="H799" s="146"/>
      <c r="I799" s="146"/>
    </row>
    <row r="800" ht="15.75" customHeight="1">
      <c r="A800" s="147"/>
      <c r="B800" s="72" t="s">
        <v>550</v>
      </c>
      <c r="C800" s="116" t="s">
        <v>551</v>
      </c>
      <c r="D800" s="145">
        <f>54+83+72+62+77+67+80</f>
        <v>495</v>
      </c>
      <c r="E800" s="146"/>
      <c r="F800" s="146"/>
      <c r="G800" s="146"/>
      <c r="H800" s="146"/>
      <c r="I800" s="146"/>
    </row>
    <row r="801" ht="15.75" customHeight="1">
      <c r="A801" s="160"/>
      <c r="B801" s="161"/>
      <c r="C801" s="162"/>
      <c r="D801" s="145"/>
      <c r="E801" s="146"/>
      <c r="F801" s="146"/>
      <c r="G801" s="146"/>
      <c r="H801" s="146"/>
      <c r="I801" s="146"/>
    </row>
    <row r="802" ht="15.75" customHeight="1">
      <c r="A802" s="133">
        <v>45818.0</v>
      </c>
      <c r="B802" s="31" t="s">
        <v>482</v>
      </c>
      <c r="C802" s="31" t="s">
        <v>483</v>
      </c>
      <c r="D802" s="145">
        <f>32+30+26+27+38+20+25+31+31</f>
        <v>260</v>
      </c>
      <c r="E802" s="146"/>
      <c r="F802" s="146"/>
      <c r="G802" s="146"/>
      <c r="H802" s="146"/>
      <c r="I802" s="146"/>
    </row>
    <row r="803" ht="15.75" customHeight="1">
      <c r="A803" s="147"/>
      <c r="B803" s="72" t="s">
        <v>448</v>
      </c>
      <c r="C803" s="116" t="s">
        <v>449</v>
      </c>
      <c r="D803" s="145">
        <f>35+22+22+32+33+23+34+33+35+29+36+40+31+28+34+40+19+34+24+39+27+40+33+34+39+47+35+33+25+21+40+31+29+31+32+25</f>
        <v>1145</v>
      </c>
      <c r="E803" s="146"/>
      <c r="F803" s="146"/>
      <c r="G803" s="146"/>
      <c r="H803" s="146"/>
      <c r="I803" s="146"/>
    </row>
    <row r="804" ht="15.75" customHeight="1">
      <c r="A804" s="147"/>
      <c r="B804" s="31" t="s">
        <v>498</v>
      </c>
      <c r="C804" s="31" t="s">
        <v>499</v>
      </c>
      <c r="D804" s="145">
        <f>25+26+18+31</f>
        <v>100</v>
      </c>
      <c r="E804" s="146"/>
      <c r="F804" s="146"/>
      <c r="G804" s="146"/>
      <c r="H804" s="146"/>
      <c r="I804" s="146"/>
    </row>
    <row r="805" ht="15.75" customHeight="1">
      <c r="A805" s="147"/>
      <c r="B805" s="31" t="s">
        <v>496</v>
      </c>
      <c r="C805" s="31" t="s">
        <v>497</v>
      </c>
      <c r="D805" s="145">
        <f>25+24+23+24+25+25+26+22+31+30+27+23+26+23+25+29+29+22+32+29+28+38+29+32+24+27+23+25+24+21+26+24+24+23+29+25+30</f>
        <v>972</v>
      </c>
      <c r="E805" s="146"/>
      <c r="F805" s="146"/>
      <c r="G805" s="146"/>
      <c r="H805" s="146"/>
      <c r="I805" s="146"/>
    </row>
    <row r="806" ht="15.75" customHeight="1">
      <c r="A806" s="147"/>
      <c r="B806" s="31" t="s">
        <v>446</v>
      </c>
      <c r="C806" s="31" t="s">
        <v>447</v>
      </c>
      <c r="D806" s="145">
        <f>8+11+7+10+10+14+11+10+7+7+5+7+10+17+10+8+12+21+8+20+16+5+7+5+18+8+10+17+6+9+18+18+10+9+17+16+20+24+25+16</f>
        <v>487</v>
      </c>
      <c r="E806" s="146"/>
      <c r="F806" s="146"/>
      <c r="G806" s="146"/>
      <c r="H806" s="146"/>
      <c r="I806" s="146"/>
    </row>
    <row r="807" ht="15.75" customHeight="1">
      <c r="A807" s="147"/>
      <c r="B807" s="31" t="s">
        <v>490</v>
      </c>
      <c r="C807" s="31" t="s">
        <v>491</v>
      </c>
      <c r="D807" s="145">
        <f>50+67+50+63+48+38</f>
        <v>316</v>
      </c>
      <c r="E807" s="146"/>
      <c r="F807" s="146"/>
      <c r="G807" s="146"/>
      <c r="H807" s="146"/>
      <c r="I807" s="146"/>
    </row>
    <row r="808" ht="15.75" customHeight="1">
      <c r="A808" s="147"/>
      <c r="B808" s="72" t="s">
        <v>540</v>
      </c>
      <c r="C808" s="116" t="s">
        <v>541</v>
      </c>
      <c r="D808" s="145">
        <f>26+25+21+22+27+25+24+19+22+22+24+26+18+20+26</f>
        <v>347</v>
      </c>
      <c r="E808" s="146"/>
      <c r="F808" s="146"/>
      <c r="G808" s="146"/>
      <c r="H808" s="146"/>
      <c r="I808" s="146"/>
    </row>
    <row r="809" ht="15.75" customHeight="1">
      <c r="A809" s="147"/>
      <c r="B809" s="124" t="s">
        <v>486</v>
      </c>
      <c r="C809" s="116" t="s">
        <v>487</v>
      </c>
      <c r="D809" s="145">
        <f>55+67+60+67+61+81</f>
        <v>391</v>
      </c>
      <c r="E809" s="146"/>
      <c r="F809" s="146"/>
      <c r="G809" s="146"/>
      <c r="H809" s="146"/>
      <c r="I809" s="146"/>
    </row>
    <row r="810" ht="15.75" customHeight="1">
      <c r="A810" s="147"/>
      <c r="B810" s="72" t="s">
        <v>506</v>
      </c>
      <c r="C810" s="149" t="s">
        <v>507</v>
      </c>
      <c r="D810" s="145">
        <f>54+53+47+38+43+50+44+51+45+48</f>
        <v>473</v>
      </c>
      <c r="E810" s="146"/>
      <c r="F810" s="146"/>
      <c r="G810" s="146"/>
      <c r="H810" s="146"/>
      <c r="I810" s="146"/>
    </row>
    <row r="811" ht="15.75" customHeight="1">
      <c r="A811" s="147"/>
      <c r="B811" s="72" t="s">
        <v>548</v>
      </c>
      <c r="C811" s="149" t="s">
        <v>549</v>
      </c>
      <c r="D811" s="145">
        <f>52+52+51+36+51+52+12+39+39</f>
        <v>384</v>
      </c>
      <c r="E811" s="146"/>
      <c r="F811" s="146"/>
      <c r="G811" s="146"/>
      <c r="H811" s="146"/>
      <c r="I811" s="146"/>
    </row>
    <row r="812" ht="15.75" customHeight="1">
      <c r="A812" s="147"/>
      <c r="B812" s="72" t="s">
        <v>442</v>
      </c>
      <c r="C812" s="116" t="s">
        <v>443</v>
      </c>
      <c r="D812" s="145">
        <f>44+27+47+31+32+21</f>
        <v>202</v>
      </c>
      <c r="E812" s="146"/>
      <c r="F812" s="146"/>
      <c r="G812" s="146"/>
      <c r="H812" s="146"/>
      <c r="I812" s="146"/>
    </row>
    <row r="813" ht="15.75" customHeight="1">
      <c r="A813" s="147"/>
      <c r="B813" s="31" t="s">
        <v>462</v>
      </c>
      <c r="C813" s="31" t="s">
        <v>463</v>
      </c>
      <c r="D813" s="145">
        <f>63+62+53+59+50+43+45</f>
        <v>375</v>
      </c>
      <c r="E813" s="146"/>
      <c r="F813" s="146"/>
      <c r="G813" s="146"/>
      <c r="H813" s="146"/>
      <c r="I813" s="146"/>
    </row>
    <row r="814" ht="15.75" customHeight="1">
      <c r="A814" s="147"/>
      <c r="B814" s="72" t="s">
        <v>444</v>
      </c>
      <c r="C814" s="148" t="s">
        <v>445</v>
      </c>
      <c r="D814" s="145">
        <f>60+71+46+45+36+38</f>
        <v>296</v>
      </c>
      <c r="E814" s="146"/>
      <c r="F814" s="146"/>
      <c r="G814" s="146"/>
      <c r="H814" s="146"/>
      <c r="I814" s="146"/>
    </row>
    <row r="815" ht="15.75" customHeight="1">
      <c r="A815" s="147"/>
      <c r="B815" s="72" t="s">
        <v>550</v>
      </c>
      <c r="C815" s="116" t="s">
        <v>551</v>
      </c>
      <c r="D815" s="145">
        <f>69+67+65+55+58+63+47+65+65+45</f>
        <v>599</v>
      </c>
      <c r="E815" s="146"/>
      <c r="F815" s="146"/>
      <c r="G815" s="146"/>
      <c r="H815" s="146"/>
      <c r="I815" s="146"/>
    </row>
    <row r="816" ht="15.75" customHeight="1">
      <c r="A816" s="147"/>
      <c r="B816" s="72" t="s">
        <v>542</v>
      </c>
      <c r="C816" s="116" t="s">
        <v>543</v>
      </c>
      <c r="D816" s="145">
        <f>79+63+50</f>
        <v>192</v>
      </c>
      <c r="E816" s="146"/>
      <c r="F816" s="146"/>
      <c r="G816" s="146"/>
      <c r="H816" s="146"/>
      <c r="I816" s="146"/>
    </row>
    <row r="817" ht="15.75" customHeight="1">
      <c r="A817" s="147"/>
      <c r="B817" s="72" t="s">
        <v>458</v>
      </c>
      <c r="C817" s="149" t="s">
        <v>459</v>
      </c>
      <c r="D817" s="145">
        <f>40+31+31+25</f>
        <v>127</v>
      </c>
      <c r="E817" s="146"/>
      <c r="F817" s="146"/>
      <c r="G817" s="146"/>
      <c r="H817" s="146"/>
      <c r="I817" s="146"/>
    </row>
    <row r="818" ht="15.75" customHeight="1">
      <c r="A818" s="147"/>
      <c r="B818" s="72" t="s">
        <v>518</v>
      </c>
      <c r="C818" s="149" t="s">
        <v>519</v>
      </c>
      <c r="D818" s="145">
        <f>49+54+31</f>
        <v>134</v>
      </c>
      <c r="E818" s="146"/>
      <c r="F818" s="146"/>
      <c r="G818" s="146"/>
      <c r="H818" s="146"/>
      <c r="I818" s="146"/>
    </row>
    <row r="819" ht="15.75" customHeight="1">
      <c r="A819" s="147"/>
      <c r="B819" s="72" t="s">
        <v>454</v>
      </c>
      <c r="C819" s="149" t="s">
        <v>455</v>
      </c>
      <c r="D819" s="145">
        <f>42+44+41+41+37+48+28</f>
        <v>281</v>
      </c>
      <c r="E819" s="146"/>
      <c r="F819" s="146"/>
      <c r="G819" s="146"/>
      <c r="H819" s="146"/>
      <c r="I819" s="146"/>
    </row>
    <row r="820" ht="15.75" customHeight="1">
      <c r="A820" s="147"/>
      <c r="B820" s="72" t="s">
        <v>552</v>
      </c>
      <c r="C820" s="116" t="s">
        <v>553</v>
      </c>
      <c r="D820" s="145">
        <f>60+62+70+55</f>
        <v>247</v>
      </c>
      <c r="E820" s="146"/>
      <c r="F820" s="146"/>
      <c r="G820" s="146"/>
      <c r="H820" s="146"/>
      <c r="I820" s="146"/>
    </row>
    <row r="821" ht="15.75" customHeight="1">
      <c r="A821" s="147"/>
      <c r="B821" s="72" t="s">
        <v>444</v>
      </c>
      <c r="C821" s="148" t="s">
        <v>445</v>
      </c>
      <c r="D821" s="145">
        <f>42</f>
        <v>42</v>
      </c>
      <c r="E821" s="146"/>
      <c r="F821" s="146"/>
      <c r="G821" s="146"/>
      <c r="H821" s="146"/>
      <c r="I821" s="146"/>
    </row>
    <row r="822" ht="15.75" customHeight="1">
      <c r="A822" s="147"/>
      <c r="B822" s="72" t="s">
        <v>458</v>
      </c>
      <c r="C822" s="149" t="s">
        <v>459</v>
      </c>
      <c r="D822" s="145">
        <f>37+31+32+28</f>
        <v>128</v>
      </c>
      <c r="E822" s="146"/>
      <c r="F822" s="146"/>
      <c r="G822" s="146"/>
      <c r="H822" s="146"/>
      <c r="I822" s="146"/>
    </row>
    <row r="823" ht="15.75" customHeight="1">
      <c r="A823" s="147"/>
      <c r="B823" s="155"/>
      <c r="C823" s="137"/>
      <c r="D823" s="145"/>
      <c r="E823" s="146"/>
      <c r="F823" s="146"/>
      <c r="G823" s="146"/>
      <c r="H823" s="146"/>
      <c r="I823" s="146"/>
    </row>
    <row r="824" ht="15.75" customHeight="1">
      <c r="A824" s="133">
        <v>45819.0</v>
      </c>
      <c r="B824" s="31" t="s">
        <v>482</v>
      </c>
      <c r="C824" s="31" t="s">
        <v>483</v>
      </c>
      <c r="D824" s="145">
        <f>32+28+24+40+35+29+31</f>
        <v>219</v>
      </c>
      <c r="E824" s="146"/>
      <c r="F824" s="146"/>
      <c r="G824" s="146"/>
      <c r="H824" s="146"/>
      <c r="I824" s="146"/>
    </row>
    <row r="825" ht="15.75" customHeight="1">
      <c r="A825" s="147"/>
      <c r="B825" s="72" t="s">
        <v>448</v>
      </c>
      <c r="C825" s="116" t="s">
        <v>449</v>
      </c>
      <c r="D825" s="145">
        <f>32+33+31+22+38+35+30+27+27+25+40+34+34+24</f>
        <v>432</v>
      </c>
      <c r="E825" s="146"/>
      <c r="F825" s="146"/>
      <c r="G825" s="146"/>
      <c r="H825" s="146"/>
      <c r="I825" s="146"/>
    </row>
    <row r="826" ht="15.75" customHeight="1">
      <c r="A826" s="147"/>
      <c r="B826" s="31" t="s">
        <v>496</v>
      </c>
      <c r="C826" s="31" t="s">
        <v>497</v>
      </c>
      <c r="D826" s="145">
        <f>25+28+27+17+26+32+26+13+26+32+32+24+28+278+13</f>
        <v>627</v>
      </c>
      <c r="E826" s="146"/>
      <c r="F826" s="146"/>
      <c r="G826" s="146"/>
      <c r="H826" s="146"/>
      <c r="I826" s="146"/>
    </row>
    <row r="827" ht="15.75" customHeight="1">
      <c r="A827" s="147"/>
      <c r="B827" s="31" t="s">
        <v>446</v>
      </c>
      <c r="C827" s="31" t="s">
        <v>447</v>
      </c>
      <c r="D827" s="145">
        <f>13+11+15+7+5+6+10+8+23+9+11+10+9+17+5+10+15+8+8+13+11+11+10+11+17+21+7+13+9+13+8+20+10+12+12+10</f>
        <v>408</v>
      </c>
      <c r="E827" s="146"/>
      <c r="F827" s="146"/>
      <c r="G827" s="146"/>
      <c r="H827" s="146"/>
      <c r="I827" s="146"/>
    </row>
    <row r="828" ht="15.75" customHeight="1">
      <c r="A828" s="147"/>
      <c r="B828" s="72" t="s">
        <v>540</v>
      </c>
      <c r="C828" s="116" t="s">
        <v>541</v>
      </c>
      <c r="D828" s="145">
        <f>27+26+25+25</f>
        <v>103</v>
      </c>
      <c r="E828" s="146"/>
      <c r="F828" s="146"/>
      <c r="G828" s="146"/>
      <c r="H828" s="146"/>
      <c r="I828" s="146"/>
    </row>
    <row r="829" ht="15.75" customHeight="1">
      <c r="A829" s="147"/>
      <c r="B829" s="72" t="s">
        <v>538</v>
      </c>
      <c r="C829" s="116" t="s">
        <v>539</v>
      </c>
      <c r="D829" s="145">
        <f>21+17+25+25+27+27+21+23+15+17</f>
        <v>218</v>
      </c>
      <c r="E829" s="146"/>
      <c r="F829" s="146"/>
      <c r="G829" s="146"/>
      <c r="H829" s="146"/>
      <c r="I829" s="146"/>
    </row>
    <row r="830" ht="15.75" customHeight="1">
      <c r="A830" s="147"/>
      <c r="B830" s="31" t="s">
        <v>490</v>
      </c>
      <c r="C830" s="31" t="s">
        <v>491</v>
      </c>
      <c r="D830" s="145">
        <f>62+83+87+63</f>
        <v>295</v>
      </c>
      <c r="E830" s="146"/>
      <c r="F830" s="146"/>
      <c r="G830" s="146"/>
      <c r="H830" s="146"/>
      <c r="I830" s="146"/>
    </row>
    <row r="831" ht="15.75" customHeight="1">
      <c r="A831" s="147"/>
      <c r="B831" s="72" t="s">
        <v>550</v>
      </c>
      <c r="C831" s="116" t="s">
        <v>551</v>
      </c>
      <c r="D831" s="145">
        <f>62+62+74+64+41+52</f>
        <v>355</v>
      </c>
      <c r="E831" s="146"/>
      <c r="F831" s="146"/>
      <c r="G831" s="146"/>
      <c r="H831" s="146"/>
      <c r="I831" s="146"/>
    </row>
    <row r="832" ht="15.75" customHeight="1">
      <c r="A832" s="147"/>
      <c r="B832" s="72" t="s">
        <v>542</v>
      </c>
      <c r="C832" s="116" t="s">
        <v>543</v>
      </c>
      <c r="D832" s="145">
        <f>72+69+63+74+68+70+45+68</f>
        <v>529</v>
      </c>
      <c r="E832" s="146"/>
      <c r="F832" s="146"/>
      <c r="G832" s="146"/>
      <c r="H832" s="146"/>
      <c r="I832" s="146"/>
    </row>
    <row r="833" ht="15.75" customHeight="1">
      <c r="A833" s="147"/>
      <c r="B833" s="72" t="s">
        <v>458</v>
      </c>
      <c r="C833" s="149" t="s">
        <v>459</v>
      </c>
      <c r="D833" s="145">
        <f>39+39+40+48+29+30+41+40+44+30+31</f>
        <v>411</v>
      </c>
      <c r="E833" s="146"/>
      <c r="F833" s="146"/>
      <c r="G833" s="146"/>
      <c r="H833" s="146"/>
      <c r="I833" s="146"/>
    </row>
    <row r="834" ht="15.75" customHeight="1">
      <c r="A834" s="147"/>
      <c r="B834" s="72" t="s">
        <v>506</v>
      </c>
      <c r="C834" s="149" t="s">
        <v>507</v>
      </c>
      <c r="D834" s="145">
        <f>54+30+48+50</f>
        <v>182</v>
      </c>
      <c r="E834" s="146"/>
      <c r="F834" s="146"/>
      <c r="G834" s="146"/>
      <c r="H834" s="146"/>
      <c r="I834" s="146"/>
    </row>
    <row r="835" ht="15.75" customHeight="1">
      <c r="A835" s="147"/>
      <c r="B835" s="31" t="s">
        <v>554</v>
      </c>
      <c r="C835" s="31" t="s">
        <v>555</v>
      </c>
      <c r="D835" s="145">
        <f>43+38+35+42</f>
        <v>158</v>
      </c>
      <c r="E835" s="146"/>
      <c r="F835" s="146"/>
      <c r="G835" s="146"/>
      <c r="H835" s="146"/>
      <c r="I835" s="146"/>
    </row>
    <row r="836" ht="15.75" customHeight="1">
      <c r="A836" s="147"/>
      <c r="B836" s="31" t="s">
        <v>556</v>
      </c>
      <c r="C836" s="31" t="s">
        <v>557</v>
      </c>
      <c r="D836" s="145">
        <f>48+47+38+41</f>
        <v>174</v>
      </c>
      <c r="E836" s="146"/>
      <c r="F836" s="146"/>
      <c r="G836" s="146"/>
      <c r="H836" s="146"/>
      <c r="I836" s="146"/>
    </row>
    <row r="837" ht="15.75" customHeight="1">
      <c r="A837" s="147"/>
      <c r="B837" s="72" t="s">
        <v>454</v>
      </c>
      <c r="C837" s="149" t="s">
        <v>455</v>
      </c>
      <c r="D837" s="145">
        <f>29+38+33+44+27+36+39+27+37+51+36+40+30+38+36</f>
        <v>541</v>
      </c>
      <c r="E837" s="146"/>
      <c r="F837" s="146"/>
      <c r="G837" s="146"/>
      <c r="H837" s="146"/>
      <c r="I837" s="146"/>
    </row>
    <row r="838" ht="15.75" customHeight="1">
      <c r="A838" s="147"/>
      <c r="B838" s="72" t="s">
        <v>552</v>
      </c>
      <c r="C838" s="116" t="s">
        <v>553</v>
      </c>
      <c r="D838" s="145">
        <f>70+45+53+66+72+63+64+58+58</f>
        <v>549</v>
      </c>
      <c r="E838" s="146"/>
      <c r="F838" s="146"/>
      <c r="G838" s="146"/>
      <c r="H838" s="146"/>
      <c r="I838" s="146"/>
    </row>
    <row r="839" ht="15.75" customHeight="1">
      <c r="A839" s="147"/>
      <c r="B839" s="72" t="s">
        <v>458</v>
      </c>
      <c r="C839" s="149" t="s">
        <v>459</v>
      </c>
      <c r="D839" s="145">
        <f>34+39+43+29+31+39+37+36+45+35+25+30+30+32+20+28</f>
        <v>533</v>
      </c>
      <c r="E839" s="146"/>
      <c r="F839" s="146"/>
      <c r="G839" s="146"/>
      <c r="H839" s="146"/>
      <c r="I839" s="146"/>
    </row>
    <row r="840" ht="15.75" customHeight="1">
      <c r="A840" s="147"/>
      <c r="B840" s="72" t="s">
        <v>494</v>
      </c>
      <c r="C840" s="116" t="s">
        <v>495</v>
      </c>
      <c r="D840" s="145">
        <f>24+21+32+34</f>
        <v>111</v>
      </c>
      <c r="E840" s="146"/>
      <c r="F840" s="146"/>
      <c r="G840" s="146"/>
      <c r="H840" s="146"/>
      <c r="I840" s="146"/>
    </row>
    <row r="841" ht="15.75" customHeight="1">
      <c r="A841" s="147"/>
      <c r="B841" s="31" t="s">
        <v>496</v>
      </c>
      <c r="C841" s="31" t="s">
        <v>497</v>
      </c>
      <c r="D841" s="145">
        <f>13+25+8+26+29+30+33+23+26+27+24+22+24+18</f>
        <v>328</v>
      </c>
      <c r="E841" s="146"/>
      <c r="F841" s="146"/>
      <c r="G841" s="146"/>
      <c r="H841" s="146"/>
      <c r="I841" s="146"/>
    </row>
    <row r="842" ht="15.75" customHeight="1">
      <c r="A842" s="147"/>
      <c r="B842" s="124" t="s">
        <v>546</v>
      </c>
      <c r="C842" s="116" t="s">
        <v>547</v>
      </c>
      <c r="D842" s="145">
        <f>32+18+17+19+24+28+36+32</f>
        <v>206</v>
      </c>
      <c r="E842" s="146"/>
      <c r="F842" s="146"/>
      <c r="G842" s="146"/>
      <c r="H842" s="146"/>
      <c r="I842" s="146"/>
    </row>
    <row r="843" ht="15.75" customHeight="1">
      <c r="A843" s="147"/>
      <c r="B843" s="72" t="s">
        <v>558</v>
      </c>
      <c r="C843" s="116" t="s">
        <v>559</v>
      </c>
      <c r="D843" s="145">
        <f>76+54+45+44</f>
        <v>219</v>
      </c>
      <c r="E843" s="146"/>
      <c r="F843" s="146"/>
      <c r="G843" s="146"/>
      <c r="H843" s="146"/>
      <c r="I843" s="146"/>
    </row>
    <row r="844" ht="15.75" customHeight="1">
      <c r="A844" s="147"/>
      <c r="B844" s="72" t="s">
        <v>528</v>
      </c>
      <c r="C844" s="149" t="s">
        <v>529</v>
      </c>
      <c r="D844" s="145">
        <f>41+31</f>
        <v>72</v>
      </c>
      <c r="E844" s="146"/>
      <c r="F844" s="146"/>
      <c r="G844" s="146"/>
      <c r="H844" s="146"/>
      <c r="I844" s="146"/>
    </row>
    <row r="845" ht="15.75" customHeight="1">
      <c r="A845" s="147"/>
      <c r="B845" s="72" t="s">
        <v>518</v>
      </c>
      <c r="C845" s="149" t="s">
        <v>519</v>
      </c>
      <c r="D845" s="145">
        <f>37</f>
        <v>37</v>
      </c>
      <c r="E845" s="146"/>
      <c r="F845" s="146"/>
      <c r="G845" s="146"/>
      <c r="H845" s="146"/>
      <c r="I845" s="146"/>
    </row>
    <row r="846" ht="15.75" customHeight="1">
      <c r="A846" s="147"/>
      <c r="B846" s="72" t="s">
        <v>488</v>
      </c>
      <c r="C846" s="149" t="s">
        <v>489</v>
      </c>
      <c r="D846" s="145">
        <f>29+34+33+31+27</f>
        <v>154</v>
      </c>
      <c r="E846" s="146"/>
      <c r="F846" s="146"/>
      <c r="G846" s="146"/>
      <c r="H846" s="146"/>
      <c r="I846" s="146"/>
    </row>
    <row r="847" ht="15.75" customHeight="1">
      <c r="A847" s="147"/>
      <c r="B847" s="72" t="s">
        <v>456</v>
      </c>
      <c r="C847" s="116" t="s">
        <v>457</v>
      </c>
      <c r="D847" s="145">
        <f>21+41+35</f>
        <v>97</v>
      </c>
      <c r="E847" s="146"/>
      <c r="F847" s="146"/>
      <c r="G847" s="146"/>
      <c r="H847" s="146"/>
      <c r="I847" s="146"/>
    </row>
    <row r="848" ht="15.75" customHeight="1">
      <c r="A848" s="147"/>
      <c r="B848" s="155"/>
      <c r="C848" s="137"/>
      <c r="D848" s="145"/>
      <c r="E848" s="146"/>
      <c r="F848" s="146"/>
      <c r="G848" s="146"/>
      <c r="H848" s="146"/>
      <c r="I848" s="146"/>
    </row>
    <row r="849" ht="15.75" customHeight="1">
      <c r="A849" s="133">
        <v>45820.0</v>
      </c>
      <c r="B849" s="31" t="s">
        <v>482</v>
      </c>
      <c r="C849" s="31" t="s">
        <v>483</v>
      </c>
      <c r="D849" s="145">
        <f>26+29+31+37+32+29+26+17+32+36+43+36+32+33+32+19+27+25</f>
        <v>542</v>
      </c>
      <c r="E849" s="146"/>
      <c r="F849" s="146"/>
      <c r="G849" s="146"/>
      <c r="H849" s="146"/>
      <c r="I849" s="146"/>
    </row>
    <row r="850" ht="15.75" customHeight="1">
      <c r="A850" s="147"/>
      <c r="B850" s="72" t="s">
        <v>448</v>
      </c>
      <c r="C850" s="116" t="s">
        <v>449</v>
      </c>
      <c r="D850" s="145">
        <f>30+31+31+35+38+34+28+35+37+30</f>
        <v>329</v>
      </c>
      <c r="E850" s="146"/>
      <c r="F850" s="146"/>
      <c r="G850" s="146"/>
      <c r="H850" s="146"/>
      <c r="I850" s="146"/>
    </row>
    <row r="851" ht="15.75" customHeight="1">
      <c r="A851" s="147"/>
      <c r="B851" s="72" t="s">
        <v>438</v>
      </c>
      <c r="C851" s="116" t="s">
        <v>439</v>
      </c>
      <c r="D851" s="145">
        <f>21+36+33+35+30+37+36</f>
        <v>228</v>
      </c>
      <c r="E851" s="146"/>
      <c r="F851" s="146"/>
      <c r="G851" s="146"/>
      <c r="H851" s="146"/>
      <c r="I851" s="146"/>
    </row>
    <row r="852" ht="15.75" customHeight="1">
      <c r="A852" s="147"/>
      <c r="B852" s="124" t="s">
        <v>546</v>
      </c>
      <c r="C852" s="116" t="s">
        <v>547</v>
      </c>
      <c r="D852" s="145">
        <f>31+31+30+29+25+14+31+31+31+30+31+30+32+30+31+30+36+28+24+19+29+28+31+25+29+30+32+28+30+30+33+30+17</f>
        <v>946</v>
      </c>
      <c r="E852" s="146"/>
      <c r="F852" s="146"/>
      <c r="G852" s="146"/>
      <c r="H852" s="146"/>
      <c r="I852" s="146"/>
    </row>
    <row r="853" ht="15.75" customHeight="1">
      <c r="A853" s="147"/>
      <c r="B853" s="125" t="s">
        <v>446</v>
      </c>
      <c r="C853" s="125" t="s">
        <v>447</v>
      </c>
      <c r="D853" s="145">
        <f>8+9+9+9+9+8+11+12+8+12+16+5+20+9+12+13+10+16+8+10+7+15+5+19+8+28+11+11+12+14+15+14+8+9+11+3+30+14+7+15+14+20</f>
        <v>504</v>
      </c>
      <c r="E853" s="146"/>
      <c r="F853" s="146"/>
      <c r="G853" s="146"/>
      <c r="H853" s="146"/>
      <c r="I853" s="146"/>
    </row>
    <row r="854" ht="15.75" customHeight="1">
      <c r="A854" s="147"/>
      <c r="B854" s="125" t="s">
        <v>490</v>
      </c>
      <c r="C854" s="125" t="s">
        <v>491</v>
      </c>
      <c r="D854" s="145">
        <f>100+77+39</f>
        <v>216</v>
      </c>
      <c r="E854" s="146"/>
      <c r="F854" s="146"/>
      <c r="G854" s="146"/>
      <c r="H854" s="146"/>
      <c r="I854" s="146"/>
    </row>
    <row r="855" ht="15.75" customHeight="1">
      <c r="A855" s="147"/>
      <c r="B855" s="31" t="s">
        <v>536</v>
      </c>
      <c r="C855" s="31" t="s">
        <v>537</v>
      </c>
      <c r="D855" s="152">
        <v>76.0</v>
      </c>
      <c r="E855" s="146"/>
      <c r="F855" s="146"/>
      <c r="G855" s="146"/>
      <c r="H855" s="146"/>
      <c r="I855" s="146"/>
    </row>
    <row r="856" ht="15.75" customHeight="1">
      <c r="A856" s="147"/>
      <c r="B856" s="72" t="s">
        <v>560</v>
      </c>
      <c r="C856" s="149" t="s">
        <v>561</v>
      </c>
      <c r="D856" s="145">
        <f>29+29+27+20</f>
        <v>105</v>
      </c>
      <c r="E856" s="146"/>
      <c r="F856" s="146"/>
      <c r="G856" s="146"/>
      <c r="H856" s="146"/>
      <c r="I856" s="146"/>
    </row>
    <row r="857" ht="15.75" customHeight="1">
      <c r="A857" s="147"/>
      <c r="B857" s="72" t="s">
        <v>538</v>
      </c>
      <c r="C857" s="116" t="s">
        <v>539</v>
      </c>
      <c r="D857" s="145">
        <f>26+24+29+29</f>
        <v>108</v>
      </c>
      <c r="E857" s="146"/>
      <c r="F857" s="146"/>
      <c r="G857" s="146"/>
      <c r="H857" s="146"/>
      <c r="I857" s="146"/>
    </row>
    <row r="858" ht="15.75" customHeight="1">
      <c r="A858" s="147"/>
      <c r="B858" s="72" t="s">
        <v>558</v>
      </c>
      <c r="C858" s="116" t="s">
        <v>559</v>
      </c>
      <c r="D858" s="145">
        <f>66+61+63+67+47+25+66+71+60+52+74</f>
        <v>652</v>
      </c>
      <c r="E858" s="146"/>
      <c r="F858" s="146"/>
      <c r="G858" s="146"/>
      <c r="H858" s="146"/>
      <c r="I858" s="146"/>
    </row>
    <row r="859" ht="15.75" customHeight="1">
      <c r="A859" s="147"/>
      <c r="B859" s="72" t="s">
        <v>542</v>
      </c>
      <c r="C859" s="116" t="s">
        <v>543</v>
      </c>
      <c r="D859" s="145">
        <f>55+68+66+67+55+68+58+79</f>
        <v>516</v>
      </c>
      <c r="E859" s="146"/>
      <c r="F859" s="146"/>
      <c r="G859" s="146"/>
      <c r="H859" s="146"/>
      <c r="I859" s="146"/>
    </row>
    <row r="860" ht="15.75" customHeight="1">
      <c r="A860" s="147"/>
      <c r="B860" s="72" t="s">
        <v>458</v>
      </c>
      <c r="C860" s="149" t="s">
        <v>459</v>
      </c>
      <c r="D860" s="145">
        <f>34+35+39+37+39+32+36+30+30+33+31+31+34+30+31+32+28+30</f>
        <v>592</v>
      </c>
      <c r="E860" s="146"/>
      <c r="F860" s="146"/>
      <c r="G860" s="146"/>
      <c r="H860" s="146"/>
      <c r="I860" s="146"/>
    </row>
    <row r="861" ht="15.75" customHeight="1">
      <c r="A861" s="147"/>
      <c r="B861" s="124" t="s">
        <v>562</v>
      </c>
      <c r="C861" s="116" t="s">
        <v>563</v>
      </c>
      <c r="D861" s="145">
        <f>35+34+35+28+33+33</f>
        <v>198</v>
      </c>
      <c r="E861" s="146"/>
      <c r="F861" s="146"/>
      <c r="G861" s="146"/>
      <c r="H861" s="146"/>
      <c r="I861" s="146"/>
    </row>
    <row r="862" ht="15.75" customHeight="1">
      <c r="A862" s="147"/>
      <c r="B862" s="72" t="s">
        <v>488</v>
      </c>
      <c r="C862" s="149" t="s">
        <v>489</v>
      </c>
      <c r="D862" s="145">
        <f>26+34+34+33+32+31+42+39+36+33+31+20</f>
        <v>391</v>
      </c>
      <c r="E862" s="146"/>
      <c r="F862" s="146"/>
      <c r="G862" s="146"/>
      <c r="H862" s="146"/>
      <c r="I862" s="146"/>
    </row>
    <row r="863" ht="15.75" customHeight="1">
      <c r="A863" s="147"/>
      <c r="B863" s="72" t="s">
        <v>456</v>
      </c>
      <c r="C863" s="116" t="s">
        <v>457</v>
      </c>
      <c r="D863" s="145">
        <f>28+30+34</f>
        <v>92</v>
      </c>
      <c r="E863" s="146"/>
      <c r="F863" s="146"/>
      <c r="G863" s="146"/>
      <c r="H863" s="146"/>
      <c r="I863" s="146"/>
    </row>
    <row r="864" ht="15.75" customHeight="1">
      <c r="A864" s="147"/>
      <c r="B864" s="72" t="s">
        <v>454</v>
      </c>
      <c r="C864" s="149" t="s">
        <v>455</v>
      </c>
      <c r="D864" s="145">
        <f>37+35+27+31+39+13</f>
        <v>182</v>
      </c>
      <c r="E864" s="146"/>
      <c r="F864" s="146"/>
      <c r="G864" s="146"/>
      <c r="H864" s="146"/>
      <c r="I864" s="146"/>
    </row>
    <row r="865" ht="15.75" customHeight="1">
      <c r="A865" s="147"/>
      <c r="B865" s="72" t="s">
        <v>458</v>
      </c>
      <c r="C865" s="149" t="s">
        <v>459</v>
      </c>
      <c r="D865" s="145">
        <f>42+38+35+25+32+36+20+30+35++41+39+39+37+34+38+35+33+37+36+38+38+37+28+32+32+20+37+36+34+26+41</f>
        <v>1061</v>
      </c>
      <c r="E865" s="146"/>
      <c r="F865" s="146"/>
      <c r="G865" s="146"/>
      <c r="H865" s="146"/>
      <c r="I865" s="146"/>
    </row>
    <row r="866" ht="15.75" customHeight="1">
      <c r="A866" s="147"/>
      <c r="B866" s="72" t="s">
        <v>552</v>
      </c>
      <c r="C866" s="116" t="s">
        <v>553</v>
      </c>
      <c r="D866" s="145">
        <f>58+56+65+68+75+65+63+66</f>
        <v>516</v>
      </c>
      <c r="E866" s="146"/>
      <c r="F866" s="146"/>
      <c r="G866" s="146"/>
      <c r="H866" s="146"/>
      <c r="I866" s="146"/>
    </row>
    <row r="867" ht="15.75" customHeight="1">
      <c r="A867" s="147"/>
      <c r="B867" s="31" t="s">
        <v>484</v>
      </c>
      <c r="C867" s="31" t="s">
        <v>485</v>
      </c>
      <c r="D867" s="145">
        <f>29+28+50+51+52+42+38</f>
        <v>290</v>
      </c>
      <c r="E867" s="146"/>
      <c r="F867" s="146"/>
      <c r="G867" s="146"/>
      <c r="H867" s="146"/>
      <c r="I867" s="146"/>
    </row>
    <row r="868" ht="15.75" customHeight="1">
      <c r="A868" s="147"/>
      <c r="B868" s="72" t="s">
        <v>514</v>
      </c>
      <c r="C868" s="116" t="s">
        <v>515</v>
      </c>
      <c r="D868" s="145">
        <f>28+28+30+25+25+30</f>
        <v>166</v>
      </c>
      <c r="E868" s="146"/>
      <c r="F868" s="146"/>
      <c r="G868" s="146"/>
      <c r="H868" s="146"/>
      <c r="I868" s="146"/>
    </row>
    <row r="869" ht="15.75" customHeight="1">
      <c r="A869" s="147"/>
      <c r="B869" s="72" t="s">
        <v>538</v>
      </c>
      <c r="C869" s="116" t="s">
        <v>539</v>
      </c>
      <c r="D869" s="145">
        <f>11+10</f>
        <v>21</v>
      </c>
      <c r="E869" s="146"/>
      <c r="F869" s="146"/>
      <c r="G869" s="146"/>
      <c r="H869" s="146"/>
      <c r="I869" s="146"/>
    </row>
    <row r="870" ht="15.75" customHeight="1">
      <c r="A870" s="147"/>
      <c r="B870" s="72" t="s">
        <v>434</v>
      </c>
      <c r="C870" s="116" t="s">
        <v>435</v>
      </c>
      <c r="D870" s="145">
        <f>28+29</f>
        <v>57</v>
      </c>
      <c r="E870" s="146"/>
      <c r="F870" s="146"/>
      <c r="G870" s="146"/>
      <c r="H870" s="146"/>
      <c r="I870" s="146"/>
    </row>
    <row r="871" ht="15.75" customHeight="1">
      <c r="A871" s="147"/>
      <c r="B871" s="72" t="s">
        <v>436</v>
      </c>
      <c r="C871" s="116" t="s">
        <v>437</v>
      </c>
      <c r="D871" s="145">
        <f>26+31+42+28</f>
        <v>127</v>
      </c>
      <c r="E871" s="146"/>
      <c r="F871" s="146"/>
      <c r="G871" s="146"/>
      <c r="H871" s="146"/>
      <c r="I871" s="146"/>
    </row>
    <row r="872" ht="15.75" customHeight="1">
      <c r="A872" s="147"/>
      <c r="B872" s="72" t="s">
        <v>528</v>
      </c>
      <c r="C872" s="149" t="s">
        <v>529</v>
      </c>
      <c r="D872" s="145">
        <f>37+31+25+34+25+35+20</f>
        <v>207</v>
      </c>
      <c r="E872" s="146"/>
      <c r="F872" s="146"/>
      <c r="G872" s="146"/>
      <c r="H872" s="146"/>
      <c r="I872" s="146"/>
    </row>
    <row r="873" ht="15.75" customHeight="1">
      <c r="A873" s="147"/>
      <c r="B873" s="72" t="s">
        <v>452</v>
      </c>
      <c r="C873" s="116" t="s">
        <v>453</v>
      </c>
      <c r="D873" s="145">
        <f>25+27+37+35+31+32</f>
        <v>187</v>
      </c>
      <c r="E873" s="146"/>
      <c r="F873" s="146"/>
      <c r="G873" s="146"/>
      <c r="H873" s="146"/>
      <c r="I873" s="146"/>
    </row>
    <row r="874" ht="15.75" customHeight="1">
      <c r="A874" s="147"/>
      <c r="B874" s="155"/>
      <c r="C874" s="137"/>
      <c r="D874" s="145"/>
      <c r="E874" s="146"/>
      <c r="F874" s="146"/>
      <c r="G874" s="146"/>
      <c r="H874" s="146"/>
      <c r="I874" s="146"/>
    </row>
    <row r="875" ht="15.75" customHeight="1">
      <c r="A875" s="133">
        <v>45821.0</v>
      </c>
      <c r="B875" s="31" t="s">
        <v>482</v>
      </c>
      <c r="C875" s="31" t="s">
        <v>483</v>
      </c>
      <c r="D875" s="145">
        <f>29+37+35+40+32+28+34+31+33+24+36+30+15+21+31+24+17+32+29+28+15+30+34+28+29+33+27+31+30+31+28+30+32+30+20+27+20+30</f>
        <v>1091</v>
      </c>
      <c r="E875" s="146"/>
      <c r="F875" s="146"/>
      <c r="G875" s="146"/>
      <c r="H875" s="146"/>
      <c r="I875" s="146"/>
    </row>
    <row r="876" ht="15.75" customHeight="1">
      <c r="A876" s="147"/>
      <c r="B876" s="72" t="s">
        <v>438</v>
      </c>
      <c r="C876" s="116" t="s">
        <v>439</v>
      </c>
      <c r="D876" s="145">
        <f>26+30</f>
        <v>56</v>
      </c>
      <c r="E876" s="146"/>
      <c r="F876" s="146"/>
      <c r="G876" s="146"/>
      <c r="H876" s="146"/>
      <c r="I876" s="146"/>
    </row>
    <row r="877" ht="15.75" customHeight="1">
      <c r="A877" s="147"/>
      <c r="B877" s="31" t="s">
        <v>484</v>
      </c>
      <c r="C877" s="31" t="s">
        <v>485</v>
      </c>
      <c r="D877" s="145">
        <f>44+30+43+43+38+25+24+50+44+54+52+45+40+40+45+43+43+45+45+53+52+52+38+39+50</f>
        <v>1077</v>
      </c>
      <c r="E877" s="146"/>
      <c r="F877" s="146"/>
      <c r="G877" s="146"/>
      <c r="H877" s="146"/>
      <c r="I877" s="146"/>
    </row>
    <row r="878" ht="15.75" customHeight="1">
      <c r="A878" s="147"/>
      <c r="B878" s="125" t="s">
        <v>446</v>
      </c>
      <c r="C878" s="125" t="s">
        <v>447</v>
      </c>
      <c r="D878" s="145">
        <f>8+13+18+9+6+8+11+10+15+10+9+8+9+10+5+8+10+5+10+8+8+5+11+15+15+21+23+32+31+27+24+14+20+17+16+21+14</f>
        <v>504</v>
      </c>
      <c r="E878" s="146"/>
      <c r="F878" s="146"/>
      <c r="G878" s="146"/>
      <c r="H878" s="146"/>
      <c r="I878" s="146"/>
    </row>
    <row r="879" ht="15.75" customHeight="1">
      <c r="A879" s="147"/>
      <c r="B879" s="72" t="s">
        <v>514</v>
      </c>
      <c r="C879" s="116" t="s">
        <v>515</v>
      </c>
      <c r="D879" s="145">
        <f>30+23+19+26+31+28+19+13+27+27</f>
        <v>243</v>
      </c>
      <c r="E879" s="146"/>
      <c r="F879" s="146"/>
      <c r="G879" s="146"/>
      <c r="H879" s="146"/>
      <c r="I879" s="146"/>
    </row>
    <row r="880" ht="15.75" customHeight="1">
      <c r="A880" s="147"/>
      <c r="B880" s="31" t="s">
        <v>536</v>
      </c>
      <c r="C880" s="31" t="s">
        <v>537</v>
      </c>
      <c r="D880" s="145">
        <f>64+65+35+189</f>
        <v>353</v>
      </c>
      <c r="E880" s="146"/>
      <c r="F880" s="146"/>
      <c r="G880" s="146"/>
      <c r="H880" s="146"/>
      <c r="I880" s="146"/>
    </row>
    <row r="881" ht="15.75" customHeight="1">
      <c r="A881" s="147"/>
      <c r="B881" s="72" t="s">
        <v>558</v>
      </c>
      <c r="C881" s="116" t="s">
        <v>559</v>
      </c>
      <c r="D881" s="145">
        <f>69+79+72+51+56+39+87+80+76+47</f>
        <v>656</v>
      </c>
      <c r="E881" s="146"/>
      <c r="F881" s="146"/>
      <c r="G881" s="146"/>
      <c r="H881" s="146"/>
      <c r="I881" s="146"/>
    </row>
    <row r="882" ht="15.75" customHeight="1">
      <c r="A882" s="147"/>
      <c r="B882" s="72" t="s">
        <v>542</v>
      </c>
      <c r="C882" s="116" t="s">
        <v>543</v>
      </c>
      <c r="D882" s="145">
        <f>75+72+64</f>
        <v>211</v>
      </c>
      <c r="E882" s="146"/>
      <c r="F882" s="146"/>
      <c r="G882" s="146"/>
      <c r="H882" s="146"/>
      <c r="I882" s="146"/>
    </row>
    <row r="883" ht="15.75" customHeight="1">
      <c r="A883" s="147"/>
      <c r="B883" s="72" t="s">
        <v>564</v>
      </c>
      <c r="C883" s="116" t="s">
        <v>565</v>
      </c>
      <c r="D883" s="145">
        <f>60+77+63+73</f>
        <v>273</v>
      </c>
      <c r="E883" s="146"/>
      <c r="F883" s="146"/>
      <c r="G883" s="146"/>
      <c r="H883" s="146"/>
      <c r="I883" s="146"/>
    </row>
    <row r="884" ht="15.75" customHeight="1">
      <c r="A884" s="147"/>
      <c r="B884" s="72" t="s">
        <v>434</v>
      </c>
      <c r="C884" s="116" t="s">
        <v>435</v>
      </c>
      <c r="D884" s="145">
        <f>30+33+35+23+43+34</f>
        <v>198</v>
      </c>
      <c r="E884" s="146"/>
      <c r="F884" s="146"/>
      <c r="G884" s="146"/>
      <c r="H884" s="146"/>
      <c r="I884" s="146"/>
    </row>
    <row r="885" ht="15.75" customHeight="1">
      <c r="A885" s="147"/>
      <c r="B885" s="72" t="s">
        <v>452</v>
      </c>
      <c r="C885" s="116" t="s">
        <v>453</v>
      </c>
      <c r="D885" s="152">
        <v>25.0</v>
      </c>
      <c r="E885" s="146"/>
      <c r="F885" s="146"/>
      <c r="G885" s="146"/>
      <c r="H885" s="146"/>
      <c r="I885" s="146"/>
    </row>
    <row r="886" ht="15.75" customHeight="1">
      <c r="A886" s="147"/>
      <c r="B886" s="72" t="s">
        <v>458</v>
      </c>
      <c r="C886" s="149" t="s">
        <v>459</v>
      </c>
      <c r="D886" s="145">
        <f>36+31+39+31+38+40+22+24+33+35+30+30+28+35+33+40+15+37+38+31+25+33+34+37+33</f>
        <v>808</v>
      </c>
      <c r="E886" s="146"/>
      <c r="F886" s="146"/>
      <c r="G886" s="146"/>
      <c r="H886" s="146"/>
      <c r="I886" s="146"/>
    </row>
    <row r="887" ht="15.75" customHeight="1">
      <c r="A887" s="147"/>
      <c r="B887" s="72" t="s">
        <v>528</v>
      </c>
      <c r="C887" s="149" t="s">
        <v>529</v>
      </c>
      <c r="D887" s="145">
        <f>25+26+27+28</f>
        <v>106</v>
      </c>
      <c r="E887" s="146"/>
      <c r="F887" s="146"/>
      <c r="G887" s="146"/>
      <c r="H887" s="146"/>
      <c r="I887" s="146"/>
    </row>
    <row r="888" ht="15.75" customHeight="1">
      <c r="A888" s="147"/>
      <c r="B888" s="31" t="s">
        <v>566</v>
      </c>
      <c r="C888" s="31" t="s">
        <v>567</v>
      </c>
      <c r="D888" s="152">
        <f>25+40+39+39+38</f>
        <v>181</v>
      </c>
      <c r="E888" s="146"/>
      <c r="F888" s="146"/>
      <c r="G888" s="146"/>
      <c r="H888" s="146"/>
      <c r="I888" s="146"/>
    </row>
    <row r="889" ht="15.75" customHeight="1">
      <c r="A889" s="147"/>
      <c r="B889" s="72" t="s">
        <v>488</v>
      </c>
      <c r="C889" s="149" t="s">
        <v>489</v>
      </c>
      <c r="D889" s="145">
        <f>44+21+26+12</f>
        <v>103</v>
      </c>
      <c r="E889" s="146"/>
      <c r="F889" s="146"/>
      <c r="G889" s="146"/>
      <c r="H889" s="146"/>
      <c r="I889" s="146"/>
    </row>
    <row r="890" ht="15.75" customHeight="1">
      <c r="A890" s="147"/>
      <c r="B890" s="31" t="s">
        <v>568</v>
      </c>
      <c r="C890" s="31" t="s">
        <v>569</v>
      </c>
      <c r="D890" s="152">
        <f>35+41+42+44+24+35</f>
        <v>221</v>
      </c>
      <c r="E890" s="146"/>
      <c r="F890" s="146"/>
      <c r="G890" s="146"/>
      <c r="H890" s="146"/>
      <c r="I890" s="146"/>
    </row>
    <row r="891" ht="15.75" customHeight="1">
      <c r="A891" s="147"/>
      <c r="B891" s="72" t="s">
        <v>458</v>
      </c>
      <c r="C891" s="149" t="s">
        <v>459</v>
      </c>
      <c r="D891" s="145">
        <f>24+37+33+27+23+22+35+35+28+28+40+35+33+31</f>
        <v>431</v>
      </c>
      <c r="E891" s="146"/>
      <c r="F891" s="146"/>
      <c r="G891" s="146"/>
      <c r="H891" s="146"/>
      <c r="I891" s="146"/>
    </row>
    <row r="892" ht="15.75" customHeight="1">
      <c r="A892" s="147"/>
      <c r="B892" s="72" t="s">
        <v>570</v>
      </c>
      <c r="C892" s="116" t="s">
        <v>571</v>
      </c>
      <c r="D892" s="145">
        <f>23+21+15+16</f>
        <v>75</v>
      </c>
      <c r="E892" s="146"/>
      <c r="F892" s="146"/>
      <c r="G892" s="146"/>
      <c r="H892" s="146"/>
      <c r="I892" s="146"/>
    </row>
    <row r="893" ht="15.75" customHeight="1">
      <c r="A893" s="147"/>
      <c r="B893" s="72" t="s">
        <v>460</v>
      </c>
      <c r="C893" s="116" t="s">
        <v>461</v>
      </c>
      <c r="D893" s="145">
        <f>46+32+43</f>
        <v>121</v>
      </c>
      <c r="E893" s="146"/>
      <c r="F893" s="146"/>
      <c r="G893" s="146"/>
      <c r="H893" s="146"/>
      <c r="I893" s="146"/>
    </row>
    <row r="894" ht="15.75" customHeight="1">
      <c r="A894" s="147"/>
      <c r="B894" s="155"/>
      <c r="C894" s="137"/>
      <c r="D894" s="145"/>
      <c r="E894" s="146"/>
      <c r="F894" s="146"/>
      <c r="G894" s="146"/>
      <c r="H894" s="146"/>
      <c r="I894" s="146"/>
    </row>
    <row r="895" ht="15.75" customHeight="1">
      <c r="A895" s="133">
        <v>45822.0</v>
      </c>
      <c r="B895" s="31" t="s">
        <v>482</v>
      </c>
      <c r="C895" s="31" t="s">
        <v>483</v>
      </c>
      <c r="D895" s="145">
        <f>26+25+27+30+33+33+18+19+31+26+30+23+29+29+26+28+21+19+31+27+27+32+23+19+22+25+33+32+32+33+15+26+30+23+33+32+35+33+33+35+23+32+30+27+29+18+19</f>
        <v>1282</v>
      </c>
      <c r="E895" s="146"/>
      <c r="F895" s="146"/>
      <c r="G895" s="146"/>
      <c r="H895" s="146"/>
      <c r="I895" s="146"/>
    </row>
    <row r="896" ht="15.75" customHeight="1">
      <c r="A896" s="147"/>
      <c r="B896" s="31" t="s">
        <v>484</v>
      </c>
      <c r="C896" s="31" t="s">
        <v>485</v>
      </c>
      <c r="D896" s="145">
        <f>36+41+41+30+33+41+22+23+49+24+48+46+48+41+50+44+45+46+46+29+30+65+62+45+48</f>
        <v>1033</v>
      </c>
      <c r="E896" s="146"/>
      <c r="F896" s="146"/>
      <c r="G896" s="146"/>
      <c r="H896" s="146"/>
      <c r="I896" s="146"/>
    </row>
    <row r="897" ht="15.75" customHeight="1">
      <c r="A897" s="147"/>
      <c r="B897" s="125" t="s">
        <v>446</v>
      </c>
      <c r="C897" s="125" t="s">
        <v>447</v>
      </c>
      <c r="D897" s="145">
        <f>25+28+25+25+18+24+24+27+25+27+15+21+23+14+21+17+18+24+23+26+20+31+16</f>
        <v>517</v>
      </c>
      <c r="E897" s="146"/>
      <c r="F897" s="146"/>
      <c r="G897" s="146"/>
      <c r="H897" s="146"/>
      <c r="I897" s="146"/>
    </row>
    <row r="898" ht="15.75" customHeight="1">
      <c r="A898" s="147"/>
      <c r="B898" s="72" t="s">
        <v>570</v>
      </c>
      <c r="C898" s="116" t="s">
        <v>571</v>
      </c>
      <c r="D898" s="145">
        <f>17+17</f>
        <v>34</v>
      </c>
      <c r="E898" s="146"/>
      <c r="F898" s="146"/>
      <c r="G898" s="146"/>
      <c r="H898" s="146"/>
      <c r="I898" s="146"/>
    </row>
    <row r="899" ht="15.75" customHeight="1">
      <c r="A899" s="147"/>
      <c r="B899" s="124" t="s">
        <v>572</v>
      </c>
      <c r="C899" s="124" t="s">
        <v>573</v>
      </c>
      <c r="D899" s="145">
        <f>26+9+20+27+27+27+20+23+23+24</f>
        <v>226</v>
      </c>
      <c r="E899" s="146"/>
      <c r="F899" s="146"/>
      <c r="G899" s="146"/>
      <c r="H899" s="146"/>
      <c r="I899" s="146"/>
    </row>
    <row r="900" ht="15.75" customHeight="1">
      <c r="A900" s="147"/>
      <c r="B900" s="31" t="s">
        <v>536</v>
      </c>
      <c r="C900" s="31" t="s">
        <v>537</v>
      </c>
      <c r="D900" s="145">
        <f>64+47+50+70+66</f>
        <v>297</v>
      </c>
      <c r="E900" s="146"/>
      <c r="F900" s="146"/>
      <c r="G900" s="146"/>
      <c r="H900" s="146"/>
      <c r="I900" s="146"/>
    </row>
    <row r="901" ht="15.75" customHeight="1">
      <c r="A901" s="147"/>
      <c r="B901" s="72" t="s">
        <v>574</v>
      </c>
      <c r="C901" s="116" t="s">
        <v>575</v>
      </c>
      <c r="D901" s="145">
        <f>77+69+52+64+44+64+50+56+36+43+67+66</f>
        <v>688</v>
      </c>
      <c r="E901" s="146"/>
      <c r="F901" s="146"/>
      <c r="G901" s="146"/>
      <c r="H901" s="146"/>
      <c r="I901" s="146"/>
    </row>
    <row r="902" ht="15.75" customHeight="1">
      <c r="A902" s="147"/>
      <c r="B902" s="72" t="s">
        <v>564</v>
      </c>
      <c r="C902" s="116" t="s">
        <v>565</v>
      </c>
      <c r="D902" s="145">
        <f>62+65+68+55+55+55+65+65</f>
        <v>490</v>
      </c>
      <c r="E902" s="146"/>
      <c r="F902" s="146"/>
      <c r="G902" s="146"/>
      <c r="H902" s="146"/>
      <c r="I902" s="146"/>
    </row>
    <row r="903" ht="15.75" customHeight="1">
      <c r="A903" s="147"/>
      <c r="B903" s="72" t="s">
        <v>460</v>
      </c>
      <c r="C903" s="116" t="s">
        <v>461</v>
      </c>
      <c r="D903" s="145">
        <f>27+33+31</f>
        <v>91</v>
      </c>
      <c r="E903" s="146"/>
      <c r="F903" s="146"/>
      <c r="G903" s="146"/>
      <c r="H903" s="146"/>
      <c r="I903" s="146"/>
    </row>
    <row r="904" ht="15.75" customHeight="1">
      <c r="A904" s="147"/>
      <c r="B904" s="72" t="s">
        <v>530</v>
      </c>
      <c r="C904" s="149" t="s">
        <v>531</v>
      </c>
      <c r="D904" s="145">
        <f>30+35</f>
        <v>65</v>
      </c>
      <c r="E904" s="146"/>
      <c r="F904" s="146"/>
      <c r="G904" s="146"/>
      <c r="H904" s="146"/>
      <c r="I904" s="146"/>
    </row>
    <row r="905" ht="15.75" customHeight="1">
      <c r="A905" s="147"/>
      <c r="B905" s="72" t="s">
        <v>458</v>
      </c>
      <c r="C905" s="149" t="s">
        <v>459</v>
      </c>
      <c r="D905" s="145">
        <f>34+38+33+31+31+29+33+32+35+32+34+25+37+34+22+32+28+24+30+33+22+27+30+43+42+35+39+24+27+28+32+29</f>
        <v>1005</v>
      </c>
      <c r="E905" s="146"/>
      <c r="F905" s="146"/>
      <c r="G905" s="146"/>
      <c r="H905" s="146"/>
      <c r="I905" s="146"/>
    </row>
    <row r="906" ht="15.75" customHeight="1">
      <c r="A906" s="147"/>
      <c r="B906" s="31" t="s">
        <v>566</v>
      </c>
      <c r="C906" s="31" t="s">
        <v>567</v>
      </c>
      <c r="D906" s="145">
        <f>29+30+30+30+23+29+20+34+41+21+37+39</f>
        <v>363</v>
      </c>
      <c r="E906" s="146"/>
      <c r="F906" s="146"/>
      <c r="G906" s="146"/>
      <c r="H906" s="146"/>
      <c r="I906" s="146"/>
    </row>
    <row r="907" ht="15.75" customHeight="1">
      <c r="A907" s="147"/>
      <c r="B907" s="31" t="s">
        <v>568</v>
      </c>
      <c r="C907" s="31" t="s">
        <v>569</v>
      </c>
      <c r="D907" s="145">
        <f>29+33+31+30+34+25+31+38+44+26+43</f>
        <v>364</v>
      </c>
      <c r="E907" s="146"/>
      <c r="F907" s="146"/>
      <c r="G907" s="146"/>
      <c r="H907" s="146"/>
      <c r="I907" s="146"/>
    </row>
    <row r="908" ht="15.75" customHeight="1">
      <c r="A908" s="147"/>
      <c r="B908" s="31" t="s">
        <v>576</v>
      </c>
      <c r="C908" s="31" t="s">
        <v>577</v>
      </c>
      <c r="D908" s="145">
        <f>20+31+114</f>
        <v>165</v>
      </c>
      <c r="E908" s="146"/>
      <c r="F908" s="146"/>
      <c r="G908" s="146"/>
      <c r="H908" s="146"/>
      <c r="I908" s="146"/>
    </row>
    <row r="909" ht="15.75" customHeight="1">
      <c r="A909" s="147"/>
      <c r="B909" s="31" t="s">
        <v>578</v>
      </c>
      <c r="C909" s="31" t="s">
        <v>579</v>
      </c>
      <c r="D909" s="145">
        <f>150</f>
        <v>150</v>
      </c>
      <c r="E909" s="146"/>
      <c r="F909" s="146"/>
      <c r="G909" s="146"/>
      <c r="H909" s="146"/>
      <c r="I909" s="146"/>
    </row>
    <row r="910" ht="15.75" customHeight="1">
      <c r="A910" s="147"/>
      <c r="B910" s="72" t="s">
        <v>540</v>
      </c>
      <c r="C910" s="116" t="s">
        <v>541</v>
      </c>
      <c r="D910" s="145">
        <f>30+25+28+30</f>
        <v>113</v>
      </c>
      <c r="E910" s="146"/>
      <c r="F910" s="146"/>
      <c r="G910" s="146"/>
      <c r="H910" s="146"/>
      <c r="I910" s="146"/>
    </row>
    <row r="911" ht="15.75" customHeight="1">
      <c r="A911" s="147"/>
      <c r="B911" s="31" t="s">
        <v>580</v>
      </c>
      <c r="C911" s="31" t="s">
        <v>581</v>
      </c>
      <c r="D911" s="145">
        <f>36+35+26+40+45+20</f>
        <v>202</v>
      </c>
      <c r="E911" s="146"/>
      <c r="F911" s="146"/>
      <c r="G911" s="146"/>
      <c r="H911" s="146"/>
      <c r="I911" s="146"/>
    </row>
    <row r="912" ht="15.75" customHeight="1">
      <c r="A912" s="147"/>
      <c r="B912" s="72" t="s">
        <v>454</v>
      </c>
      <c r="C912" s="149" t="s">
        <v>455</v>
      </c>
      <c r="D912" s="145">
        <f>36+45+40+36+42+39</f>
        <v>238</v>
      </c>
      <c r="E912" s="146"/>
      <c r="F912" s="146"/>
      <c r="G912" s="146"/>
      <c r="H912" s="146"/>
      <c r="I912" s="146"/>
    </row>
    <row r="913" ht="15.75" customHeight="1">
      <c r="A913" s="147"/>
      <c r="B913" s="72" t="s">
        <v>470</v>
      </c>
      <c r="C913" s="149" t="s">
        <v>471</v>
      </c>
      <c r="D913" s="145">
        <f>55</f>
        <v>55</v>
      </c>
      <c r="E913" s="146"/>
      <c r="F913" s="146"/>
      <c r="G913" s="146"/>
      <c r="H913" s="146"/>
      <c r="I913" s="146"/>
    </row>
    <row r="914" ht="15.75" customHeight="1">
      <c r="A914" s="147"/>
      <c r="B914" s="72" t="s">
        <v>456</v>
      </c>
      <c r="C914" s="116" t="s">
        <v>457</v>
      </c>
      <c r="D914" s="145">
        <f>46+34+39</f>
        <v>119</v>
      </c>
      <c r="E914" s="146"/>
      <c r="F914" s="146"/>
      <c r="G914" s="146"/>
      <c r="H914" s="146"/>
      <c r="I914" s="146"/>
    </row>
    <row r="915" ht="15.75" customHeight="1">
      <c r="A915" s="147"/>
      <c r="B915" s="155"/>
      <c r="C915" s="137"/>
      <c r="D915" s="145"/>
      <c r="E915" s="146"/>
      <c r="F915" s="146"/>
      <c r="G915" s="146"/>
      <c r="H915" s="146"/>
      <c r="I915" s="146"/>
    </row>
    <row r="916" ht="15.75" customHeight="1">
      <c r="A916" s="133">
        <v>45823.0</v>
      </c>
      <c r="B916" s="31" t="s">
        <v>482</v>
      </c>
      <c r="C916" s="31" t="s">
        <v>483</v>
      </c>
      <c r="D916" s="145">
        <f>37+34+38+38+37+36+27+37+40+35+30+29+32+34</f>
        <v>484</v>
      </c>
      <c r="E916" s="146"/>
      <c r="F916" s="146"/>
      <c r="G916" s="146"/>
      <c r="H916" s="146"/>
      <c r="I916" s="146"/>
    </row>
    <row r="917" ht="15.75" customHeight="1">
      <c r="A917" s="147"/>
      <c r="B917" s="72" t="s">
        <v>470</v>
      </c>
      <c r="C917" s="149" t="s">
        <v>471</v>
      </c>
      <c r="D917" s="145">
        <f>40+32+40+38+35+30+27+30+27+59+60+59+54+60+47+47+51+27+54+42+58+59+48</f>
        <v>1024</v>
      </c>
      <c r="E917" s="146"/>
      <c r="F917" s="146"/>
      <c r="G917" s="146"/>
      <c r="H917" s="146"/>
      <c r="I917" s="146"/>
    </row>
    <row r="918" ht="15.75" customHeight="1">
      <c r="A918" s="147"/>
      <c r="B918" s="125" t="s">
        <v>446</v>
      </c>
      <c r="C918" s="125" t="s">
        <v>447</v>
      </c>
      <c r="D918" s="145">
        <f>25+26+26+23+12+14+20+28+35+38+37+36+35+29+30+25+36+36+35</f>
        <v>546</v>
      </c>
      <c r="E918" s="146"/>
      <c r="F918" s="146"/>
      <c r="G918" s="146"/>
      <c r="H918" s="146"/>
      <c r="I918" s="146"/>
    </row>
    <row r="919" ht="15.75" customHeight="1">
      <c r="A919" s="147"/>
      <c r="B919" s="125" t="s">
        <v>536</v>
      </c>
      <c r="C919" s="125" t="s">
        <v>537</v>
      </c>
      <c r="D919" s="145">
        <f>77+91+65+74</f>
        <v>307</v>
      </c>
      <c r="E919" s="146"/>
      <c r="F919" s="146"/>
      <c r="G919" s="146"/>
      <c r="H919" s="146"/>
      <c r="I919" s="146"/>
    </row>
    <row r="920" ht="15.75" customHeight="1">
      <c r="A920" s="147"/>
      <c r="B920" s="72" t="s">
        <v>540</v>
      </c>
      <c r="C920" s="116" t="s">
        <v>541</v>
      </c>
      <c r="D920" s="145">
        <f>32+29+31+31+30+32+18+27+28+24+30+14+16+22</f>
        <v>364</v>
      </c>
      <c r="E920" s="146"/>
      <c r="F920" s="146"/>
      <c r="G920" s="146"/>
      <c r="H920" s="146"/>
      <c r="I920" s="146"/>
    </row>
    <row r="921" ht="15.75" customHeight="1">
      <c r="A921" s="147"/>
      <c r="B921" s="72" t="s">
        <v>574</v>
      </c>
      <c r="C921" s="116" t="s">
        <v>575</v>
      </c>
      <c r="D921" s="145">
        <f>64+76+86+69+51+70+63+68+48</f>
        <v>595</v>
      </c>
      <c r="E921" s="146"/>
      <c r="F921" s="146"/>
      <c r="G921" s="146"/>
      <c r="H921" s="146"/>
      <c r="I921" s="146"/>
    </row>
    <row r="922" ht="15.75" customHeight="1">
      <c r="A922" s="147"/>
      <c r="B922" s="72" t="s">
        <v>564</v>
      </c>
      <c r="C922" s="116" t="s">
        <v>565</v>
      </c>
      <c r="D922" s="145">
        <f>68+69+72+65+66</f>
        <v>340</v>
      </c>
      <c r="E922" s="146"/>
      <c r="F922" s="146"/>
      <c r="G922" s="146"/>
      <c r="H922" s="146"/>
      <c r="I922" s="146"/>
    </row>
    <row r="923" ht="15.75" customHeight="1">
      <c r="A923" s="147"/>
      <c r="B923" s="72" t="s">
        <v>450</v>
      </c>
      <c r="C923" s="149" t="s">
        <v>451</v>
      </c>
      <c r="D923" s="145">
        <f>36+33+36+33+33</f>
        <v>171</v>
      </c>
      <c r="E923" s="146"/>
      <c r="F923" s="146"/>
      <c r="G923" s="146"/>
      <c r="H923" s="146"/>
      <c r="I923" s="146"/>
    </row>
    <row r="924" ht="15.75" customHeight="1">
      <c r="A924" s="147"/>
      <c r="B924" s="72" t="s">
        <v>458</v>
      </c>
      <c r="C924" s="149" t="s">
        <v>459</v>
      </c>
      <c r="D924" s="145">
        <f>42+36+44+36+38+29+44+40+45</f>
        <v>354</v>
      </c>
      <c r="E924" s="146"/>
      <c r="F924" s="146"/>
      <c r="G924" s="146"/>
      <c r="H924" s="146"/>
      <c r="I924" s="146"/>
    </row>
    <row r="925" ht="15.75" customHeight="1">
      <c r="A925" s="147"/>
      <c r="B925" s="72" t="s">
        <v>528</v>
      </c>
      <c r="C925" s="149" t="s">
        <v>529</v>
      </c>
      <c r="D925" s="145">
        <f>32+43+28+38</f>
        <v>141</v>
      </c>
      <c r="E925" s="146"/>
      <c r="F925" s="146"/>
      <c r="G925" s="146"/>
      <c r="H925" s="146"/>
      <c r="I925" s="146"/>
    </row>
    <row r="926" ht="15.75" customHeight="1">
      <c r="A926" s="147"/>
      <c r="B926" s="72" t="s">
        <v>500</v>
      </c>
      <c r="C926" s="149" t="s">
        <v>501</v>
      </c>
      <c r="D926" s="145">
        <f>36+37+42+32+31+21</f>
        <v>199</v>
      </c>
      <c r="E926" s="146"/>
      <c r="F926" s="146"/>
      <c r="G926" s="146"/>
      <c r="H926" s="146"/>
      <c r="I926" s="146"/>
    </row>
    <row r="927" ht="15.75" customHeight="1">
      <c r="A927" s="147"/>
      <c r="B927" s="72" t="s">
        <v>454</v>
      </c>
      <c r="C927" s="149" t="s">
        <v>455</v>
      </c>
      <c r="D927" s="145">
        <f>30+33+41+26+27+35+39+46+45+43+38+46+45+38+31+44+36+42+45+41+36+49</f>
        <v>856</v>
      </c>
      <c r="E927" s="146"/>
      <c r="F927" s="146"/>
      <c r="G927" s="146"/>
      <c r="H927" s="146"/>
      <c r="I927" s="146"/>
    </row>
    <row r="928" ht="15.75" customHeight="1">
      <c r="A928" s="147"/>
      <c r="B928" s="72" t="s">
        <v>456</v>
      </c>
      <c r="C928" s="116" t="s">
        <v>457</v>
      </c>
      <c r="D928" s="145">
        <f>46+45+35+36+30+40+38+35+41</f>
        <v>346</v>
      </c>
      <c r="E928" s="146"/>
      <c r="F928" s="146"/>
      <c r="G928" s="146"/>
      <c r="H928" s="146"/>
      <c r="I928" s="146"/>
    </row>
    <row r="929" ht="15.75" customHeight="1">
      <c r="A929" s="147"/>
      <c r="B929" s="31" t="s">
        <v>580</v>
      </c>
      <c r="C929" s="31" t="s">
        <v>581</v>
      </c>
      <c r="D929" s="145">
        <f>40+40+40+40</f>
        <v>160</v>
      </c>
      <c r="E929" s="146"/>
      <c r="F929" s="146"/>
      <c r="G929" s="146"/>
      <c r="H929" s="146"/>
      <c r="I929" s="146"/>
    </row>
    <row r="930" ht="15.75" customHeight="1">
      <c r="A930" s="147"/>
      <c r="B930" s="31" t="s">
        <v>566</v>
      </c>
      <c r="C930" s="31" t="s">
        <v>567</v>
      </c>
      <c r="D930" s="145">
        <f>39+40+47+39</f>
        <v>165</v>
      </c>
      <c r="E930" s="146"/>
      <c r="F930" s="146"/>
      <c r="G930" s="146"/>
      <c r="H930" s="146"/>
      <c r="I930" s="146"/>
    </row>
    <row r="931" ht="15.75" customHeight="1">
      <c r="A931" s="147"/>
      <c r="B931" s="31" t="s">
        <v>568</v>
      </c>
      <c r="C931" s="31" t="s">
        <v>569</v>
      </c>
      <c r="D931" s="145">
        <f>51+45+36</f>
        <v>132</v>
      </c>
      <c r="E931" s="146"/>
      <c r="F931" s="146"/>
      <c r="G931" s="146"/>
      <c r="H931" s="146"/>
      <c r="I931" s="146"/>
    </row>
    <row r="932" ht="15.75" customHeight="1">
      <c r="A932" s="147"/>
      <c r="B932" s="155"/>
      <c r="C932" s="137"/>
      <c r="D932" s="145"/>
      <c r="E932" s="146"/>
      <c r="F932" s="146"/>
      <c r="G932" s="146"/>
      <c r="H932" s="146"/>
      <c r="I932" s="146"/>
    </row>
    <row r="933" ht="15.75" customHeight="1">
      <c r="A933" s="133">
        <v>45824.0</v>
      </c>
      <c r="B933" s="31" t="s">
        <v>482</v>
      </c>
      <c r="C933" s="31" t="s">
        <v>483</v>
      </c>
      <c r="D933" s="145">
        <f>27+29+35+30+30+38+38+33+25+37+21+23+25+28+25+26+15+16+37+37+6+25+28+20+23+20+22</f>
        <v>719</v>
      </c>
      <c r="E933" s="146"/>
      <c r="F933" s="146"/>
      <c r="G933" s="146"/>
      <c r="H933" s="146"/>
      <c r="I933" s="146"/>
    </row>
    <row r="934" ht="15.75" customHeight="1">
      <c r="A934" s="147"/>
      <c r="B934" s="72" t="s">
        <v>448</v>
      </c>
      <c r="C934" s="116" t="s">
        <v>449</v>
      </c>
      <c r="D934" s="145">
        <f>29+33+30+32+33+34+36+35+31+20+13+37+36+30+39+35+37+34+31+27+32</f>
        <v>664</v>
      </c>
      <c r="E934" s="146"/>
      <c r="F934" s="146"/>
      <c r="G934" s="146"/>
      <c r="H934" s="146"/>
      <c r="I934" s="146"/>
    </row>
    <row r="935" ht="15.75" customHeight="1">
      <c r="A935" s="147"/>
      <c r="B935" s="31" t="s">
        <v>484</v>
      </c>
      <c r="C935" s="31" t="s">
        <v>485</v>
      </c>
      <c r="D935" s="145">
        <f>36+41+39+21+15+37+28</f>
        <v>217</v>
      </c>
      <c r="E935" s="146"/>
      <c r="F935" s="146"/>
      <c r="G935" s="146"/>
      <c r="H935" s="146"/>
      <c r="I935" s="146"/>
    </row>
    <row r="936" ht="15.75" customHeight="1">
      <c r="A936" s="147"/>
      <c r="B936" s="31" t="s">
        <v>446</v>
      </c>
      <c r="C936" s="31" t="s">
        <v>447</v>
      </c>
      <c r="D936" s="145">
        <f>25+14+24+17+14+13+12+15+18+33+33+29+15+15+29+20+20+23+14+17+23+27+29+27+15</f>
        <v>521</v>
      </c>
      <c r="E936" s="146"/>
      <c r="F936" s="146"/>
      <c r="G936" s="146"/>
      <c r="H936" s="146"/>
      <c r="I936" s="146"/>
    </row>
    <row r="937" ht="15.75" customHeight="1">
      <c r="A937" s="147"/>
      <c r="B937" s="72" t="s">
        <v>540</v>
      </c>
      <c r="C937" s="116" t="s">
        <v>541</v>
      </c>
      <c r="D937" s="145">
        <f>28+23+23+24+21+24+21+19+26+27+24+23+23+24+23+25</f>
        <v>378</v>
      </c>
      <c r="E937" s="146"/>
      <c r="F937" s="146"/>
      <c r="G937" s="146"/>
      <c r="H937" s="146"/>
      <c r="I937" s="146"/>
    </row>
    <row r="938" ht="15.75" customHeight="1">
      <c r="A938" s="147"/>
      <c r="B938" s="125" t="s">
        <v>536</v>
      </c>
      <c r="C938" s="125" t="s">
        <v>537</v>
      </c>
      <c r="D938" s="145">
        <f>71+69+28+66+65</f>
        <v>299</v>
      </c>
      <c r="E938" s="146"/>
      <c r="F938" s="146"/>
      <c r="G938" s="146"/>
      <c r="H938" s="146"/>
      <c r="I938" s="146"/>
    </row>
    <row r="939" ht="15.75" customHeight="1">
      <c r="A939" s="147"/>
      <c r="B939" s="72" t="s">
        <v>574</v>
      </c>
      <c r="C939" s="116" t="s">
        <v>575</v>
      </c>
      <c r="D939" s="145">
        <f>68+63+51</f>
        <v>182</v>
      </c>
      <c r="E939" s="146"/>
      <c r="F939" s="146"/>
      <c r="G939" s="146"/>
      <c r="H939" s="146"/>
      <c r="I939" s="146"/>
    </row>
    <row r="940" ht="15.75" customHeight="1">
      <c r="A940" s="147"/>
      <c r="B940" s="124" t="s">
        <v>582</v>
      </c>
      <c r="C940" s="154" t="s">
        <v>583</v>
      </c>
      <c r="D940" s="152">
        <f>67+47+57+45+38+64+45</f>
        <v>363</v>
      </c>
      <c r="E940" s="146"/>
      <c r="F940" s="146"/>
      <c r="G940" s="146"/>
      <c r="H940" s="146"/>
      <c r="I940" s="146"/>
    </row>
    <row r="941" ht="15.75" customHeight="1">
      <c r="A941" s="147"/>
      <c r="B941" s="31" t="s">
        <v>580</v>
      </c>
      <c r="C941" s="31" t="s">
        <v>581</v>
      </c>
      <c r="D941" s="145">
        <f>31+29+39+31</f>
        <v>130</v>
      </c>
      <c r="E941" s="146"/>
      <c r="F941" s="146"/>
      <c r="G941" s="146"/>
      <c r="H941" s="146"/>
      <c r="I941" s="146"/>
    </row>
    <row r="942" ht="15.75" customHeight="1">
      <c r="A942" s="147"/>
      <c r="B942" s="72" t="s">
        <v>458</v>
      </c>
      <c r="C942" s="149" t="s">
        <v>459</v>
      </c>
      <c r="D942" s="145">
        <f>32+36+38+32+33+33+36+39+37+34+38+32+32+26+30+28+38</f>
        <v>574</v>
      </c>
      <c r="E942" s="146"/>
      <c r="F942" s="146"/>
      <c r="G942" s="146"/>
      <c r="H942" s="146"/>
      <c r="I942" s="146"/>
    </row>
    <row r="943" ht="15.75" customHeight="1">
      <c r="A943" s="147"/>
      <c r="B943" s="31" t="s">
        <v>566</v>
      </c>
      <c r="C943" s="31" t="s">
        <v>567</v>
      </c>
      <c r="D943" s="145">
        <f>37+36</f>
        <v>73</v>
      </c>
      <c r="E943" s="146"/>
      <c r="F943" s="146"/>
      <c r="G943" s="146"/>
      <c r="H943" s="146"/>
      <c r="I943" s="146"/>
    </row>
    <row r="944" ht="15.75" customHeight="1">
      <c r="A944" s="147"/>
      <c r="B944" s="31" t="s">
        <v>580</v>
      </c>
      <c r="C944" s="31" t="s">
        <v>581</v>
      </c>
      <c r="D944" s="145">
        <f>36+26+43+43+39+40+25+38+28+27+39</f>
        <v>384</v>
      </c>
      <c r="E944" s="146"/>
      <c r="F944" s="146"/>
      <c r="G944" s="146"/>
      <c r="H944" s="146"/>
      <c r="I944" s="146"/>
    </row>
    <row r="945" ht="15.75" customHeight="1">
      <c r="A945" s="147"/>
      <c r="B945" s="31" t="s">
        <v>568</v>
      </c>
      <c r="C945" s="31" t="s">
        <v>569</v>
      </c>
      <c r="D945" s="145">
        <f>36+36+36</f>
        <v>108</v>
      </c>
      <c r="E945" s="146"/>
      <c r="F945" s="146"/>
      <c r="G945" s="146"/>
      <c r="H945" s="146"/>
      <c r="I945" s="146"/>
    </row>
    <row r="946" ht="15.75" customHeight="1">
      <c r="A946" s="147"/>
      <c r="B946" s="72" t="s">
        <v>452</v>
      </c>
      <c r="C946" s="116" t="s">
        <v>453</v>
      </c>
      <c r="D946" s="145">
        <f>30+37+39+31+35+44+40+39+42+39+37+33+33</f>
        <v>479</v>
      </c>
      <c r="E946" s="146"/>
      <c r="F946" s="146"/>
      <c r="G946" s="146"/>
      <c r="H946" s="146"/>
      <c r="I946" s="146"/>
    </row>
    <row r="947" ht="15.75" customHeight="1">
      <c r="A947" s="147"/>
      <c r="B947" s="72" t="s">
        <v>470</v>
      </c>
      <c r="C947" s="149" t="s">
        <v>471</v>
      </c>
      <c r="D947" s="145">
        <f>55+58+55+53+51+14+17+60</f>
        <v>363</v>
      </c>
      <c r="E947" s="146"/>
      <c r="F947" s="146"/>
      <c r="G947" s="146"/>
      <c r="H947" s="146"/>
      <c r="I947" s="146"/>
    </row>
    <row r="948" ht="15.75" customHeight="1">
      <c r="A948" s="147"/>
      <c r="B948" s="72" t="s">
        <v>456</v>
      </c>
      <c r="C948" s="116" t="s">
        <v>457</v>
      </c>
      <c r="D948" s="145">
        <f>36+36+41+42+44+32+38+34+37+35+35+34+39+36</f>
        <v>519</v>
      </c>
      <c r="E948" s="146"/>
      <c r="F948" s="146"/>
      <c r="G948" s="146"/>
      <c r="H948" s="146"/>
      <c r="I948" s="146"/>
    </row>
    <row r="949" ht="15.75" customHeight="1">
      <c r="A949" s="147"/>
      <c r="B949" s="72" t="s">
        <v>584</v>
      </c>
      <c r="C949" s="149" t="s">
        <v>585</v>
      </c>
      <c r="D949" s="145">
        <f>38+44+39+43+41+33+42+38+36+39+39+34+36+35+44+42</f>
        <v>623</v>
      </c>
      <c r="E949" s="146"/>
      <c r="F949" s="146"/>
      <c r="G949" s="146"/>
      <c r="H949" s="146"/>
      <c r="I949" s="146"/>
    </row>
    <row r="950" ht="15.75" customHeight="1">
      <c r="A950" s="147"/>
      <c r="B950" s="155"/>
      <c r="C950" s="137"/>
      <c r="D950" s="145"/>
      <c r="E950" s="146"/>
      <c r="F950" s="146"/>
      <c r="G950" s="146"/>
      <c r="H950" s="146"/>
      <c r="I950" s="146"/>
    </row>
    <row r="951" ht="15.75" customHeight="1">
      <c r="A951" s="133">
        <v>45825.0</v>
      </c>
      <c r="B951" s="72" t="s">
        <v>448</v>
      </c>
      <c r="C951" s="116" t="s">
        <v>449</v>
      </c>
      <c r="D951" s="145">
        <f>30+34+34+34+34+37+9+12+32+30+27+31+35+30+28+21</f>
        <v>458</v>
      </c>
      <c r="E951" s="146"/>
      <c r="F951" s="146"/>
      <c r="G951" s="146"/>
      <c r="H951" s="146"/>
      <c r="I951" s="146"/>
    </row>
    <row r="952" ht="15.75" customHeight="1">
      <c r="A952" s="147"/>
      <c r="B952" s="72" t="s">
        <v>494</v>
      </c>
      <c r="C952" s="116" t="s">
        <v>495</v>
      </c>
      <c r="D952" s="145">
        <f>21+26+14+31</f>
        <v>92</v>
      </c>
      <c r="E952" s="146"/>
      <c r="F952" s="146"/>
      <c r="G952" s="146"/>
      <c r="H952" s="146"/>
      <c r="I952" s="146"/>
    </row>
    <row r="953" ht="15.75" customHeight="1">
      <c r="A953" s="147"/>
      <c r="B953" s="72" t="s">
        <v>584</v>
      </c>
      <c r="C953" s="149" t="s">
        <v>585</v>
      </c>
      <c r="D953" s="145">
        <f>35+30+26+29+41+34+36+34+32+28+37+41+39+42+17+43+41+28+39+39+36+38+39+37+38+37</f>
        <v>916</v>
      </c>
      <c r="E953" s="146"/>
      <c r="F953" s="146"/>
      <c r="G953" s="146"/>
      <c r="H953" s="146"/>
      <c r="I953" s="146"/>
    </row>
    <row r="954" ht="15.75" customHeight="1">
      <c r="A954" s="147"/>
      <c r="B954" s="31" t="s">
        <v>446</v>
      </c>
      <c r="C954" s="31" t="s">
        <v>447</v>
      </c>
      <c r="D954" s="145">
        <f>19+17+25+25+21+21+15+20+21+21+23+26+17+31+20+37+31+27+28+30+27+24+12</f>
        <v>538</v>
      </c>
      <c r="E954" s="146"/>
      <c r="F954" s="146"/>
      <c r="G954" s="146"/>
      <c r="H954" s="146"/>
      <c r="I954" s="146"/>
    </row>
    <row r="955" ht="15.75" customHeight="1">
      <c r="A955" s="147"/>
      <c r="B955" s="72" t="s">
        <v>540</v>
      </c>
      <c r="C955" s="116" t="s">
        <v>541</v>
      </c>
      <c r="D955" s="145">
        <f>20+23+24+27+23+10</f>
        <v>127</v>
      </c>
      <c r="E955" s="146"/>
      <c r="F955" s="146"/>
      <c r="G955" s="146"/>
      <c r="H955" s="146"/>
      <c r="I955" s="146"/>
    </row>
    <row r="956" ht="15.75" customHeight="1">
      <c r="A956" s="147"/>
      <c r="B956" s="125" t="s">
        <v>536</v>
      </c>
      <c r="C956" s="125" t="s">
        <v>537</v>
      </c>
      <c r="D956" s="145">
        <f>77+87+91+77</f>
        <v>332</v>
      </c>
      <c r="E956" s="146"/>
      <c r="F956" s="146"/>
      <c r="G956" s="146"/>
      <c r="H956" s="146"/>
      <c r="I956" s="146"/>
    </row>
    <row r="957" ht="15.75" customHeight="1">
      <c r="A957" s="147"/>
      <c r="B957" s="72" t="s">
        <v>586</v>
      </c>
      <c r="C957" s="116" t="s">
        <v>587</v>
      </c>
      <c r="D957" s="145">
        <f>14</f>
        <v>14</v>
      </c>
      <c r="E957" s="146"/>
      <c r="F957" s="146"/>
      <c r="G957" s="146"/>
      <c r="H957" s="146"/>
      <c r="I957" s="146"/>
    </row>
    <row r="958" ht="15.75" customHeight="1">
      <c r="A958" s="147"/>
      <c r="B958" s="72" t="s">
        <v>564</v>
      </c>
      <c r="C958" s="116" t="s">
        <v>565</v>
      </c>
      <c r="D958" s="145">
        <f>64+42+51+38+62</f>
        <v>257</v>
      </c>
      <c r="E958" s="146"/>
      <c r="F958" s="146"/>
      <c r="G958" s="146"/>
      <c r="H958" s="146"/>
      <c r="I958" s="146"/>
    </row>
    <row r="959" ht="15.75" customHeight="1">
      <c r="A959" s="147"/>
      <c r="B959" s="72" t="s">
        <v>502</v>
      </c>
      <c r="C959" s="116" t="s">
        <v>503</v>
      </c>
      <c r="D959" s="152">
        <f>25+51+48+58+44+62+54+51</f>
        <v>393</v>
      </c>
      <c r="E959" s="146"/>
      <c r="F959" s="146"/>
      <c r="G959" s="146"/>
      <c r="H959" s="146"/>
      <c r="I959" s="146"/>
    </row>
    <row r="960" ht="15.75" customHeight="1">
      <c r="A960" s="147"/>
      <c r="B960" s="72" t="s">
        <v>458</v>
      </c>
      <c r="C960" s="149" t="s">
        <v>459</v>
      </c>
      <c r="D960" s="145">
        <f>23+24+23+36+37+41+31+27+35+30+36+34+29+29+31+28+32+31+34+33+25+25+20+24+52+26+29+31+30+40+34+31+19+33+35+34+40+38+34+26+27+36+26+28</f>
        <v>1367</v>
      </c>
      <c r="E960" s="146"/>
      <c r="F960" s="146"/>
      <c r="G960" s="146"/>
      <c r="H960" s="146"/>
      <c r="I960" s="146"/>
    </row>
    <row r="961" ht="15.75" customHeight="1">
      <c r="A961" s="147"/>
      <c r="B961" s="72" t="s">
        <v>452</v>
      </c>
      <c r="C961" s="116" t="s">
        <v>453</v>
      </c>
      <c r="D961" s="145">
        <f>39+32+31+21+33+35</f>
        <v>191</v>
      </c>
      <c r="E961" s="146"/>
      <c r="F961" s="146"/>
      <c r="G961" s="146"/>
      <c r="H961" s="146"/>
      <c r="I961" s="146"/>
    </row>
    <row r="962" ht="15.75" customHeight="1">
      <c r="A962" s="147"/>
      <c r="B962" s="72" t="s">
        <v>544</v>
      </c>
      <c r="C962" s="116" t="s">
        <v>545</v>
      </c>
      <c r="D962" s="145">
        <f>30+25+37+37</f>
        <v>129</v>
      </c>
      <c r="E962" s="146"/>
      <c r="F962" s="146"/>
      <c r="G962" s="146"/>
      <c r="H962" s="146"/>
      <c r="I962" s="146"/>
    </row>
    <row r="963" ht="15.75" customHeight="1">
      <c r="A963" s="147"/>
      <c r="B963" s="72" t="s">
        <v>456</v>
      </c>
      <c r="C963" s="116" t="s">
        <v>457</v>
      </c>
      <c r="D963" s="145">
        <f>32+31+33+33+31+29+31+33+13</f>
        <v>266</v>
      </c>
      <c r="E963" s="146"/>
      <c r="F963" s="146"/>
      <c r="G963" s="146"/>
      <c r="H963" s="146"/>
      <c r="I963" s="146"/>
    </row>
    <row r="964" ht="15.75" customHeight="1">
      <c r="A964" s="147"/>
      <c r="B964" s="76" t="s">
        <v>434</v>
      </c>
      <c r="C964" s="77" t="s">
        <v>435</v>
      </c>
      <c r="D964" s="145">
        <f>31+36+36+19+34+37+27+28+30+20</f>
        <v>298</v>
      </c>
      <c r="E964" s="146"/>
      <c r="F964" s="146"/>
      <c r="G964" s="146"/>
      <c r="H964" s="146"/>
      <c r="I964" s="146"/>
    </row>
    <row r="965" ht="15.75" customHeight="1">
      <c r="A965" s="147"/>
      <c r="B965" s="76" t="s">
        <v>460</v>
      </c>
      <c r="C965" s="77" t="s">
        <v>461</v>
      </c>
      <c r="D965" s="145">
        <f>30+21+28+32+22</f>
        <v>133</v>
      </c>
      <c r="E965" s="146"/>
      <c r="F965" s="146"/>
      <c r="G965" s="146"/>
      <c r="H965" s="146"/>
      <c r="I965" s="146"/>
    </row>
    <row r="966" ht="15.75" customHeight="1">
      <c r="A966" s="147"/>
      <c r="B966" s="72" t="s">
        <v>514</v>
      </c>
      <c r="C966" s="116" t="s">
        <v>515</v>
      </c>
      <c r="D966" s="145">
        <f>12+26+24+20+20</f>
        <v>102</v>
      </c>
      <c r="E966" s="146"/>
      <c r="F966" s="146"/>
      <c r="G966" s="146"/>
      <c r="H966" s="146"/>
      <c r="I966" s="146"/>
    </row>
    <row r="967" ht="15.75" customHeight="1">
      <c r="A967" s="147"/>
      <c r="B967" s="72" t="s">
        <v>570</v>
      </c>
      <c r="C967" s="116" t="s">
        <v>571</v>
      </c>
      <c r="D967" s="145">
        <f>12+24+26+21</f>
        <v>83</v>
      </c>
      <c r="E967" s="146"/>
      <c r="F967" s="146"/>
      <c r="G967" s="146"/>
      <c r="H967" s="146"/>
      <c r="I967" s="146"/>
    </row>
    <row r="968" ht="15.75" customHeight="1">
      <c r="A968" s="147"/>
      <c r="B968" s="72" t="s">
        <v>510</v>
      </c>
      <c r="C968" s="116" t="s">
        <v>511</v>
      </c>
      <c r="D968" s="145">
        <f>51+60+25+25+38+44+50</f>
        <v>293</v>
      </c>
      <c r="E968" s="146"/>
      <c r="F968" s="146"/>
      <c r="G968" s="146"/>
      <c r="H968" s="146"/>
      <c r="I968" s="146"/>
    </row>
    <row r="969" ht="15.75" customHeight="1">
      <c r="A969" s="147"/>
      <c r="B969" s="72" t="s">
        <v>454</v>
      </c>
      <c r="C969" s="149" t="s">
        <v>455</v>
      </c>
      <c r="D969" s="145">
        <f>36+39+33+26+36+42+36+39+38+34+28+31+35</f>
        <v>453</v>
      </c>
      <c r="E969" s="146"/>
      <c r="F969" s="146"/>
      <c r="G969" s="146"/>
      <c r="H969" s="146"/>
      <c r="I969" s="146"/>
    </row>
    <row r="970" ht="15.75" customHeight="1">
      <c r="A970" s="147"/>
      <c r="B970" s="72" t="s">
        <v>588</v>
      </c>
      <c r="C970" s="116" t="s">
        <v>589</v>
      </c>
      <c r="D970" s="145">
        <f>43+32+39+42+36+30+28</f>
        <v>250</v>
      </c>
      <c r="E970" s="146"/>
      <c r="F970" s="146"/>
      <c r="G970" s="146"/>
      <c r="H970" s="146"/>
      <c r="I970" s="146"/>
    </row>
    <row r="971" ht="15.75" customHeight="1">
      <c r="A971" s="147"/>
      <c r="B971" s="72" t="s">
        <v>544</v>
      </c>
      <c r="C971" s="116" t="s">
        <v>545</v>
      </c>
      <c r="D971" s="145">
        <f>41+37+37+32</f>
        <v>147</v>
      </c>
      <c r="E971" s="146"/>
      <c r="F971" s="146"/>
      <c r="G971" s="146"/>
      <c r="H971" s="146"/>
      <c r="I971" s="146"/>
    </row>
    <row r="972" ht="15.75" customHeight="1">
      <c r="A972" s="147"/>
      <c r="B972" s="155"/>
      <c r="C972" s="137"/>
      <c r="D972" s="145"/>
      <c r="E972" s="146"/>
      <c r="F972" s="146"/>
      <c r="G972" s="146"/>
      <c r="H972" s="146"/>
      <c r="I972" s="146"/>
    </row>
    <row r="973" ht="15.75" customHeight="1">
      <c r="A973" s="133">
        <v>45826.0</v>
      </c>
      <c r="B973" s="72" t="s">
        <v>494</v>
      </c>
      <c r="C973" s="116" t="s">
        <v>495</v>
      </c>
      <c r="D973" s="145">
        <f>37+31+37+32+25+36+35+30+30+28+28+15+15+23+30+31+35+35+36+37+39+28+20</f>
        <v>693</v>
      </c>
      <c r="E973" s="146"/>
      <c r="F973" s="146"/>
      <c r="G973" s="146"/>
      <c r="H973" s="146"/>
      <c r="I973" s="146"/>
    </row>
    <row r="974" ht="15.75" customHeight="1">
      <c r="A974" s="147"/>
      <c r="B974" s="72" t="s">
        <v>434</v>
      </c>
      <c r="C974" s="116" t="s">
        <v>435</v>
      </c>
      <c r="D974" s="145">
        <f>35+34+35+30+32+18+35+37+40+30+40+30+33+36+35+27+32+33+36+32</f>
        <v>660</v>
      </c>
      <c r="E974" s="146"/>
      <c r="F974" s="146"/>
      <c r="G974" s="146"/>
      <c r="H974" s="146"/>
      <c r="I974" s="146"/>
    </row>
    <row r="975" ht="15.75" customHeight="1">
      <c r="A975" s="147"/>
      <c r="B975" s="76" t="s">
        <v>460</v>
      </c>
      <c r="C975" s="77" t="s">
        <v>461</v>
      </c>
      <c r="D975" s="145">
        <f>8+12</f>
        <v>20</v>
      </c>
      <c r="E975" s="146"/>
      <c r="F975" s="146"/>
      <c r="G975" s="146"/>
      <c r="H975" s="146"/>
      <c r="I975" s="146"/>
    </row>
    <row r="976" ht="15.75" customHeight="1">
      <c r="A976" s="147"/>
      <c r="B976" s="125" t="s">
        <v>446</v>
      </c>
      <c r="C976" s="125" t="s">
        <v>447</v>
      </c>
      <c r="D976" s="145">
        <f>17+17+14+31+25+27+18+22+18+23+20+16+15+11+24+23+31+33+15+16+24+33+26+27+28+16</f>
        <v>570</v>
      </c>
      <c r="E976" s="146"/>
      <c r="F976" s="146"/>
      <c r="G976" s="146"/>
      <c r="H976" s="146"/>
      <c r="I976" s="146"/>
    </row>
    <row r="977" ht="15.75" customHeight="1">
      <c r="A977" s="147"/>
      <c r="B977" s="125" t="s">
        <v>536</v>
      </c>
      <c r="C977" s="125" t="s">
        <v>537</v>
      </c>
      <c r="D977" s="145">
        <f>89+72+75+86</f>
        <v>322</v>
      </c>
      <c r="E977" s="146"/>
      <c r="F977" s="146"/>
      <c r="G977" s="146"/>
      <c r="H977" s="146"/>
      <c r="I977" s="146"/>
    </row>
    <row r="978" ht="15.75" customHeight="1">
      <c r="A978" s="147"/>
      <c r="B978" s="72" t="s">
        <v>502</v>
      </c>
      <c r="C978" s="116" t="s">
        <v>503</v>
      </c>
      <c r="D978" s="145">
        <f>21+36+53+60+57+53+56+45+56+52+62+43</f>
        <v>594</v>
      </c>
      <c r="E978" s="146"/>
      <c r="F978" s="146"/>
      <c r="G978" s="146"/>
      <c r="H978" s="146"/>
      <c r="I978" s="146"/>
    </row>
    <row r="979" ht="15.75" customHeight="1">
      <c r="A979" s="147"/>
      <c r="B979" s="72" t="s">
        <v>510</v>
      </c>
      <c r="C979" s="116" t="s">
        <v>511</v>
      </c>
      <c r="D979" s="145">
        <f>55+58+53+60+68+62+64+60+65+54+62</f>
        <v>661</v>
      </c>
      <c r="E979" s="146"/>
      <c r="F979" s="146"/>
      <c r="G979" s="146"/>
      <c r="H979" s="146"/>
      <c r="I979" s="146"/>
    </row>
    <row r="980" ht="15.75" customHeight="1">
      <c r="A980" s="147"/>
      <c r="B980" s="72" t="s">
        <v>458</v>
      </c>
      <c r="C980" s="149" t="s">
        <v>459</v>
      </c>
      <c r="D980" s="145">
        <f>32+35+39+40+35+32+30+30+29+28+33+27+33+38+38+39+40+33+35+28+25</f>
        <v>699</v>
      </c>
      <c r="E980" s="146"/>
      <c r="F980" s="146"/>
      <c r="G980" s="146"/>
      <c r="H980" s="146"/>
      <c r="I980" s="146"/>
    </row>
    <row r="981" ht="15.75" customHeight="1">
      <c r="A981" s="147"/>
      <c r="B981" s="72" t="s">
        <v>454</v>
      </c>
      <c r="C981" s="149" t="s">
        <v>455</v>
      </c>
      <c r="D981" s="145">
        <f>40+31+31+28+37+35+32+30+30+34+31+30+29+39+34+29+24+43+39+33+35+27+32+35+36</f>
        <v>824</v>
      </c>
      <c r="E981" s="146"/>
      <c r="F981" s="146"/>
      <c r="G981" s="146"/>
      <c r="H981" s="146"/>
      <c r="I981" s="146"/>
    </row>
    <row r="982" ht="15.75" customHeight="1">
      <c r="A982" s="147"/>
      <c r="B982" s="72" t="s">
        <v>544</v>
      </c>
      <c r="C982" s="116" t="s">
        <v>545</v>
      </c>
      <c r="D982" s="145">
        <f>33+38+33+35+25+36+36+36+37+36+40+33+26+43+40+20</f>
        <v>547</v>
      </c>
      <c r="E982" s="146"/>
      <c r="F982" s="146"/>
      <c r="G982" s="146"/>
      <c r="H982" s="146"/>
      <c r="I982" s="146"/>
    </row>
    <row r="983" ht="15.75" customHeight="1">
      <c r="A983" s="147"/>
      <c r="B983" s="72" t="s">
        <v>588</v>
      </c>
      <c r="C983" s="116" t="s">
        <v>589</v>
      </c>
      <c r="D983" s="145">
        <f>36+38+32+36+30+36+37+34+34+37+39+44+45+45</f>
        <v>523</v>
      </c>
      <c r="E983" s="146"/>
      <c r="F983" s="146"/>
      <c r="G983" s="146"/>
      <c r="H983" s="146"/>
      <c r="I983" s="146"/>
    </row>
    <row r="984" ht="15.75" customHeight="1">
      <c r="A984" s="147"/>
      <c r="B984" s="72" t="s">
        <v>514</v>
      </c>
      <c r="C984" s="116" t="s">
        <v>515</v>
      </c>
      <c r="D984" s="145">
        <f>20+22+28</f>
        <v>70</v>
      </c>
      <c r="E984" s="146"/>
      <c r="F984" s="146"/>
      <c r="G984" s="146"/>
      <c r="H984" s="146"/>
      <c r="I984" s="146"/>
    </row>
    <row r="985" ht="15.75" customHeight="1">
      <c r="A985" s="147"/>
      <c r="B985" s="72" t="s">
        <v>516</v>
      </c>
      <c r="C985" s="116" t="s">
        <v>517</v>
      </c>
      <c r="D985" s="145">
        <f>31+28</f>
        <v>59</v>
      </c>
      <c r="E985" s="146"/>
      <c r="F985" s="146"/>
      <c r="G985" s="146"/>
      <c r="H985" s="146"/>
      <c r="I985" s="146"/>
    </row>
    <row r="986" ht="15.75" customHeight="1">
      <c r="A986" s="147"/>
      <c r="B986" s="72" t="s">
        <v>584</v>
      </c>
      <c r="C986" s="149" t="s">
        <v>585</v>
      </c>
      <c r="D986" s="145">
        <f>38+29+37+37+40+38+40+40+40+45+42+34+29+42</f>
        <v>531</v>
      </c>
      <c r="E986" s="146"/>
      <c r="F986" s="146"/>
      <c r="G986" s="146"/>
      <c r="H986" s="146"/>
      <c r="I986" s="146"/>
    </row>
    <row r="987" ht="15.75" customHeight="1">
      <c r="A987" s="147"/>
      <c r="B987" s="72" t="s">
        <v>590</v>
      </c>
      <c r="C987" s="116" t="s">
        <v>591</v>
      </c>
      <c r="D987" s="145">
        <f>36+43+43</f>
        <v>122</v>
      </c>
      <c r="E987" s="146"/>
      <c r="F987" s="146"/>
      <c r="G987" s="146"/>
      <c r="H987" s="146"/>
      <c r="I987" s="146"/>
    </row>
    <row r="988" ht="15.75" customHeight="1">
      <c r="A988" s="147"/>
      <c r="B988" s="155"/>
      <c r="C988" s="137"/>
      <c r="D988" s="145"/>
      <c r="E988" s="146"/>
      <c r="F988" s="146"/>
      <c r="G988" s="146"/>
      <c r="H988" s="146"/>
      <c r="I988" s="146"/>
    </row>
    <row r="989" ht="15.75" customHeight="1">
      <c r="A989" s="133">
        <v>45827.0</v>
      </c>
      <c r="B989" s="72" t="s">
        <v>436</v>
      </c>
      <c r="C989" s="116" t="s">
        <v>437</v>
      </c>
      <c r="D989" s="145">
        <f>33+34+35+34+24+21+28+32+31+34+27+32+25+29+30+33+34+33+31+25+32+31+20+28+26+33+33+32+34+28+22+35+34+38+34+40+28</f>
        <v>1133</v>
      </c>
      <c r="E989" s="146"/>
      <c r="F989" s="146"/>
      <c r="G989" s="146"/>
      <c r="H989" s="146"/>
      <c r="I989" s="146"/>
    </row>
    <row r="990" ht="15.75" customHeight="1">
      <c r="A990" s="147"/>
      <c r="B990" s="72" t="s">
        <v>434</v>
      </c>
      <c r="C990" s="116" t="s">
        <v>435</v>
      </c>
      <c r="D990" s="145">
        <f>14+17+28+28</f>
        <v>87</v>
      </c>
      <c r="E990" s="146"/>
      <c r="F990" s="146"/>
      <c r="G990" s="146"/>
      <c r="H990" s="146"/>
      <c r="I990" s="146"/>
    </row>
    <row r="991" ht="15.75" customHeight="1">
      <c r="A991" s="147"/>
      <c r="B991" s="72" t="s">
        <v>494</v>
      </c>
      <c r="C991" s="116" t="s">
        <v>495</v>
      </c>
      <c r="D991" s="145">
        <f>29+32+26+20+19+35+34+34+30+33+22+27+20</f>
        <v>361</v>
      </c>
      <c r="E991" s="146"/>
      <c r="F991" s="146"/>
      <c r="G991" s="146"/>
      <c r="H991" s="146"/>
      <c r="I991" s="146"/>
    </row>
    <row r="992" ht="15.75" customHeight="1">
      <c r="A992" s="147"/>
      <c r="B992" s="125" t="s">
        <v>446</v>
      </c>
      <c r="C992" s="125" t="s">
        <v>447</v>
      </c>
      <c r="D992" s="145">
        <f>26+28+33+35+25+24+21+20+18+16+15+31+30+18+20+15+17+31+26+23+31+23+16</f>
        <v>542</v>
      </c>
      <c r="E992" s="146"/>
      <c r="F992" s="146"/>
      <c r="G992" s="146"/>
      <c r="H992" s="146"/>
      <c r="I992" s="146"/>
    </row>
    <row r="993" ht="15.75" customHeight="1">
      <c r="A993" s="147"/>
      <c r="B993" s="125" t="s">
        <v>536</v>
      </c>
      <c r="C993" s="125" t="s">
        <v>537</v>
      </c>
      <c r="D993" s="145">
        <f>95+65+83+79</f>
        <v>322</v>
      </c>
      <c r="E993" s="146"/>
      <c r="F993" s="146"/>
      <c r="G993" s="146"/>
      <c r="H993" s="146"/>
      <c r="I993" s="146"/>
    </row>
    <row r="994" ht="15.75" customHeight="1">
      <c r="A994" s="147"/>
      <c r="B994" s="72" t="s">
        <v>502</v>
      </c>
      <c r="C994" s="116" t="s">
        <v>503</v>
      </c>
      <c r="D994" s="145">
        <f>57+53+64+34+40+43+57+59+62+49+38</f>
        <v>556</v>
      </c>
      <c r="E994" s="146"/>
      <c r="F994" s="146"/>
      <c r="G994" s="146"/>
      <c r="H994" s="146"/>
      <c r="I994" s="146"/>
    </row>
    <row r="995" ht="15.75" customHeight="1">
      <c r="A995" s="147"/>
      <c r="B995" s="72" t="s">
        <v>510</v>
      </c>
      <c r="C995" s="116" t="s">
        <v>511</v>
      </c>
      <c r="D995" s="145">
        <f>56+46+46+48+45+46+45+53+60+67+64+58</f>
        <v>634</v>
      </c>
      <c r="E995" s="146"/>
      <c r="F995" s="146"/>
      <c r="G995" s="146"/>
      <c r="H995" s="146"/>
      <c r="I995" s="146"/>
    </row>
    <row r="996" ht="15.75" customHeight="1">
      <c r="A996" s="147"/>
      <c r="B996" s="72" t="s">
        <v>584</v>
      </c>
      <c r="C996" s="149" t="s">
        <v>585</v>
      </c>
      <c r="D996" s="145">
        <f>29+34+34+36+38+38+31+30+30+35+25+30+30+18+30+29+21+38+35+39+38+35+36+26+40+38+39+43+25+39+40+32+30+41+39</f>
        <v>1171</v>
      </c>
      <c r="E996" s="146"/>
      <c r="F996" s="146"/>
      <c r="G996" s="146"/>
      <c r="H996" s="146"/>
      <c r="I996" s="146"/>
    </row>
    <row r="997" ht="15.75" customHeight="1">
      <c r="A997" s="147"/>
      <c r="B997" s="72" t="s">
        <v>458</v>
      </c>
      <c r="C997" s="149" t="s">
        <v>459</v>
      </c>
      <c r="D997" s="145">
        <f>38+39+44+32+34+25+21+18+23+27+32+42+17</f>
        <v>392</v>
      </c>
      <c r="E997" s="146"/>
      <c r="F997" s="146"/>
      <c r="G997" s="146"/>
      <c r="H997" s="146"/>
      <c r="I997" s="146"/>
    </row>
    <row r="998" ht="15.75" customHeight="1">
      <c r="A998" s="147"/>
      <c r="B998" s="72" t="s">
        <v>454</v>
      </c>
      <c r="C998" s="149" t="s">
        <v>455</v>
      </c>
      <c r="D998" s="145">
        <f>40+42+44+40+29+45+24+30+40+34+43+23</f>
        <v>434</v>
      </c>
      <c r="E998" s="146"/>
      <c r="F998" s="146"/>
      <c r="G998" s="146"/>
      <c r="H998" s="146"/>
      <c r="I998" s="146"/>
    </row>
    <row r="999" ht="15.75" customHeight="1">
      <c r="A999" s="147"/>
      <c r="B999" s="72" t="s">
        <v>544</v>
      </c>
      <c r="C999" s="116" t="s">
        <v>545</v>
      </c>
      <c r="D999" s="145">
        <f>33+44+35+38+45+32+30+40+30+48+26+26</f>
        <v>427</v>
      </c>
      <c r="E999" s="146"/>
      <c r="F999" s="146"/>
      <c r="G999" s="146"/>
      <c r="H999" s="146"/>
      <c r="I999" s="146"/>
    </row>
    <row r="1000" ht="15.75" customHeight="1">
      <c r="A1000" s="147"/>
      <c r="B1000" s="72" t="s">
        <v>592</v>
      </c>
      <c r="C1000" s="116" t="s">
        <v>593</v>
      </c>
      <c r="D1000" s="145">
        <f>40+35+31+43+44+49+51+48+43+52+49</f>
        <v>485</v>
      </c>
      <c r="E1000" s="146"/>
      <c r="F1000" s="146"/>
      <c r="G1000" s="146"/>
      <c r="H1000" s="146"/>
      <c r="I1000" s="146"/>
    </row>
    <row r="1001" ht="15.75" customHeight="1">
      <c r="A1001" s="147"/>
      <c r="B1001" s="72" t="s">
        <v>588</v>
      </c>
      <c r="C1001" s="116" t="s">
        <v>589</v>
      </c>
      <c r="D1001" s="145">
        <f>41+35+44</f>
        <v>120</v>
      </c>
      <c r="E1001" s="146"/>
      <c r="F1001" s="146"/>
      <c r="G1001" s="146"/>
      <c r="H1001" s="146"/>
      <c r="I1001" s="146"/>
    </row>
    <row r="1002" ht="15.75" customHeight="1">
      <c r="A1002" s="147"/>
      <c r="B1002" s="72" t="s">
        <v>514</v>
      </c>
      <c r="C1002" s="116" t="s">
        <v>515</v>
      </c>
      <c r="D1002" s="145">
        <f>26+29+21+22+24+24</f>
        <v>146</v>
      </c>
      <c r="E1002" s="146"/>
      <c r="F1002" s="146"/>
      <c r="G1002" s="146"/>
      <c r="H1002" s="146"/>
      <c r="I1002" s="146"/>
    </row>
    <row r="1003" ht="15.75" customHeight="1">
      <c r="A1003" s="147"/>
      <c r="B1003" s="31" t="s">
        <v>594</v>
      </c>
      <c r="C1003" s="31" t="s">
        <v>595</v>
      </c>
      <c r="D1003" s="145">
        <f>87+150</f>
        <v>237</v>
      </c>
      <c r="E1003" s="146"/>
      <c r="F1003" s="146"/>
      <c r="G1003" s="146"/>
      <c r="H1003" s="146"/>
      <c r="I1003" s="146"/>
    </row>
    <row r="1004" ht="15.75" customHeight="1">
      <c r="A1004" s="147"/>
      <c r="B1004" s="155"/>
      <c r="C1004" s="137"/>
      <c r="D1004" s="145"/>
      <c r="E1004" s="146"/>
      <c r="F1004" s="146"/>
      <c r="G1004" s="146"/>
      <c r="H1004" s="146"/>
      <c r="I1004" s="146"/>
    </row>
    <row r="1005" ht="15.75" customHeight="1">
      <c r="A1005" s="133">
        <v>45828.0</v>
      </c>
      <c r="B1005" s="72" t="s">
        <v>434</v>
      </c>
      <c r="C1005" s="116" t="s">
        <v>435</v>
      </c>
      <c r="D1005" s="145">
        <f>32+42+35+34+35+37+32+34+34+18+15+15+32+28+35+40+12+12+24+26+33+29+31+32+31+11+29+33+32+33+31+27+14+29+33+32+30+31+30+18+10</f>
        <v>1151</v>
      </c>
      <c r="E1005" s="146"/>
      <c r="F1005" s="146"/>
      <c r="G1005" s="146"/>
      <c r="H1005" s="146"/>
      <c r="I1005" s="146"/>
    </row>
    <row r="1006" ht="15.75" customHeight="1">
      <c r="A1006" s="147"/>
      <c r="B1006" s="72" t="s">
        <v>494</v>
      </c>
      <c r="C1006" s="116" t="s">
        <v>495</v>
      </c>
      <c r="D1006" s="145">
        <f>40+30+35+30</f>
        <v>135</v>
      </c>
      <c r="E1006" s="146"/>
      <c r="F1006" s="146"/>
      <c r="G1006" s="146"/>
      <c r="H1006" s="146"/>
      <c r="I1006" s="146"/>
    </row>
    <row r="1007" ht="15.75" customHeight="1">
      <c r="A1007" s="147"/>
      <c r="B1007" s="125" t="s">
        <v>446</v>
      </c>
      <c r="C1007" s="125" t="s">
        <v>447</v>
      </c>
      <c r="D1007" s="145">
        <f>29+31+20+22+23+18+27+30+15+22+31+12+29+26+23+26+26+24+31+27+16</f>
        <v>508</v>
      </c>
      <c r="E1007" s="146"/>
      <c r="F1007" s="146"/>
      <c r="G1007" s="146"/>
      <c r="H1007" s="146"/>
      <c r="I1007" s="146"/>
    </row>
    <row r="1008" ht="15.75" customHeight="1">
      <c r="A1008" s="147"/>
      <c r="B1008" s="125" t="s">
        <v>536</v>
      </c>
      <c r="C1008" s="125" t="s">
        <v>537</v>
      </c>
      <c r="D1008" s="145">
        <f>103+50+80+85</f>
        <v>318</v>
      </c>
      <c r="E1008" s="146"/>
      <c r="F1008" s="146"/>
      <c r="G1008" s="146"/>
      <c r="H1008" s="146"/>
      <c r="I1008" s="146"/>
    </row>
    <row r="1009" ht="15.75" customHeight="1">
      <c r="A1009" s="147"/>
      <c r="B1009" s="72" t="s">
        <v>514</v>
      </c>
      <c r="C1009" s="116" t="s">
        <v>515</v>
      </c>
      <c r="D1009" s="145">
        <f>25+16+20+19+21+29+9+12+20</f>
        <v>171</v>
      </c>
      <c r="E1009" s="146"/>
      <c r="F1009" s="146"/>
      <c r="G1009" s="146"/>
      <c r="H1009" s="146"/>
      <c r="I1009" s="146"/>
    </row>
    <row r="1010" ht="15.75" customHeight="1">
      <c r="A1010" s="147"/>
      <c r="B1010" s="72" t="s">
        <v>502</v>
      </c>
      <c r="C1010" s="116" t="s">
        <v>503</v>
      </c>
      <c r="D1010" s="145">
        <f>46+31+46+50+52+40+31+56+54+58+53+51</f>
        <v>568</v>
      </c>
      <c r="E1010" s="146"/>
      <c r="F1010" s="146"/>
      <c r="G1010" s="146"/>
      <c r="H1010" s="146"/>
      <c r="I1010" s="146"/>
    </row>
    <row r="1011" ht="15.75" customHeight="1">
      <c r="A1011" s="147"/>
      <c r="B1011" s="72" t="s">
        <v>510</v>
      </c>
      <c r="C1011" s="116" t="s">
        <v>511</v>
      </c>
      <c r="D1011" s="145">
        <f>61+51+60+52+52+55+55+64+60+58+47+50</f>
        <v>665</v>
      </c>
      <c r="E1011" s="146"/>
      <c r="F1011" s="146"/>
      <c r="G1011" s="146"/>
      <c r="H1011" s="146"/>
      <c r="I1011" s="146"/>
    </row>
    <row r="1012" ht="15.75" customHeight="1">
      <c r="A1012" s="147"/>
      <c r="B1012" s="72" t="s">
        <v>584</v>
      </c>
      <c r="C1012" s="149" t="s">
        <v>585</v>
      </c>
      <c r="D1012" s="145">
        <f>38+33+33+33+32+41+38+29+33+41+38+38+37+39+41+33+35+32+35+37+40+39+36+37+40+36+43+33+40+39+39+36+41+36+41+40</f>
        <v>1332</v>
      </c>
      <c r="E1012" s="146"/>
      <c r="F1012" s="146"/>
      <c r="G1012" s="146"/>
      <c r="H1012" s="146"/>
      <c r="I1012" s="146"/>
    </row>
    <row r="1013" ht="15.75" customHeight="1">
      <c r="A1013" s="147"/>
      <c r="B1013" s="72" t="s">
        <v>458</v>
      </c>
      <c r="C1013" s="149" t="s">
        <v>459</v>
      </c>
      <c r="D1013" s="145">
        <f>37+42+44+45+33+40+38+39+38+34+30+39+33+42+30+25+29+36</f>
        <v>654</v>
      </c>
      <c r="E1013" s="146"/>
      <c r="F1013" s="146"/>
      <c r="G1013" s="146"/>
      <c r="H1013" s="146"/>
      <c r="I1013" s="146"/>
    </row>
    <row r="1014" ht="15.75" customHeight="1">
      <c r="A1014" s="147"/>
      <c r="B1014" s="72" t="s">
        <v>454</v>
      </c>
      <c r="C1014" s="149" t="s">
        <v>455</v>
      </c>
      <c r="D1014" s="145">
        <f>31+34+13+35</f>
        <v>113</v>
      </c>
      <c r="E1014" s="146"/>
      <c r="F1014" s="146"/>
      <c r="G1014" s="146"/>
      <c r="H1014" s="146"/>
      <c r="I1014" s="146"/>
    </row>
    <row r="1015" ht="15.75" customHeight="1">
      <c r="A1015" s="147"/>
      <c r="B1015" s="72" t="s">
        <v>544</v>
      </c>
      <c r="C1015" s="116" t="s">
        <v>545</v>
      </c>
      <c r="D1015" s="145">
        <f>36+28</f>
        <v>64</v>
      </c>
      <c r="E1015" s="146"/>
      <c r="F1015" s="146"/>
      <c r="G1015" s="146"/>
      <c r="H1015" s="146"/>
      <c r="I1015" s="146"/>
    </row>
    <row r="1016" ht="15.75" customHeight="1">
      <c r="A1016" s="147"/>
      <c r="B1016" s="72" t="s">
        <v>588</v>
      </c>
      <c r="C1016" s="116" t="s">
        <v>589</v>
      </c>
      <c r="D1016" s="145">
        <f>38+44+49+35+38+42+39+44+38+34+50+44+39+48</f>
        <v>582</v>
      </c>
      <c r="E1016" s="146"/>
      <c r="F1016" s="146"/>
      <c r="G1016" s="146"/>
      <c r="H1016" s="146"/>
      <c r="I1016" s="146"/>
    </row>
    <row r="1017" ht="15.75" customHeight="1">
      <c r="A1017" s="147"/>
      <c r="B1017" s="72" t="s">
        <v>592</v>
      </c>
      <c r="C1017" s="116" t="s">
        <v>593</v>
      </c>
      <c r="D1017" s="145">
        <f>16</f>
        <v>16</v>
      </c>
      <c r="E1017" s="146"/>
      <c r="F1017" s="146"/>
      <c r="G1017" s="146"/>
      <c r="H1017" s="146"/>
      <c r="I1017" s="146"/>
    </row>
    <row r="1018" ht="15.75" customHeight="1">
      <c r="A1018" s="147"/>
      <c r="B1018" s="31" t="s">
        <v>594</v>
      </c>
      <c r="C1018" s="31" t="s">
        <v>595</v>
      </c>
      <c r="D1018" s="145">
        <f>156+209+130+220+180+143</f>
        <v>1038</v>
      </c>
      <c r="E1018" s="146"/>
      <c r="F1018" s="146"/>
      <c r="G1018" s="146"/>
      <c r="H1018" s="146"/>
      <c r="I1018" s="146"/>
    </row>
    <row r="1019" ht="15.75" customHeight="1">
      <c r="A1019" s="147"/>
      <c r="B1019" s="72" t="s">
        <v>522</v>
      </c>
      <c r="C1019" s="149" t="s">
        <v>523</v>
      </c>
      <c r="D1019" s="145">
        <f>25+24+28+26+26+26+27+23+17+25+17+24+20</f>
        <v>308</v>
      </c>
      <c r="E1019" s="146"/>
      <c r="F1019" s="146"/>
      <c r="G1019" s="146"/>
      <c r="H1019" s="146"/>
      <c r="I1019" s="146"/>
    </row>
    <row r="1020" ht="15.75" customHeight="1">
      <c r="A1020" s="147"/>
      <c r="B1020" s="72" t="s">
        <v>590</v>
      </c>
      <c r="C1020" s="116" t="s">
        <v>591</v>
      </c>
      <c r="D1020" s="145">
        <f>46+50+56+53+53</f>
        <v>258</v>
      </c>
      <c r="E1020" s="146"/>
      <c r="F1020" s="146"/>
      <c r="G1020" s="146"/>
      <c r="H1020" s="146"/>
      <c r="I1020" s="146"/>
    </row>
    <row r="1021" ht="15.75" customHeight="1">
      <c r="A1021" s="147"/>
      <c r="B1021" s="72" t="s">
        <v>596</v>
      </c>
      <c r="C1021" s="116" t="s">
        <v>597</v>
      </c>
      <c r="D1021" s="145">
        <f>53+47+58+45</f>
        <v>203</v>
      </c>
      <c r="E1021" s="146"/>
      <c r="F1021" s="146"/>
      <c r="G1021" s="146"/>
      <c r="H1021" s="146"/>
      <c r="I1021" s="146"/>
    </row>
    <row r="1022" ht="15.75" customHeight="1">
      <c r="A1022" s="147"/>
      <c r="B1022" s="155"/>
      <c r="C1022" s="137"/>
      <c r="D1022" s="145"/>
      <c r="E1022" s="146"/>
      <c r="F1022" s="146"/>
      <c r="G1022" s="146"/>
      <c r="H1022" s="146"/>
      <c r="I1022" s="146"/>
    </row>
    <row r="1023" ht="15.75" customHeight="1">
      <c r="A1023" s="133">
        <v>45829.0</v>
      </c>
      <c r="B1023" s="72" t="s">
        <v>494</v>
      </c>
      <c r="C1023" s="116" t="s">
        <v>495</v>
      </c>
      <c r="D1023" s="145">
        <f>33+33+32+32+32+30+34+35+34+34+33+32+24+32+22+32+34+32+27+32+32+34+24+21+29+29+28+20+23+13+35+30+33+32+24+36+32+32+28+26+32+24+15</f>
        <v>1261</v>
      </c>
      <c r="E1023" s="146"/>
      <c r="F1023" s="146"/>
      <c r="G1023" s="146"/>
      <c r="H1023" s="146"/>
      <c r="I1023" s="146"/>
    </row>
    <row r="1024" ht="15.75" customHeight="1">
      <c r="A1024" s="147"/>
      <c r="B1024" s="72" t="s">
        <v>522</v>
      </c>
      <c r="C1024" s="149" t="s">
        <v>523</v>
      </c>
      <c r="D1024" s="145">
        <f>28+30+27+26+30+30+21+19+22+34+26+30+27+23+25+25+34+24+27+29+24+23+28+25+15+22+29+25+31+27+20+24+13+13</f>
        <v>856</v>
      </c>
      <c r="E1024" s="146"/>
      <c r="F1024" s="146"/>
      <c r="G1024" s="146"/>
      <c r="H1024" s="146"/>
      <c r="I1024" s="146"/>
    </row>
    <row r="1025" ht="15.75" customHeight="1">
      <c r="A1025" s="147"/>
      <c r="B1025" s="125" t="s">
        <v>446</v>
      </c>
      <c r="C1025" s="125" t="s">
        <v>447</v>
      </c>
      <c r="D1025" s="145">
        <f>22+22+26+23+21+21+37+33+30+31+28+30+29+25+23+27+25+22+21+21+18</f>
        <v>535</v>
      </c>
      <c r="E1025" s="146"/>
      <c r="F1025" s="146"/>
      <c r="G1025" s="146"/>
      <c r="H1025" s="146"/>
      <c r="I1025" s="146"/>
    </row>
    <row r="1026" ht="15.75" customHeight="1">
      <c r="A1026" s="147"/>
      <c r="B1026" s="125" t="s">
        <v>536</v>
      </c>
      <c r="C1026" s="125" t="s">
        <v>537</v>
      </c>
      <c r="D1026" s="145">
        <f>71+65+60+55</f>
        <v>251</v>
      </c>
      <c r="E1026" s="146"/>
      <c r="F1026" s="146"/>
      <c r="G1026" s="146"/>
      <c r="H1026" s="146"/>
      <c r="I1026" s="146"/>
    </row>
    <row r="1027" ht="15.75" customHeight="1">
      <c r="A1027" s="147"/>
      <c r="B1027" s="72" t="s">
        <v>502</v>
      </c>
      <c r="C1027" s="116" t="s">
        <v>503</v>
      </c>
      <c r="D1027" s="145">
        <f>61+50+52+59+44+34+36+57+60+63+59+65</f>
        <v>640</v>
      </c>
      <c r="E1027" s="146"/>
      <c r="F1027" s="146"/>
      <c r="G1027" s="146"/>
      <c r="H1027" s="146"/>
      <c r="I1027" s="146"/>
    </row>
    <row r="1028" ht="15.75" customHeight="1">
      <c r="A1028" s="147"/>
      <c r="B1028" s="72" t="s">
        <v>510</v>
      </c>
      <c r="C1028" s="116" t="s">
        <v>511</v>
      </c>
      <c r="D1028" s="145">
        <f>48+49+60+50+49+58+50+55+54+59+64+40</f>
        <v>636</v>
      </c>
      <c r="E1028" s="146"/>
      <c r="F1028" s="146"/>
      <c r="G1028" s="146"/>
      <c r="H1028" s="146"/>
      <c r="I1028" s="146"/>
    </row>
    <row r="1029" ht="15.75" customHeight="1">
      <c r="A1029" s="147"/>
      <c r="B1029" s="72" t="s">
        <v>584</v>
      </c>
      <c r="C1029" s="149" t="s">
        <v>585</v>
      </c>
      <c r="D1029" s="145">
        <f>34+34+27+37+28+31+32+41+34+40+32+25+38+35+35+38+33+40+40+35+36+36+35+37+38+34+35+26+25+39+35+32+30+32+30</f>
        <v>1189</v>
      </c>
      <c r="E1029" s="146"/>
      <c r="F1029" s="146"/>
      <c r="G1029" s="146"/>
      <c r="H1029" s="146"/>
      <c r="I1029" s="146"/>
    </row>
    <row r="1030" ht="15.75" customHeight="1">
      <c r="A1030" s="147"/>
      <c r="B1030" s="72" t="s">
        <v>458</v>
      </c>
      <c r="C1030" s="149" t="s">
        <v>459</v>
      </c>
      <c r="D1030" s="145">
        <f>34+31+34+14+25+23+27+28+19+38+32+33+33+43+28</f>
        <v>442</v>
      </c>
      <c r="E1030" s="146"/>
      <c r="F1030" s="146"/>
      <c r="G1030" s="146"/>
      <c r="H1030" s="146"/>
      <c r="I1030" s="146"/>
    </row>
    <row r="1031" ht="15.75" customHeight="1">
      <c r="A1031" s="147"/>
      <c r="B1031" s="72" t="s">
        <v>454</v>
      </c>
      <c r="C1031" s="149" t="s">
        <v>455</v>
      </c>
      <c r="D1031" s="145">
        <f>23+24+32+34+35+30+26+34+37+37+35+37+28+37+44+37</f>
        <v>530</v>
      </c>
      <c r="E1031" s="146"/>
      <c r="F1031" s="146"/>
      <c r="G1031" s="146"/>
      <c r="H1031" s="146"/>
      <c r="I1031" s="146"/>
    </row>
    <row r="1032" ht="15.75" customHeight="1">
      <c r="A1032" s="147"/>
      <c r="B1032" s="72" t="s">
        <v>588</v>
      </c>
      <c r="C1032" s="116" t="s">
        <v>589</v>
      </c>
      <c r="D1032" s="145">
        <f>43+46+42+25+51+44+50+32</f>
        <v>333</v>
      </c>
      <c r="E1032" s="146"/>
      <c r="F1032" s="146"/>
      <c r="G1032" s="146"/>
      <c r="H1032" s="146"/>
      <c r="I1032" s="146"/>
    </row>
    <row r="1033" ht="15.75" customHeight="1">
      <c r="A1033" s="147"/>
      <c r="B1033" s="72" t="s">
        <v>590</v>
      </c>
      <c r="C1033" s="116" t="s">
        <v>591</v>
      </c>
      <c r="D1033" s="145">
        <f>48+47+38+50+43+36+57+63+52+44+36+49+34</f>
        <v>597</v>
      </c>
      <c r="E1033" s="146"/>
      <c r="F1033" s="146"/>
      <c r="G1033" s="146"/>
      <c r="H1033" s="146"/>
      <c r="I1033" s="146"/>
    </row>
    <row r="1034" ht="15.75" customHeight="1">
      <c r="A1034" s="147"/>
      <c r="B1034" s="72" t="s">
        <v>596</v>
      </c>
      <c r="C1034" s="116" t="s">
        <v>597</v>
      </c>
      <c r="D1034" s="145">
        <f>48+53+46+54+24+41+48+47+44+47+48</f>
        <v>500</v>
      </c>
      <c r="E1034" s="146"/>
      <c r="F1034" s="146"/>
      <c r="G1034" s="146"/>
      <c r="H1034" s="146"/>
      <c r="I1034" s="146"/>
    </row>
    <row r="1035" ht="15.75" customHeight="1">
      <c r="A1035" s="147"/>
      <c r="B1035" s="31" t="s">
        <v>594</v>
      </c>
      <c r="C1035" s="31" t="s">
        <v>595</v>
      </c>
      <c r="D1035" s="145">
        <f>200+220+70+170+189+159+41</f>
        <v>1049</v>
      </c>
      <c r="E1035" s="146"/>
      <c r="F1035" s="146"/>
      <c r="G1035" s="146"/>
      <c r="H1035" s="146"/>
      <c r="I1035" s="146"/>
    </row>
    <row r="1036" ht="15.75" customHeight="1">
      <c r="A1036" s="147"/>
      <c r="B1036" s="155"/>
      <c r="C1036" s="137"/>
      <c r="D1036" s="145"/>
      <c r="E1036" s="146"/>
      <c r="F1036" s="146"/>
      <c r="G1036" s="146"/>
      <c r="H1036" s="146"/>
      <c r="I1036" s="146"/>
    </row>
    <row r="1037" ht="15.75" customHeight="1">
      <c r="A1037" s="133">
        <v>45830.0</v>
      </c>
      <c r="B1037" s="72" t="s">
        <v>522</v>
      </c>
      <c r="C1037" s="149" t="s">
        <v>523</v>
      </c>
      <c r="D1037" s="145">
        <f>273+29+26+26+24+27+22+30+27+30+24+25+33+21+26+29+23+29+30+26</f>
        <v>780</v>
      </c>
      <c r="E1037" s="146"/>
      <c r="F1037" s="146"/>
      <c r="G1037" s="146"/>
      <c r="H1037" s="146"/>
      <c r="I1037" s="146"/>
    </row>
    <row r="1038" ht="15.75" customHeight="1">
      <c r="A1038" s="147"/>
      <c r="B1038" s="125" t="s">
        <v>446</v>
      </c>
      <c r="C1038" s="125" t="s">
        <v>447</v>
      </c>
      <c r="D1038" s="145">
        <f>14+26+28+31+21+25+22+24+21+25+17+30+15+17+26+27+36+30+36+41</f>
        <v>512</v>
      </c>
      <c r="E1038" s="146"/>
      <c r="F1038" s="146"/>
      <c r="G1038" s="146"/>
      <c r="H1038" s="146"/>
      <c r="I1038" s="146"/>
    </row>
    <row r="1039" ht="15.75" customHeight="1">
      <c r="A1039" s="147"/>
      <c r="B1039" s="125" t="s">
        <v>536</v>
      </c>
      <c r="C1039" s="125" t="s">
        <v>537</v>
      </c>
      <c r="D1039" s="145">
        <f>95+70+76+73</f>
        <v>314</v>
      </c>
      <c r="E1039" s="146"/>
      <c r="F1039" s="146"/>
      <c r="G1039" s="146"/>
      <c r="H1039" s="146"/>
      <c r="I1039" s="146"/>
    </row>
    <row r="1040" ht="15.75" customHeight="1">
      <c r="A1040" s="147"/>
      <c r="B1040" s="72" t="s">
        <v>522</v>
      </c>
      <c r="C1040" s="149" t="s">
        <v>523</v>
      </c>
      <c r="D1040" s="145">
        <f>18+28+28+29+24+20+16</f>
        <v>163</v>
      </c>
      <c r="E1040" s="146"/>
      <c r="F1040" s="146"/>
      <c r="G1040" s="146"/>
      <c r="H1040" s="146"/>
      <c r="I1040" s="146"/>
    </row>
    <row r="1041" ht="15.75" customHeight="1">
      <c r="A1041" s="147"/>
      <c r="B1041" s="72" t="s">
        <v>502</v>
      </c>
      <c r="C1041" s="116" t="s">
        <v>503</v>
      </c>
      <c r="D1041" s="145">
        <f>65+44+68+59+53+57+55+68+64</f>
        <v>533</v>
      </c>
      <c r="E1041" s="146"/>
      <c r="F1041" s="146"/>
      <c r="G1041" s="146"/>
      <c r="H1041" s="146"/>
      <c r="I1041" s="146"/>
    </row>
    <row r="1042" ht="15.75" customHeight="1">
      <c r="A1042" s="147"/>
      <c r="B1042" s="72" t="s">
        <v>510</v>
      </c>
      <c r="C1042" s="116" t="s">
        <v>511</v>
      </c>
      <c r="D1042" s="145">
        <f>45+57+65+65+47+56+45+62</f>
        <v>442</v>
      </c>
      <c r="E1042" s="146"/>
      <c r="F1042" s="146"/>
      <c r="G1042" s="146"/>
      <c r="H1042" s="146"/>
      <c r="I1042" s="146"/>
    </row>
    <row r="1043" ht="15.75" customHeight="1">
      <c r="A1043" s="147"/>
      <c r="B1043" s="72" t="s">
        <v>458</v>
      </c>
      <c r="C1043" s="149" t="s">
        <v>459</v>
      </c>
      <c r="D1043" s="145">
        <f>42+41+36+20+44+37+38+41+39+38+44+29+38+37+32+43+42</f>
        <v>641</v>
      </c>
      <c r="E1043" s="146"/>
      <c r="F1043" s="146"/>
      <c r="G1043" s="146"/>
      <c r="H1043" s="146"/>
      <c r="I1043" s="146"/>
    </row>
    <row r="1044" ht="15.75" customHeight="1">
      <c r="A1044" s="147"/>
      <c r="B1044" s="72" t="s">
        <v>584</v>
      </c>
      <c r="C1044" s="149" t="s">
        <v>585</v>
      </c>
      <c r="D1044" s="145">
        <f>30+35+40+48+45+45+38+31+46+40+37+36+35+37+41+42+40+42+36+38+39+39+41</f>
        <v>901</v>
      </c>
      <c r="E1044" s="146"/>
      <c r="F1044" s="146"/>
      <c r="G1044" s="146"/>
      <c r="H1044" s="146"/>
      <c r="I1044" s="146"/>
    </row>
    <row r="1045" ht="15.75" customHeight="1">
      <c r="A1045" s="147"/>
      <c r="B1045" s="72" t="s">
        <v>454</v>
      </c>
      <c r="C1045" s="149" t="s">
        <v>455</v>
      </c>
      <c r="D1045" s="145">
        <f>25+34+42+43+27+41+36+36+39</f>
        <v>323</v>
      </c>
      <c r="E1045" s="146"/>
      <c r="F1045" s="146"/>
      <c r="G1045" s="146"/>
      <c r="H1045" s="146"/>
      <c r="I1045" s="146"/>
    </row>
    <row r="1046" ht="15.75" customHeight="1">
      <c r="A1046" s="147"/>
      <c r="B1046" s="72" t="s">
        <v>588</v>
      </c>
      <c r="C1046" s="116" t="s">
        <v>589</v>
      </c>
      <c r="D1046" s="145">
        <f>55+46+50+45+45+46+52</f>
        <v>339</v>
      </c>
      <c r="E1046" s="146"/>
      <c r="F1046" s="146"/>
      <c r="G1046" s="146"/>
      <c r="H1046" s="146"/>
      <c r="I1046" s="146"/>
    </row>
    <row r="1047" ht="15.75" customHeight="1">
      <c r="A1047" s="147"/>
      <c r="B1047" s="72" t="s">
        <v>590</v>
      </c>
      <c r="C1047" s="116" t="s">
        <v>591</v>
      </c>
      <c r="D1047" s="145">
        <f>51+55+70+65+54+48+52+52+57+58</f>
        <v>562</v>
      </c>
      <c r="E1047" s="146"/>
      <c r="F1047" s="146"/>
      <c r="G1047" s="146"/>
      <c r="H1047" s="146"/>
      <c r="I1047" s="146"/>
    </row>
    <row r="1048" ht="15.75" customHeight="1">
      <c r="A1048" s="147"/>
      <c r="B1048" s="72" t="s">
        <v>596</v>
      </c>
      <c r="C1048" s="116" t="s">
        <v>597</v>
      </c>
      <c r="D1048" s="145">
        <f>60+51+45+55+35+45+51+48+58+38</f>
        <v>486</v>
      </c>
      <c r="E1048" s="146"/>
      <c r="F1048" s="146"/>
      <c r="G1048" s="146"/>
      <c r="H1048" s="146"/>
      <c r="I1048" s="146"/>
    </row>
    <row r="1049" ht="15.75" customHeight="1">
      <c r="A1049" s="147"/>
      <c r="B1049" s="31" t="s">
        <v>594</v>
      </c>
      <c r="C1049" s="31" t="s">
        <v>595</v>
      </c>
      <c r="D1049" s="145">
        <f>235</f>
        <v>235</v>
      </c>
      <c r="E1049" s="146"/>
      <c r="F1049" s="146"/>
      <c r="G1049" s="146"/>
      <c r="H1049" s="146"/>
      <c r="I1049" s="146"/>
    </row>
    <row r="1050" ht="15.75" customHeight="1">
      <c r="A1050" s="147"/>
      <c r="B1050" s="72" t="s">
        <v>494</v>
      </c>
      <c r="C1050" s="116" t="s">
        <v>495</v>
      </c>
      <c r="D1050" s="145">
        <f>32+35+20+25+33+34+28+29+28</f>
        <v>264</v>
      </c>
      <c r="E1050" s="146"/>
      <c r="F1050" s="146"/>
      <c r="G1050" s="146"/>
      <c r="H1050" s="146"/>
      <c r="I1050" s="146"/>
    </row>
    <row r="1051" ht="15.75" customHeight="1">
      <c r="A1051" s="147"/>
      <c r="B1051" s="155"/>
      <c r="C1051" s="137"/>
      <c r="D1051" s="145"/>
      <c r="E1051" s="146"/>
      <c r="F1051" s="146"/>
      <c r="G1051" s="146"/>
      <c r="H1051" s="146"/>
      <c r="I1051" s="146"/>
    </row>
    <row r="1052" ht="15.75" customHeight="1">
      <c r="A1052" s="147"/>
      <c r="B1052" s="155"/>
      <c r="C1052" s="137"/>
      <c r="D1052" s="145"/>
      <c r="E1052" s="146"/>
      <c r="F1052" s="146"/>
      <c r="G1052" s="146"/>
      <c r="H1052" s="146"/>
      <c r="I1052" s="146"/>
    </row>
    <row r="1053" ht="15.75" customHeight="1">
      <c r="A1053" s="147"/>
      <c r="B1053" s="155"/>
      <c r="C1053" s="137"/>
      <c r="D1053" s="145"/>
      <c r="E1053" s="146"/>
      <c r="F1053" s="146"/>
      <c r="G1053" s="146"/>
      <c r="H1053" s="146"/>
      <c r="I1053" s="146"/>
    </row>
    <row r="1054" ht="15.75" customHeight="1">
      <c r="A1054" s="147"/>
      <c r="B1054" s="155"/>
      <c r="C1054" s="137"/>
      <c r="D1054" s="145"/>
      <c r="E1054" s="146"/>
      <c r="F1054" s="146"/>
      <c r="G1054" s="146"/>
      <c r="H1054" s="146"/>
      <c r="I1054" s="146"/>
    </row>
    <row r="1055" ht="15.75" customHeight="1">
      <c r="A1055" s="147"/>
      <c r="B1055" s="155"/>
      <c r="C1055" s="137"/>
      <c r="D1055" s="145"/>
      <c r="E1055" s="146"/>
      <c r="F1055" s="146"/>
      <c r="G1055" s="146"/>
      <c r="H1055" s="146"/>
      <c r="I1055" s="146"/>
    </row>
    <row r="1056" ht="15.75" customHeight="1">
      <c r="A1056" s="147"/>
      <c r="B1056" s="155"/>
      <c r="C1056" s="137"/>
      <c r="D1056" s="145"/>
      <c r="E1056" s="146"/>
      <c r="F1056" s="146"/>
      <c r="G1056" s="146"/>
      <c r="H1056" s="146"/>
      <c r="I1056" s="146"/>
    </row>
    <row r="1057" ht="15.75" customHeight="1">
      <c r="A1057" s="147"/>
      <c r="B1057" s="155"/>
      <c r="C1057" s="137"/>
      <c r="D1057" s="145"/>
      <c r="E1057" s="146"/>
      <c r="F1057" s="146"/>
      <c r="G1057" s="146"/>
      <c r="H1057" s="146"/>
      <c r="I1057" s="146"/>
    </row>
    <row r="1058" ht="15.75" customHeight="1">
      <c r="A1058" s="147"/>
      <c r="B1058" s="155"/>
      <c r="C1058" s="137"/>
      <c r="D1058" s="145"/>
      <c r="E1058" s="146"/>
      <c r="F1058" s="146"/>
      <c r="G1058" s="146"/>
      <c r="H1058" s="146"/>
      <c r="I1058" s="146"/>
    </row>
    <row r="1059" ht="15.75" customHeight="1">
      <c r="A1059" s="147"/>
      <c r="B1059" s="155"/>
      <c r="C1059" s="137"/>
      <c r="D1059" s="145"/>
      <c r="E1059" s="146"/>
      <c r="F1059" s="146"/>
      <c r="G1059" s="146"/>
      <c r="H1059" s="146"/>
      <c r="I1059" s="146"/>
    </row>
    <row r="1060" ht="15.75" customHeight="1">
      <c r="A1060" s="147"/>
      <c r="B1060" s="155"/>
      <c r="C1060" s="137"/>
      <c r="D1060" s="145"/>
      <c r="E1060" s="146"/>
      <c r="F1060" s="146"/>
      <c r="G1060" s="146"/>
      <c r="H1060" s="146"/>
      <c r="I1060" s="146"/>
    </row>
    <row r="1061" ht="15.75" customHeight="1">
      <c r="A1061" s="147"/>
      <c r="B1061" s="155"/>
      <c r="C1061" s="137"/>
      <c r="D1061" s="145"/>
      <c r="E1061" s="146"/>
      <c r="F1061" s="146"/>
      <c r="G1061" s="146"/>
      <c r="H1061" s="146"/>
      <c r="I1061" s="146"/>
    </row>
    <row r="1062" ht="15.75" customHeight="1">
      <c r="A1062" s="147"/>
      <c r="B1062" s="155"/>
      <c r="C1062" s="137"/>
      <c r="D1062" s="145"/>
      <c r="E1062" s="146"/>
      <c r="F1062" s="146"/>
      <c r="G1062" s="146"/>
      <c r="H1062" s="146"/>
      <c r="I1062" s="146"/>
    </row>
    <row r="1063" ht="15.75" customHeight="1">
      <c r="A1063" s="147"/>
      <c r="B1063" s="155"/>
      <c r="C1063" s="137"/>
      <c r="D1063" s="145"/>
      <c r="E1063" s="146"/>
      <c r="F1063" s="146"/>
      <c r="G1063" s="146"/>
      <c r="H1063" s="146"/>
      <c r="I1063" s="146"/>
    </row>
    <row r="1064" ht="15.75" customHeight="1">
      <c r="A1064" s="147"/>
      <c r="B1064" s="155"/>
      <c r="C1064" s="137"/>
      <c r="D1064" s="145"/>
      <c r="E1064" s="146"/>
      <c r="F1064" s="146"/>
      <c r="G1064" s="146"/>
      <c r="H1064" s="146"/>
      <c r="I1064" s="146"/>
    </row>
    <row r="1065" ht="15.75" customHeight="1">
      <c r="A1065" s="147"/>
      <c r="B1065" s="155"/>
      <c r="C1065" s="137"/>
      <c r="D1065" s="145"/>
      <c r="E1065" s="146"/>
      <c r="F1065" s="146"/>
      <c r="G1065" s="146"/>
      <c r="H1065" s="146"/>
      <c r="I1065" s="146"/>
    </row>
    <row r="1066" ht="15.75" customHeight="1">
      <c r="A1066" s="147"/>
      <c r="B1066" s="155"/>
      <c r="C1066" s="137"/>
      <c r="D1066" s="145"/>
      <c r="E1066" s="146"/>
      <c r="F1066" s="146"/>
      <c r="G1066" s="146"/>
      <c r="H1066" s="146"/>
      <c r="I1066" s="146"/>
    </row>
    <row r="1067" ht="15.75" customHeight="1">
      <c r="A1067" s="147"/>
      <c r="B1067" s="131"/>
      <c r="C1067" s="131"/>
      <c r="D1067" s="145"/>
      <c r="E1067" s="146"/>
      <c r="F1067" s="146"/>
      <c r="G1067" s="146"/>
      <c r="H1067" s="146"/>
      <c r="I1067" s="146"/>
    </row>
    <row r="1068" ht="15.75" customHeight="1">
      <c r="A1068" s="163"/>
      <c r="B1068" s="131"/>
      <c r="C1068" s="131"/>
      <c r="D1068" s="145"/>
      <c r="E1068" s="146"/>
      <c r="F1068" s="146"/>
      <c r="G1068" s="146"/>
      <c r="H1068" s="146"/>
      <c r="I1068" s="146"/>
    </row>
    <row r="1069" ht="15.75" customHeight="1">
      <c r="A1069" s="21"/>
      <c r="B1069" s="23"/>
      <c r="C1069" s="23"/>
      <c r="D1069" s="21"/>
      <c r="E1069" s="28"/>
      <c r="F1069" s="28"/>
      <c r="G1069" s="28"/>
      <c r="H1069" s="28"/>
      <c r="I1069" s="28"/>
    </row>
    <row r="1070" ht="15.75" customHeight="1">
      <c r="A1070" s="145"/>
      <c r="B1070" s="131"/>
      <c r="C1070" s="131"/>
      <c r="D1070" s="145"/>
      <c r="E1070" s="146"/>
      <c r="F1070" s="146"/>
      <c r="G1070" s="146"/>
      <c r="H1070" s="146"/>
      <c r="I1070" s="146"/>
    </row>
    <row r="1071" ht="15.75" customHeight="1">
      <c r="A1071" s="145"/>
      <c r="B1071" s="131"/>
      <c r="C1071" s="131"/>
      <c r="D1071" s="145"/>
      <c r="E1071" s="146"/>
      <c r="F1071" s="146"/>
      <c r="G1071" s="146"/>
      <c r="H1071" s="146"/>
      <c r="I1071" s="146"/>
    </row>
    <row r="1072" ht="15.75" customHeight="1">
      <c r="A1072" s="145"/>
      <c r="B1072" s="131"/>
      <c r="C1072" s="131"/>
      <c r="D1072" s="145"/>
      <c r="E1072" s="146"/>
      <c r="F1072" s="146"/>
      <c r="G1072" s="146"/>
      <c r="H1072" s="146"/>
      <c r="I1072" s="146"/>
    </row>
    <row r="1073" ht="15.75" customHeight="1">
      <c r="A1073" s="145"/>
      <c r="B1073" s="131"/>
      <c r="C1073" s="131"/>
      <c r="D1073" s="145"/>
      <c r="E1073" s="146"/>
      <c r="F1073" s="146"/>
      <c r="G1073" s="146"/>
      <c r="H1073" s="146"/>
      <c r="I1073" s="146"/>
    </row>
    <row r="1074" ht="15.75" customHeight="1">
      <c r="A1074" s="145"/>
      <c r="B1074" s="131"/>
      <c r="C1074" s="131"/>
      <c r="D1074" s="145"/>
      <c r="E1074" s="146"/>
      <c r="F1074" s="146"/>
      <c r="G1074" s="146"/>
      <c r="H1074" s="146"/>
      <c r="I1074" s="146"/>
    </row>
    <row r="1075" ht="15.75" customHeight="1">
      <c r="A1075" s="145"/>
      <c r="B1075" s="131"/>
      <c r="C1075" s="131"/>
      <c r="D1075" s="145"/>
      <c r="E1075" s="146"/>
      <c r="F1075" s="146"/>
      <c r="G1075" s="146"/>
      <c r="H1075" s="146"/>
      <c r="I1075" s="146"/>
    </row>
    <row r="1076" ht="15.75" customHeight="1">
      <c r="A1076" s="145"/>
      <c r="B1076" s="131"/>
      <c r="C1076" s="131"/>
      <c r="D1076" s="145"/>
      <c r="E1076" s="146"/>
      <c r="F1076" s="146"/>
      <c r="G1076" s="146"/>
      <c r="H1076" s="146"/>
      <c r="I1076" s="146"/>
    </row>
    <row r="1077" ht="15.75" customHeight="1">
      <c r="A1077" s="145"/>
      <c r="B1077" s="131"/>
      <c r="C1077" s="131"/>
      <c r="D1077" s="145"/>
      <c r="E1077" s="146"/>
      <c r="F1077" s="146"/>
      <c r="G1077" s="146"/>
      <c r="H1077" s="146"/>
      <c r="I1077" s="146"/>
    </row>
    <row r="1078" ht="15.75" customHeight="1">
      <c r="A1078" s="145"/>
      <c r="B1078" s="131"/>
      <c r="C1078" s="131"/>
      <c r="D1078" s="145"/>
      <c r="E1078" s="146"/>
      <c r="F1078" s="146"/>
      <c r="G1078" s="146"/>
      <c r="H1078" s="146"/>
      <c r="I1078" s="146"/>
    </row>
    <row r="1079" ht="15.75" customHeight="1">
      <c r="A1079" s="145"/>
      <c r="B1079" s="131"/>
      <c r="C1079" s="131"/>
      <c r="D1079" s="145"/>
      <c r="E1079" s="146"/>
      <c r="F1079" s="146"/>
      <c r="G1079" s="146"/>
      <c r="H1079" s="146"/>
      <c r="I1079" s="146"/>
    </row>
    <row r="1080" ht="15.75" customHeight="1">
      <c r="A1080" s="145"/>
      <c r="B1080" s="131"/>
      <c r="C1080" s="131"/>
      <c r="D1080" s="145"/>
      <c r="E1080" s="146"/>
      <c r="F1080" s="146"/>
      <c r="G1080" s="146"/>
      <c r="H1080" s="146"/>
      <c r="I1080" s="146"/>
    </row>
    <row r="1081" ht="15.75" customHeight="1">
      <c r="A1081" s="145"/>
      <c r="B1081" s="131"/>
      <c r="C1081" s="131"/>
      <c r="D1081" s="145"/>
      <c r="E1081" s="146"/>
      <c r="F1081" s="146"/>
      <c r="G1081" s="146"/>
      <c r="H1081" s="146"/>
      <c r="I1081" s="146"/>
    </row>
    <row r="1082" ht="15.75" customHeight="1">
      <c r="A1082" s="145"/>
      <c r="B1082" s="131"/>
      <c r="C1082" s="131"/>
      <c r="D1082" s="145"/>
      <c r="E1082" s="146"/>
      <c r="F1082" s="146"/>
      <c r="G1082" s="146"/>
      <c r="H1082" s="146"/>
      <c r="I1082" s="146"/>
    </row>
    <row r="1083" ht="15.75" customHeight="1">
      <c r="A1083" s="145"/>
      <c r="B1083" s="131"/>
      <c r="C1083" s="131"/>
      <c r="D1083" s="145"/>
      <c r="E1083" s="146"/>
      <c r="F1083" s="146"/>
      <c r="G1083" s="146"/>
      <c r="H1083" s="146"/>
      <c r="I1083" s="146"/>
    </row>
    <row r="1084" ht="15.75" customHeight="1">
      <c r="A1084" s="145"/>
      <c r="B1084" s="131"/>
      <c r="C1084" s="131"/>
      <c r="D1084" s="145"/>
      <c r="E1084" s="146"/>
      <c r="F1084" s="146"/>
      <c r="G1084" s="146"/>
      <c r="H1084" s="146"/>
      <c r="I1084" s="146"/>
    </row>
    <row r="1085" ht="15.75" customHeight="1">
      <c r="A1085" s="145"/>
      <c r="B1085" s="131"/>
      <c r="C1085" s="131"/>
      <c r="D1085" s="145"/>
      <c r="E1085" s="146"/>
      <c r="F1085" s="146"/>
      <c r="G1085" s="146"/>
      <c r="H1085" s="146"/>
      <c r="I1085" s="146"/>
    </row>
    <row r="1086" ht="15.75" customHeight="1">
      <c r="A1086" s="145"/>
      <c r="B1086" s="131"/>
      <c r="C1086" s="164"/>
      <c r="D1086" s="145"/>
      <c r="E1086" s="146"/>
      <c r="F1086" s="146"/>
      <c r="G1086" s="146"/>
      <c r="H1086" s="146"/>
      <c r="I1086" s="146"/>
    </row>
    <row r="1087" ht="15.75" customHeight="1">
      <c r="A1087" s="165"/>
      <c r="B1087" s="131"/>
      <c r="C1087" s="131"/>
      <c r="D1087" s="145"/>
      <c r="E1087" s="146"/>
      <c r="F1087" s="146"/>
      <c r="G1087" s="146"/>
      <c r="H1087" s="146"/>
      <c r="I1087" s="146"/>
    </row>
    <row r="1088" ht="15.75" customHeight="1">
      <c r="A1088" s="145"/>
      <c r="B1088" s="131"/>
      <c r="C1088" s="131"/>
      <c r="D1088" s="145"/>
      <c r="E1088" s="146"/>
      <c r="F1088" s="146"/>
      <c r="G1088" s="146"/>
      <c r="H1088" s="146"/>
      <c r="I1088" s="146"/>
    </row>
    <row r="1089" ht="15.75" customHeight="1">
      <c r="A1089" s="145"/>
      <c r="B1089" s="131"/>
      <c r="C1089" s="131"/>
      <c r="D1089" s="145"/>
      <c r="E1089" s="146"/>
      <c r="F1089" s="146"/>
      <c r="G1089" s="146"/>
      <c r="H1089" s="146"/>
      <c r="I1089" s="146"/>
    </row>
    <row r="1090" ht="15.75" customHeight="1">
      <c r="A1090" s="145"/>
      <c r="B1090" s="131"/>
      <c r="C1090" s="131"/>
      <c r="D1090" s="145"/>
      <c r="E1090" s="146"/>
      <c r="F1090" s="146"/>
      <c r="G1090" s="146"/>
      <c r="H1090" s="146"/>
      <c r="I1090" s="146"/>
    </row>
    <row r="1091" ht="15.75" customHeight="1">
      <c r="A1091" s="145"/>
      <c r="B1091" s="131"/>
      <c r="C1091" s="131"/>
      <c r="D1091" s="145"/>
      <c r="E1091" s="146"/>
      <c r="F1091" s="146"/>
      <c r="G1091" s="146"/>
      <c r="H1091" s="146"/>
      <c r="I1091" s="146"/>
    </row>
    <row r="1092" ht="15.75" customHeight="1">
      <c r="A1092" s="145"/>
      <c r="B1092" s="131"/>
      <c r="C1092" s="131"/>
      <c r="D1092" s="145"/>
      <c r="E1092" s="146"/>
      <c r="F1092" s="146"/>
      <c r="G1092" s="146"/>
      <c r="H1092" s="146"/>
      <c r="I1092" s="146"/>
    </row>
    <row r="1093" ht="15.75" customHeight="1">
      <c r="A1093" s="145"/>
      <c r="B1093" s="131"/>
      <c r="C1093" s="131"/>
      <c r="D1093" s="145"/>
      <c r="E1093" s="146"/>
      <c r="F1093" s="146"/>
      <c r="G1093" s="146"/>
      <c r="H1093" s="146"/>
      <c r="I1093" s="146"/>
    </row>
    <row r="1094" ht="15.75" customHeight="1">
      <c r="A1094" s="145"/>
      <c r="B1094" s="131"/>
      <c r="C1094" s="131"/>
      <c r="D1094" s="145"/>
      <c r="E1094" s="146"/>
      <c r="F1094" s="146"/>
      <c r="G1094" s="146"/>
      <c r="H1094" s="146"/>
      <c r="I1094" s="146"/>
    </row>
    <row r="1095" ht="15.75" customHeight="1">
      <c r="A1095" s="145"/>
      <c r="B1095" s="131"/>
      <c r="C1095" s="131"/>
      <c r="D1095" s="145"/>
      <c r="E1095" s="146"/>
      <c r="F1095" s="146"/>
      <c r="G1095" s="146"/>
      <c r="H1095" s="146"/>
      <c r="I1095" s="146"/>
    </row>
    <row r="1096" ht="15.75" customHeight="1">
      <c r="A1096" s="145"/>
      <c r="B1096" s="131"/>
      <c r="C1096" s="131"/>
      <c r="D1096" s="145"/>
      <c r="E1096" s="146"/>
      <c r="F1096" s="146"/>
      <c r="G1096" s="146"/>
      <c r="H1096" s="146"/>
      <c r="I1096" s="146"/>
    </row>
    <row r="1097" ht="15.75" customHeight="1">
      <c r="A1097" s="145"/>
      <c r="B1097" s="131"/>
      <c r="C1097" s="131"/>
      <c r="D1097" s="145"/>
      <c r="E1097" s="146"/>
      <c r="F1097" s="146"/>
      <c r="G1097" s="146"/>
      <c r="H1097" s="146"/>
      <c r="I1097" s="146"/>
    </row>
    <row r="1098" ht="15.75" customHeight="1">
      <c r="A1098" s="145"/>
      <c r="B1098" s="131"/>
      <c r="C1098" s="131"/>
      <c r="D1098" s="145"/>
      <c r="E1098" s="146"/>
      <c r="F1098" s="146"/>
      <c r="G1098" s="146"/>
      <c r="H1098" s="146"/>
      <c r="I1098" s="146"/>
    </row>
    <row r="1099" ht="15.75" customHeight="1">
      <c r="A1099" s="145"/>
      <c r="B1099" s="131"/>
      <c r="C1099" s="131"/>
      <c r="D1099" s="145"/>
      <c r="E1099" s="146"/>
      <c r="F1099" s="146"/>
      <c r="G1099" s="146"/>
      <c r="H1099" s="146"/>
      <c r="I1099" s="146"/>
    </row>
    <row r="1100" ht="15.75" customHeight="1">
      <c r="A1100" s="145"/>
      <c r="B1100" s="131"/>
      <c r="C1100" s="131"/>
      <c r="D1100" s="145"/>
      <c r="E1100" s="146"/>
      <c r="F1100" s="146"/>
      <c r="G1100" s="146"/>
      <c r="H1100" s="146"/>
      <c r="I1100" s="146"/>
    </row>
    <row r="1101" ht="15.75" customHeight="1">
      <c r="A1101" s="145"/>
      <c r="B1101" s="131"/>
      <c r="C1101" s="131"/>
      <c r="D1101" s="145"/>
      <c r="E1101" s="146"/>
      <c r="F1101" s="146"/>
      <c r="G1101" s="146"/>
      <c r="H1101" s="146"/>
      <c r="I1101" s="146"/>
    </row>
    <row r="1102" ht="15.75" customHeight="1">
      <c r="A1102" s="145"/>
      <c r="B1102" s="131"/>
      <c r="C1102" s="131"/>
      <c r="D1102" s="145"/>
      <c r="E1102" s="146"/>
      <c r="F1102" s="146"/>
      <c r="G1102" s="146"/>
      <c r="H1102" s="146"/>
      <c r="I1102" s="146"/>
    </row>
    <row r="1103" ht="15.75" customHeight="1">
      <c r="A1103" s="145"/>
      <c r="B1103" s="131"/>
      <c r="C1103" s="131"/>
      <c r="D1103" s="145"/>
      <c r="E1103" s="146"/>
      <c r="F1103" s="146"/>
      <c r="G1103" s="146"/>
      <c r="H1103" s="146"/>
      <c r="I1103" s="146"/>
    </row>
    <row r="1104" ht="15.75" customHeight="1">
      <c r="A1104" s="145"/>
      <c r="B1104" s="131"/>
      <c r="C1104" s="131"/>
      <c r="D1104" s="145"/>
      <c r="E1104" s="146"/>
      <c r="F1104" s="146"/>
      <c r="G1104" s="146"/>
      <c r="H1104" s="146"/>
      <c r="I1104" s="146"/>
    </row>
    <row r="1105" ht="15.75" customHeight="1">
      <c r="A1105" s="145"/>
      <c r="B1105" s="131"/>
      <c r="C1105" s="131"/>
      <c r="D1105" s="145"/>
      <c r="E1105" s="146"/>
      <c r="F1105" s="146"/>
      <c r="G1105" s="146"/>
      <c r="H1105" s="146"/>
      <c r="I1105" s="146"/>
    </row>
    <row r="1106" ht="15.75" customHeight="1">
      <c r="A1106" s="145"/>
      <c r="B1106" s="131"/>
      <c r="C1106" s="131"/>
      <c r="D1106" s="145"/>
      <c r="E1106" s="146"/>
      <c r="F1106" s="146"/>
      <c r="G1106" s="146"/>
      <c r="H1106" s="146"/>
      <c r="I1106" s="146"/>
    </row>
    <row r="1107" ht="15.75" customHeight="1">
      <c r="A1107" s="145"/>
      <c r="B1107" s="131"/>
      <c r="C1107" s="164"/>
      <c r="D1107" s="145"/>
      <c r="E1107" s="146"/>
      <c r="F1107" s="146"/>
      <c r="G1107" s="146"/>
      <c r="H1107" s="146"/>
      <c r="I1107" s="146"/>
    </row>
    <row r="1108" ht="15.75" customHeight="1">
      <c r="A1108" s="145"/>
      <c r="B1108" s="131"/>
      <c r="C1108" s="164"/>
      <c r="D1108" s="145"/>
      <c r="E1108" s="146"/>
      <c r="F1108" s="146"/>
      <c r="G1108" s="146"/>
      <c r="H1108" s="146"/>
      <c r="I1108" s="146"/>
    </row>
    <row r="1109" ht="15.75" customHeight="1">
      <c r="A1109" s="145"/>
      <c r="B1109" s="131"/>
      <c r="C1109" s="164"/>
      <c r="D1109" s="145"/>
      <c r="E1109" s="146"/>
      <c r="F1109" s="146"/>
      <c r="G1109" s="146"/>
      <c r="H1109" s="146"/>
      <c r="I1109" s="146"/>
    </row>
    <row r="1110" ht="15.75" customHeight="1">
      <c r="A1110" s="145"/>
      <c r="B1110" s="131"/>
      <c r="C1110" s="164"/>
      <c r="D1110" s="145"/>
      <c r="E1110" s="146"/>
      <c r="F1110" s="146"/>
      <c r="G1110" s="146"/>
      <c r="H1110" s="146"/>
      <c r="I1110" s="146"/>
    </row>
    <row r="1111" ht="15.75" customHeight="1">
      <c r="A1111" s="145"/>
      <c r="B1111" s="131"/>
      <c r="C1111" s="164"/>
      <c r="D1111" s="145"/>
      <c r="E1111" s="146"/>
      <c r="F1111" s="146"/>
      <c r="G1111" s="146"/>
      <c r="H1111" s="146"/>
      <c r="I1111" s="146"/>
    </row>
    <row r="1112" ht="15.75" customHeight="1">
      <c r="A1112" s="145"/>
      <c r="B1112" s="131"/>
      <c r="C1112" s="164"/>
      <c r="D1112" s="145"/>
      <c r="E1112" s="146"/>
      <c r="F1112" s="146"/>
      <c r="G1112" s="146"/>
      <c r="H1112" s="146"/>
      <c r="I1112" s="146"/>
    </row>
    <row r="1113" ht="15.75" customHeight="1">
      <c r="A1113" s="166"/>
      <c r="B1113" s="131"/>
      <c r="C1113" s="131"/>
      <c r="D1113" s="167"/>
      <c r="E1113" s="168"/>
      <c r="F1113" s="169"/>
      <c r="G1113" s="170"/>
      <c r="H1113" s="118"/>
      <c r="I1113" s="118"/>
    </row>
    <row r="1114" ht="15.75" customHeight="1">
      <c r="A1114" s="171"/>
      <c r="B1114" s="131"/>
      <c r="C1114" s="131"/>
      <c r="D1114" s="167"/>
      <c r="E1114" s="168"/>
      <c r="F1114" s="169"/>
      <c r="G1114" s="170"/>
      <c r="H1114" s="118"/>
      <c r="I1114" s="118"/>
    </row>
    <row r="1115" ht="15.75" customHeight="1">
      <c r="A1115" s="172"/>
      <c r="B1115" s="131"/>
      <c r="C1115" s="131"/>
      <c r="D1115" s="167"/>
      <c r="E1115" s="168"/>
      <c r="F1115" s="169"/>
      <c r="G1115" s="170"/>
      <c r="H1115" s="118"/>
      <c r="I1115" s="118"/>
    </row>
    <row r="1116" ht="15.75" customHeight="1">
      <c r="A1116" s="166"/>
      <c r="B1116" s="131"/>
      <c r="C1116" s="131"/>
      <c r="D1116" s="167"/>
      <c r="E1116" s="168"/>
      <c r="F1116" s="118"/>
      <c r="G1116" s="170"/>
      <c r="H1116" s="118"/>
      <c r="I1116" s="118"/>
    </row>
    <row r="1117" ht="15.75" customHeight="1">
      <c r="A1117" s="166"/>
      <c r="B1117" s="131"/>
      <c r="C1117" s="131"/>
      <c r="D1117" s="167"/>
      <c r="E1117" s="168"/>
      <c r="F1117" s="118"/>
      <c r="G1117" s="170"/>
      <c r="H1117" s="118"/>
      <c r="I1117" s="118"/>
    </row>
    <row r="1118" ht="15.75" customHeight="1">
      <c r="A1118" s="172"/>
      <c r="B1118" s="131"/>
      <c r="C1118" s="131"/>
      <c r="D1118" s="167"/>
      <c r="E1118" s="168"/>
      <c r="F1118" s="118"/>
      <c r="G1118" s="170"/>
      <c r="H1118" s="118"/>
      <c r="I1118" s="118"/>
    </row>
    <row r="1119" ht="15.75" customHeight="1">
      <c r="A1119" s="172"/>
      <c r="B1119" s="131"/>
      <c r="C1119" s="131"/>
      <c r="D1119" s="167"/>
      <c r="E1119" s="168"/>
      <c r="F1119" s="118"/>
      <c r="G1119" s="170"/>
      <c r="H1119" s="118"/>
      <c r="I1119" s="118"/>
    </row>
    <row r="1120" ht="15.75" customHeight="1">
      <c r="A1120" s="166"/>
      <c r="B1120" s="131"/>
      <c r="C1120" s="131"/>
      <c r="D1120" s="167"/>
      <c r="E1120" s="168"/>
      <c r="F1120" s="118"/>
      <c r="G1120" s="170"/>
      <c r="H1120" s="118"/>
      <c r="I1120" s="118"/>
    </row>
    <row r="1121" ht="15.75" customHeight="1">
      <c r="A1121" s="172"/>
      <c r="B1121" s="118"/>
      <c r="C1121" s="118"/>
      <c r="D1121" s="167"/>
      <c r="E1121" s="168"/>
      <c r="F1121" s="118"/>
      <c r="G1121" s="170"/>
      <c r="H1121" s="118"/>
      <c r="I1121" s="118"/>
    </row>
    <row r="1122" ht="15.75" customHeight="1">
      <c r="A1122" s="166"/>
      <c r="B1122" s="131"/>
      <c r="C1122" s="131"/>
      <c r="D1122" s="167"/>
      <c r="E1122" s="168"/>
      <c r="F1122" s="118"/>
      <c r="G1122" s="170"/>
      <c r="H1122" s="118"/>
      <c r="I1122" s="118"/>
    </row>
    <row r="1123" ht="15.75" customHeight="1">
      <c r="A1123" s="166"/>
      <c r="B1123" s="118"/>
      <c r="C1123" s="118"/>
      <c r="D1123" s="167"/>
      <c r="E1123" s="168"/>
      <c r="F1123" s="118"/>
      <c r="G1123" s="170"/>
      <c r="H1123" s="118"/>
      <c r="I1123" s="118"/>
    </row>
    <row r="1124" ht="15.75" customHeight="1">
      <c r="A1124" s="166"/>
      <c r="B1124" s="118"/>
      <c r="C1124" s="118"/>
      <c r="D1124" s="167"/>
      <c r="E1124" s="168"/>
      <c r="F1124" s="118"/>
      <c r="G1124" s="170"/>
      <c r="H1124" s="118"/>
      <c r="I1124" s="118"/>
    </row>
    <row r="1125" ht="15.75" customHeight="1">
      <c r="A1125" s="166"/>
      <c r="B1125" s="118"/>
      <c r="C1125" s="118"/>
      <c r="D1125" s="167"/>
      <c r="E1125" s="168"/>
      <c r="F1125" s="118"/>
      <c r="G1125" s="170"/>
      <c r="H1125" s="118"/>
      <c r="I1125" s="118"/>
    </row>
    <row r="1126" ht="15.75" customHeight="1">
      <c r="A1126" s="166"/>
      <c r="B1126" s="118"/>
      <c r="C1126" s="118"/>
      <c r="D1126" s="167"/>
      <c r="E1126" s="168"/>
      <c r="F1126" s="118"/>
      <c r="G1126" s="170"/>
      <c r="H1126" s="118"/>
      <c r="I1126" s="118"/>
    </row>
    <row r="1127" ht="15.75" customHeight="1">
      <c r="A1127" s="166"/>
      <c r="B1127" s="118"/>
      <c r="C1127" s="118"/>
      <c r="D1127" s="167"/>
      <c r="E1127" s="168"/>
      <c r="F1127" s="118"/>
      <c r="G1127" s="170"/>
      <c r="H1127" s="118"/>
      <c r="I1127" s="118"/>
    </row>
    <row r="1128" ht="15.75" customHeight="1">
      <c r="A1128" s="166"/>
      <c r="B1128" s="118"/>
      <c r="C1128" s="118"/>
      <c r="D1128" s="167"/>
      <c r="E1128" s="168"/>
      <c r="F1128" s="118"/>
      <c r="G1128" s="170"/>
      <c r="H1128" s="118"/>
      <c r="I1128" s="118"/>
    </row>
    <row r="1129" ht="15.75" customHeight="1">
      <c r="A1129" s="166"/>
      <c r="B1129" s="118"/>
      <c r="C1129" s="118"/>
      <c r="D1129" s="167"/>
      <c r="E1129" s="168"/>
      <c r="F1129" s="118"/>
      <c r="G1129" s="170"/>
      <c r="H1129" s="118"/>
      <c r="I1129" s="118"/>
    </row>
    <row r="1130" ht="15.75" customHeight="1">
      <c r="A1130" s="166"/>
      <c r="B1130" s="118"/>
      <c r="C1130" s="118"/>
      <c r="D1130" s="167"/>
      <c r="E1130" s="168"/>
      <c r="F1130" s="118"/>
      <c r="G1130" s="170"/>
      <c r="H1130" s="118"/>
      <c r="I1130" s="118"/>
    </row>
    <row r="1131" ht="15.75" customHeight="1">
      <c r="A1131" s="166"/>
      <c r="B1131" s="118"/>
      <c r="C1131" s="118"/>
      <c r="D1131" s="167"/>
      <c r="E1131" s="168"/>
      <c r="F1131" s="118"/>
      <c r="G1131" s="170"/>
      <c r="H1131" s="118"/>
      <c r="I1131" s="118"/>
    </row>
    <row r="1132" ht="15.75" customHeight="1">
      <c r="A1132" s="166"/>
      <c r="B1132" s="118"/>
      <c r="C1132" s="118"/>
      <c r="D1132" s="167"/>
      <c r="E1132" s="168"/>
      <c r="F1132" s="118"/>
      <c r="G1132" s="170"/>
      <c r="H1132" s="118"/>
      <c r="I1132" s="118"/>
    </row>
    <row r="1133" ht="15.75" customHeight="1">
      <c r="A1133" s="166"/>
      <c r="B1133" s="118"/>
      <c r="C1133" s="118"/>
      <c r="D1133" s="167"/>
      <c r="E1133" s="168"/>
      <c r="F1133" s="118"/>
      <c r="G1133" s="170"/>
      <c r="H1133" s="118"/>
      <c r="I1133" s="118"/>
    </row>
    <row r="1134" ht="15.75" customHeight="1">
      <c r="A1134" s="166"/>
      <c r="B1134" s="118"/>
      <c r="C1134" s="118"/>
      <c r="D1134" s="167"/>
      <c r="E1134" s="168"/>
      <c r="F1134" s="118"/>
      <c r="G1134" s="170"/>
      <c r="H1134" s="118"/>
      <c r="I1134" s="118"/>
    </row>
    <row r="1135" ht="15.75" customHeight="1">
      <c r="A1135" s="166"/>
      <c r="B1135" s="118"/>
      <c r="C1135" s="118"/>
      <c r="D1135" s="167"/>
      <c r="E1135" s="168"/>
      <c r="F1135" s="118"/>
      <c r="G1135" s="170"/>
      <c r="H1135" s="118"/>
      <c r="I1135" s="118"/>
    </row>
    <row r="1136" ht="15.75" customHeight="1">
      <c r="A1136" s="166"/>
      <c r="B1136" s="118"/>
      <c r="C1136" s="118"/>
      <c r="D1136" s="167"/>
      <c r="E1136" s="168"/>
      <c r="F1136" s="118"/>
      <c r="G1136" s="170"/>
      <c r="H1136" s="118"/>
      <c r="I1136" s="118"/>
    </row>
    <row r="1137" ht="15.75" customHeight="1">
      <c r="A1137" s="166"/>
      <c r="B1137" s="118"/>
      <c r="C1137" s="118"/>
      <c r="D1137" s="167"/>
      <c r="E1137" s="168"/>
      <c r="F1137" s="118"/>
      <c r="G1137" s="170"/>
      <c r="H1137" s="118"/>
      <c r="I1137" s="118"/>
    </row>
    <row r="1138" ht="15.75" customHeight="1">
      <c r="A1138" s="166"/>
      <c r="B1138" s="118"/>
      <c r="C1138" s="118"/>
      <c r="D1138" s="167"/>
      <c r="E1138" s="168"/>
      <c r="F1138" s="118"/>
      <c r="G1138" s="170"/>
      <c r="H1138" s="118"/>
      <c r="I1138" s="118"/>
    </row>
    <row r="1139" ht="15.75" customHeight="1">
      <c r="A1139" s="166"/>
      <c r="B1139" s="118"/>
      <c r="C1139" s="118"/>
      <c r="D1139" s="167"/>
      <c r="E1139" s="168"/>
      <c r="F1139" s="118"/>
      <c r="G1139" s="170"/>
      <c r="H1139" s="118"/>
      <c r="I1139" s="118"/>
    </row>
    <row r="1140" ht="15.75" customHeight="1">
      <c r="A1140" s="166"/>
      <c r="B1140" s="118"/>
      <c r="C1140" s="118"/>
      <c r="D1140" s="167"/>
      <c r="E1140" s="168"/>
      <c r="F1140" s="118"/>
      <c r="G1140" s="170"/>
      <c r="H1140" s="118"/>
      <c r="I1140" s="118"/>
    </row>
    <row r="1141" ht="15.75" customHeight="1">
      <c r="A1141" s="166"/>
      <c r="B1141" s="118"/>
      <c r="C1141" s="118"/>
      <c r="D1141" s="167"/>
      <c r="E1141" s="168"/>
      <c r="F1141" s="118"/>
      <c r="G1141" s="170"/>
      <c r="H1141" s="118"/>
      <c r="I1141" s="118"/>
    </row>
    <row r="1142" ht="15.75" customHeight="1">
      <c r="A1142" s="172"/>
      <c r="B1142" s="131"/>
      <c r="C1142" s="131"/>
      <c r="D1142" s="167"/>
      <c r="E1142" s="168"/>
      <c r="F1142" s="118"/>
      <c r="G1142" s="170"/>
      <c r="H1142" s="118"/>
      <c r="I1142" s="118"/>
    </row>
    <row r="1143" ht="15.75" customHeight="1">
      <c r="A1143" s="166"/>
      <c r="B1143" s="131"/>
      <c r="C1143" s="131"/>
      <c r="D1143" s="167"/>
      <c r="E1143" s="168"/>
      <c r="F1143" s="118"/>
      <c r="G1143" s="170"/>
      <c r="H1143" s="118"/>
      <c r="I1143" s="118"/>
    </row>
    <row r="1144" ht="15.75" customHeight="1">
      <c r="A1144" s="166"/>
      <c r="B1144" s="114"/>
      <c r="C1144" s="131"/>
      <c r="D1144" s="167"/>
      <c r="E1144" s="168"/>
      <c r="F1144" s="118"/>
      <c r="G1144" s="170"/>
      <c r="H1144" s="118"/>
      <c r="I1144" s="118"/>
    </row>
    <row r="1145" ht="15.75" customHeight="1">
      <c r="A1145" s="172"/>
      <c r="B1145" s="131"/>
      <c r="C1145" s="131"/>
      <c r="D1145" s="167"/>
      <c r="E1145" s="168"/>
      <c r="F1145" s="118"/>
      <c r="G1145" s="170"/>
      <c r="H1145" s="118"/>
      <c r="I1145" s="118"/>
    </row>
    <row r="1146" ht="15.75" customHeight="1">
      <c r="A1146" s="172"/>
      <c r="B1146" s="131"/>
      <c r="C1146" s="131"/>
      <c r="D1146" s="167"/>
      <c r="E1146" s="168"/>
      <c r="F1146" s="118"/>
      <c r="G1146" s="170"/>
      <c r="H1146" s="118"/>
      <c r="I1146" s="118"/>
    </row>
    <row r="1147" ht="15.75" customHeight="1">
      <c r="A1147" s="172"/>
      <c r="B1147" s="173"/>
      <c r="C1147" s="173"/>
      <c r="D1147" s="167"/>
      <c r="E1147" s="168"/>
      <c r="F1147" s="118"/>
      <c r="G1147" s="170"/>
      <c r="H1147" s="118"/>
      <c r="I1147" s="118"/>
    </row>
    <row r="1148" ht="15.75" customHeight="1">
      <c r="A1148" s="172"/>
      <c r="B1148" s="173"/>
      <c r="C1148" s="173"/>
      <c r="D1148" s="167"/>
      <c r="E1148" s="168"/>
      <c r="F1148" s="118"/>
      <c r="G1148" s="170"/>
      <c r="H1148" s="118"/>
      <c r="I1148" s="118"/>
    </row>
    <row r="1149" ht="15.75" customHeight="1">
      <c r="A1149" s="166"/>
      <c r="B1149" s="173"/>
      <c r="C1149" s="173"/>
      <c r="D1149" s="167"/>
      <c r="E1149" s="168"/>
      <c r="F1149" s="118"/>
      <c r="G1149" s="170"/>
      <c r="H1149" s="118"/>
      <c r="I1149" s="118"/>
    </row>
    <row r="1150" ht="15.75" customHeight="1">
      <c r="A1150" s="172"/>
      <c r="B1150" s="173"/>
      <c r="C1150" s="174"/>
      <c r="D1150" s="167"/>
      <c r="E1150" s="168"/>
      <c r="F1150" s="118"/>
      <c r="G1150" s="170"/>
      <c r="H1150" s="118"/>
      <c r="I1150" s="118"/>
    </row>
    <row r="1151" ht="15.75" customHeight="1">
      <c r="A1151" s="172"/>
      <c r="B1151" s="173"/>
      <c r="C1151" s="173"/>
      <c r="D1151" s="167"/>
      <c r="E1151" s="168"/>
      <c r="F1151" s="118"/>
      <c r="G1151" s="170"/>
      <c r="H1151" s="118"/>
      <c r="I1151" s="118"/>
    </row>
    <row r="1152" ht="15.75" customHeight="1">
      <c r="A1152" s="172"/>
      <c r="B1152" s="173"/>
      <c r="C1152" s="173"/>
      <c r="D1152" s="167"/>
      <c r="E1152" s="168"/>
      <c r="F1152" s="118"/>
      <c r="G1152" s="170"/>
      <c r="H1152" s="118"/>
      <c r="I1152" s="118"/>
    </row>
    <row r="1153" ht="15.75" customHeight="1">
      <c r="A1153" s="172"/>
      <c r="B1153" s="131"/>
      <c r="C1153" s="131"/>
      <c r="D1153" s="167"/>
      <c r="E1153" s="168"/>
      <c r="F1153" s="118"/>
      <c r="G1153" s="170"/>
      <c r="H1153" s="118"/>
      <c r="I1153" s="118"/>
    </row>
    <row r="1154" ht="15.75" customHeight="1">
      <c r="A1154" s="172"/>
      <c r="B1154" s="131"/>
      <c r="C1154" s="131"/>
      <c r="D1154" s="167"/>
      <c r="E1154" s="168"/>
      <c r="F1154" s="118"/>
      <c r="G1154" s="170"/>
      <c r="H1154" s="118"/>
      <c r="I1154" s="118"/>
    </row>
    <row r="1155" ht="15.75" customHeight="1">
      <c r="A1155" s="172"/>
      <c r="B1155" s="131"/>
      <c r="C1155" s="131"/>
      <c r="D1155" s="167"/>
      <c r="E1155" s="118"/>
      <c r="F1155" s="119"/>
      <c r="G1155" s="118"/>
      <c r="H1155" s="118"/>
      <c r="I1155" s="118"/>
    </row>
    <row r="1156" ht="15.75" customHeight="1">
      <c r="A1156" s="172"/>
      <c r="B1156" s="131"/>
      <c r="C1156" s="131"/>
      <c r="D1156" s="167"/>
      <c r="E1156" s="118"/>
      <c r="F1156" s="118"/>
      <c r="G1156" s="118"/>
      <c r="H1156" s="118"/>
      <c r="I1156" s="118"/>
    </row>
    <row r="1157" ht="15.75" customHeight="1">
      <c r="A1157" s="172"/>
      <c r="B1157" s="131"/>
      <c r="C1157" s="131"/>
      <c r="D1157" s="167"/>
      <c r="E1157" s="118"/>
      <c r="F1157" s="118"/>
      <c r="G1157" s="118"/>
      <c r="H1157" s="118"/>
      <c r="I1157" s="118"/>
    </row>
    <row r="1158" ht="15.75" customHeight="1">
      <c r="A1158" s="172"/>
      <c r="B1158" s="131"/>
      <c r="C1158" s="131"/>
      <c r="D1158" s="167"/>
      <c r="E1158" s="118"/>
      <c r="F1158" s="118"/>
      <c r="G1158" s="118"/>
      <c r="H1158" s="118"/>
      <c r="I1158" s="118"/>
    </row>
    <row r="1159" ht="15.75" customHeight="1">
      <c r="A1159" s="172"/>
      <c r="B1159" s="131"/>
      <c r="C1159" s="131"/>
      <c r="D1159" s="167"/>
      <c r="E1159" s="118"/>
      <c r="F1159" s="118"/>
      <c r="G1159" s="118"/>
      <c r="H1159" s="118"/>
      <c r="I1159" s="118"/>
    </row>
    <row r="1160" ht="15.75" customHeight="1">
      <c r="A1160" s="172"/>
      <c r="B1160" s="131"/>
      <c r="C1160" s="131"/>
      <c r="D1160" s="167"/>
      <c r="E1160" s="118"/>
      <c r="F1160" s="118"/>
      <c r="G1160" s="118"/>
      <c r="H1160" s="118"/>
      <c r="I1160" s="118"/>
    </row>
    <row r="1161" ht="15.75" customHeight="1">
      <c r="A1161" s="172"/>
      <c r="B1161" s="131"/>
      <c r="C1161" s="131"/>
      <c r="D1161" s="167"/>
      <c r="E1161" s="118"/>
      <c r="F1161" s="118"/>
      <c r="G1161" s="118"/>
      <c r="H1161" s="118"/>
      <c r="I1161" s="118"/>
    </row>
    <row r="1162" ht="15.75" customHeight="1">
      <c r="A1162" s="172"/>
      <c r="B1162" s="131"/>
      <c r="C1162" s="131"/>
      <c r="D1162" s="167"/>
      <c r="E1162" s="118"/>
      <c r="F1162" s="118"/>
      <c r="G1162" s="118"/>
      <c r="H1162" s="118"/>
      <c r="I1162" s="118"/>
    </row>
    <row r="1163" ht="15.75" customHeight="1">
      <c r="A1163" s="102"/>
      <c r="B1163" s="131"/>
      <c r="C1163" s="131"/>
      <c r="D1163" s="167"/>
      <c r="E1163" s="118"/>
      <c r="F1163" s="118"/>
      <c r="G1163" s="118"/>
      <c r="H1163" s="118"/>
      <c r="I1163" s="118"/>
    </row>
    <row r="1164" ht="15.75" customHeight="1">
      <c r="A1164" s="117"/>
      <c r="B1164" s="131"/>
      <c r="C1164" s="131"/>
      <c r="D1164" s="167"/>
      <c r="E1164" s="118"/>
      <c r="F1164" s="118"/>
      <c r="G1164" s="118"/>
      <c r="H1164" s="118"/>
      <c r="I1164" s="118"/>
    </row>
    <row r="1165" ht="15.75" customHeight="1">
      <c r="A1165" s="166"/>
      <c r="B1165" s="131"/>
      <c r="C1165" s="131"/>
      <c r="D1165" s="167"/>
      <c r="E1165" s="118"/>
      <c r="F1165" s="118"/>
      <c r="G1165" s="118"/>
      <c r="H1165" s="118"/>
      <c r="I1165" s="118"/>
    </row>
    <row r="1166" ht="15.75" customHeight="1">
      <c r="A1166" s="172"/>
      <c r="B1166" s="131"/>
      <c r="C1166" s="131"/>
      <c r="D1166" s="167"/>
      <c r="E1166" s="118"/>
      <c r="F1166" s="118"/>
      <c r="G1166" s="118"/>
      <c r="H1166" s="118"/>
      <c r="I1166" s="118"/>
    </row>
    <row r="1167" ht="15.75" customHeight="1">
      <c r="A1167" s="172"/>
      <c r="B1167" s="131"/>
      <c r="C1167" s="131"/>
      <c r="D1167" s="167"/>
      <c r="E1167" s="118"/>
      <c r="F1167" s="118"/>
      <c r="G1167" s="118"/>
      <c r="H1167" s="118"/>
      <c r="I1167" s="118"/>
    </row>
    <row r="1168" ht="15.75" customHeight="1">
      <c r="A1168" s="172"/>
      <c r="B1168" s="131"/>
      <c r="C1168" s="131"/>
      <c r="D1168" s="167"/>
      <c r="E1168" s="118"/>
      <c r="F1168" s="118"/>
      <c r="G1168" s="118"/>
      <c r="H1168" s="118"/>
      <c r="I1168" s="118"/>
    </row>
    <row r="1169" ht="15.75" customHeight="1">
      <c r="A1169" s="166"/>
      <c r="B1169" s="131"/>
      <c r="C1169" s="131"/>
      <c r="D1169" s="167"/>
      <c r="E1169" s="118"/>
      <c r="F1169" s="118"/>
      <c r="G1169" s="118"/>
      <c r="H1169" s="118"/>
      <c r="I1169" s="118"/>
    </row>
    <row r="1170" ht="15.75" customHeight="1">
      <c r="A1170" s="172"/>
      <c r="B1170" s="131"/>
      <c r="C1170" s="131"/>
      <c r="D1170" s="167"/>
      <c r="E1170" s="118"/>
      <c r="F1170" s="118"/>
      <c r="G1170" s="118"/>
      <c r="H1170" s="118"/>
      <c r="I1170" s="118"/>
    </row>
    <row r="1171" ht="15.75" customHeight="1">
      <c r="A1171" s="172"/>
      <c r="B1171" s="131"/>
      <c r="C1171" s="131"/>
      <c r="D1171" s="167"/>
      <c r="E1171" s="118"/>
      <c r="F1171" s="118"/>
      <c r="G1171" s="118"/>
      <c r="H1171" s="118"/>
      <c r="I1171" s="118"/>
    </row>
    <row r="1172" ht="15.75" customHeight="1">
      <c r="A1172" s="166"/>
      <c r="B1172" s="131"/>
      <c r="C1172" s="131"/>
      <c r="D1172" s="167"/>
      <c r="E1172" s="118"/>
      <c r="F1172" s="118"/>
      <c r="G1172" s="118"/>
      <c r="H1172" s="118"/>
      <c r="I1172" s="118"/>
    </row>
    <row r="1173" ht="15.75" customHeight="1">
      <c r="A1173" s="172"/>
      <c r="B1173" s="131"/>
      <c r="C1173" s="131"/>
      <c r="D1173" s="167"/>
      <c r="E1173" s="118"/>
      <c r="F1173" s="118"/>
      <c r="G1173" s="118"/>
      <c r="H1173" s="118"/>
      <c r="I1173" s="118"/>
    </row>
    <row r="1174" ht="15.75" customHeight="1">
      <c r="A1174" s="172"/>
      <c r="B1174" s="131"/>
      <c r="C1174" s="131"/>
      <c r="D1174" s="167"/>
      <c r="E1174" s="118"/>
      <c r="F1174" s="118"/>
      <c r="G1174" s="118"/>
      <c r="H1174" s="118"/>
      <c r="I1174" s="118"/>
    </row>
    <row r="1175" ht="15.75" customHeight="1">
      <c r="A1175" s="172"/>
      <c r="B1175" s="131"/>
      <c r="C1175" s="131"/>
      <c r="D1175" s="167"/>
      <c r="E1175" s="118"/>
      <c r="F1175" s="118"/>
      <c r="G1175" s="118"/>
      <c r="H1175" s="118"/>
      <c r="I1175" s="118"/>
    </row>
    <row r="1176" ht="15.75" customHeight="1">
      <c r="A1176" s="166"/>
      <c r="B1176" s="118"/>
      <c r="C1176" s="118"/>
      <c r="D1176" s="167"/>
      <c r="E1176" s="118"/>
      <c r="F1176" s="118"/>
      <c r="G1176" s="118"/>
      <c r="H1176" s="118"/>
      <c r="I1176" s="118"/>
    </row>
    <row r="1177" ht="15.75" customHeight="1">
      <c r="A1177" s="117"/>
      <c r="B1177" s="175"/>
      <c r="C1177" s="175"/>
      <c r="D1177" s="117"/>
      <c r="E1177" s="118"/>
      <c r="F1177" s="118"/>
      <c r="G1177" s="118"/>
      <c r="H1177" s="118"/>
      <c r="I1177" s="118"/>
    </row>
    <row r="1178" ht="15.75" customHeight="1">
      <c r="A1178" s="117"/>
      <c r="B1178" s="131"/>
      <c r="C1178" s="131"/>
      <c r="D1178" s="117"/>
      <c r="E1178" s="118"/>
      <c r="F1178" s="118"/>
      <c r="G1178" s="118"/>
      <c r="H1178" s="118"/>
      <c r="I1178" s="118"/>
    </row>
    <row r="1179" ht="15.75" customHeight="1">
      <c r="A1179" s="117"/>
      <c r="B1179" s="118"/>
      <c r="C1179" s="118"/>
      <c r="D1179" s="117"/>
      <c r="E1179" s="118"/>
      <c r="F1179" s="118"/>
      <c r="G1179" s="118"/>
      <c r="H1179" s="118"/>
      <c r="I1179" s="118"/>
    </row>
    <row r="1180" ht="15.75" customHeight="1">
      <c r="A1180" s="163"/>
      <c r="B1180" s="175"/>
      <c r="C1180" s="175"/>
      <c r="D1180" s="117"/>
      <c r="E1180" s="118"/>
      <c r="F1180" s="118"/>
      <c r="G1180" s="118"/>
      <c r="H1180" s="118"/>
      <c r="I1180" s="118"/>
    </row>
    <row r="1181" ht="15.75" customHeight="1">
      <c r="A1181" s="117"/>
      <c r="B1181" s="131"/>
      <c r="C1181" s="131"/>
      <c r="D1181" s="117"/>
      <c r="E1181" s="118"/>
      <c r="F1181" s="118"/>
      <c r="G1181" s="118"/>
      <c r="H1181" s="118"/>
      <c r="I1181" s="118"/>
    </row>
    <row r="1182" ht="15.75" customHeight="1">
      <c r="A1182" s="117"/>
      <c r="B1182" s="118"/>
      <c r="C1182" s="118"/>
      <c r="D1182" s="117"/>
      <c r="E1182" s="118"/>
      <c r="F1182" s="118"/>
      <c r="G1182" s="118"/>
      <c r="H1182" s="118"/>
      <c r="I1182" s="118"/>
    </row>
    <row r="1183" ht="15.75" customHeight="1">
      <c r="A1183" s="117"/>
      <c r="B1183" s="118"/>
      <c r="C1183" s="118"/>
      <c r="D1183" s="117"/>
      <c r="E1183" s="118"/>
      <c r="F1183" s="118"/>
      <c r="G1183" s="118"/>
      <c r="H1183" s="118"/>
      <c r="I1183" s="118"/>
    </row>
    <row r="1184" ht="15.75" customHeight="1">
      <c r="A1184" s="117"/>
      <c r="B1184" s="118"/>
      <c r="C1184" s="118"/>
      <c r="D1184" s="117"/>
      <c r="E1184" s="118"/>
      <c r="F1184" s="118"/>
      <c r="G1184" s="118"/>
      <c r="H1184" s="118"/>
      <c r="I1184" s="118"/>
    </row>
    <row r="1185" ht="15.75" customHeight="1">
      <c r="A1185" s="117"/>
      <c r="B1185" s="118"/>
      <c r="C1185" s="118"/>
      <c r="D1185" s="117"/>
      <c r="E1185" s="118"/>
      <c r="F1185" s="118"/>
      <c r="G1185" s="118"/>
      <c r="H1185" s="118"/>
      <c r="I1185" s="118"/>
    </row>
    <row r="1186" ht="15.75" customHeight="1">
      <c r="A1186" s="117"/>
      <c r="B1186" s="118"/>
      <c r="C1186" s="118"/>
      <c r="D1186" s="117"/>
      <c r="E1186" s="118"/>
      <c r="F1186" s="118"/>
      <c r="G1186" s="118"/>
      <c r="H1186" s="118"/>
      <c r="I1186" s="118"/>
    </row>
    <row r="1187" ht="15.75" customHeight="1">
      <c r="A1187" s="117"/>
      <c r="B1187" s="118"/>
      <c r="C1187" s="118"/>
      <c r="D1187" s="117"/>
      <c r="E1187" s="118"/>
      <c r="F1187" s="118"/>
      <c r="G1187" s="118"/>
      <c r="H1187" s="118"/>
      <c r="I1187" s="118"/>
    </row>
    <row r="1188" ht="15.75" customHeight="1">
      <c r="A1188" s="117"/>
      <c r="B1188" s="118"/>
      <c r="C1188" s="118"/>
      <c r="D1188" s="117"/>
      <c r="E1188" s="118"/>
      <c r="F1188" s="118"/>
      <c r="G1188" s="118"/>
      <c r="H1188" s="118"/>
      <c r="I1188" s="118"/>
    </row>
    <row r="1189" ht="15.75" customHeight="1">
      <c r="A1189" s="117"/>
      <c r="B1189" s="118"/>
      <c r="C1189" s="118"/>
      <c r="D1189" s="117"/>
      <c r="E1189" s="118"/>
      <c r="F1189" s="118"/>
      <c r="G1189" s="118"/>
      <c r="H1189" s="118"/>
      <c r="I1189" s="118"/>
    </row>
    <row r="1190" ht="15.75" customHeight="1">
      <c r="A1190" s="117"/>
      <c r="B1190" s="118"/>
      <c r="C1190" s="118"/>
      <c r="D1190" s="117"/>
      <c r="E1190" s="118"/>
      <c r="F1190" s="118"/>
      <c r="G1190" s="118"/>
      <c r="H1190" s="118"/>
      <c r="I1190" s="118"/>
    </row>
    <row r="1191" ht="15.75" customHeight="1">
      <c r="A1191" s="117"/>
      <c r="B1191" s="118"/>
      <c r="C1191" s="118"/>
      <c r="D1191" s="117"/>
      <c r="E1191" s="118"/>
      <c r="F1191" s="118"/>
      <c r="G1191" s="118"/>
      <c r="H1191" s="118"/>
      <c r="I1191" s="118"/>
    </row>
    <row r="1192" ht="15.75" customHeight="1">
      <c r="A1192" s="117"/>
      <c r="B1192" s="118"/>
      <c r="C1192" s="118"/>
      <c r="D1192" s="117"/>
      <c r="E1192" s="118"/>
      <c r="F1192" s="118"/>
      <c r="G1192" s="118"/>
      <c r="H1192" s="118"/>
      <c r="I1192" s="118"/>
    </row>
    <row r="1193" ht="15.75" customHeight="1">
      <c r="A1193" s="117"/>
      <c r="B1193" s="118"/>
      <c r="C1193" s="118"/>
      <c r="D1193" s="117"/>
      <c r="E1193" s="118"/>
      <c r="F1193" s="118"/>
      <c r="G1193" s="118"/>
      <c r="H1193" s="118"/>
      <c r="I1193" s="118"/>
    </row>
    <row r="1194" ht="15.75" customHeight="1">
      <c r="A1194" s="117"/>
      <c r="B1194" s="118"/>
      <c r="C1194" s="118"/>
      <c r="D1194" s="117"/>
      <c r="E1194" s="118"/>
      <c r="F1194" s="118"/>
      <c r="G1194" s="118"/>
      <c r="H1194" s="118"/>
      <c r="I1194" s="118"/>
    </row>
    <row r="1195" ht="15.75" customHeight="1">
      <c r="A1195" s="117"/>
      <c r="B1195" s="118"/>
      <c r="C1195" s="118"/>
      <c r="D1195" s="117"/>
      <c r="E1195" s="118"/>
      <c r="F1195" s="118"/>
      <c r="G1195" s="118"/>
      <c r="H1195" s="118"/>
      <c r="I1195" s="118"/>
    </row>
    <row r="1196" ht="15.75" customHeight="1">
      <c r="A1196" s="117"/>
      <c r="B1196" s="118"/>
      <c r="C1196" s="118"/>
      <c r="D1196" s="117"/>
      <c r="E1196" s="118"/>
      <c r="F1196" s="118"/>
      <c r="G1196" s="118"/>
      <c r="H1196" s="118"/>
      <c r="I1196" s="118"/>
    </row>
    <row r="1197" ht="15.75" customHeight="1">
      <c r="A1197" s="117"/>
      <c r="B1197" s="118"/>
      <c r="C1197" s="118"/>
      <c r="D1197" s="117"/>
      <c r="E1197" s="118"/>
      <c r="F1197" s="118"/>
      <c r="G1197" s="118"/>
      <c r="H1197" s="118"/>
      <c r="I1197" s="118"/>
    </row>
    <row r="1198" ht="15.75" customHeight="1">
      <c r="A1198" s="117"/>
      <c r="B1198" s="118"/>
      <c r="C1198" s="118"/>
      <c r="D1198" s="117"/>
      <c r="E1198" s="118"/>
      <c r="F1198" s="118"/>
      <c r="G1198" s="118"/>
      <c r="H1198" s="118"/>
      <c r="I1198" s="118"/>
    </row>
    <row r="1199" ht="15.75" customHeight="1">
      <c r="A1199" s="117"/>
      <c r="B1199" s="118"/>
      <c r="C1199" s="118"/>
      <c r="D1199" s="117"/>
      <c r="E1199" s="118"/>
      <c r="F1199" s="118"/>
      <c r="G1199" s="118"/>
      <c r="H1199" s="118"/>
      <c r="I1199" s="118"/>
    </row>
    <row r="1200" ht="15.75" customHeight="1">
      <c r="A1200" s="117"/>
      <c r="B1200" s="118"/>
      <c r="C1200" s="118"/>
      <c r="D1200" s="117"/>
      <c r="E1200" s="118"/>
      <c r="F1200" s="118"/>
      <c r="G1200" s="118"/>
      <c r="H1200" s="118"/>
      <c r="I1200" s="118"/>
    </row>
    <row r="1201" ht="15.75" customHeight="1">
      <c r="A1201" s="117"/>
      <c r="B1201" s="118"/>
      <c r="C1201" s="118"/>
      <c r="D1201" s="117"/>
      <c r="E1201" s="118"/>
      <c r="F1201" s="118"/>
      <c r="G1201" s="118"/>
      <c r="H1201" s="118"/>
      <c r="I1201" s="118"/>
    </row>
    <row r="1202" ht="15.75" customHeight="1">
      <c r="A1202" s="117"/>
      <c r="B1202" s="118"/>
      <c r="C1202" s="118"/>
      <c r="D1202" s="117"/>
      <c r="E1202" s="118"/>
      <c r="F1202" s="118"/>
      <c r="G1202" s="118"/>
      <c r="H1202" s="118"/>
      <c r="I1202" s="118"/>
    </row>
    <row r="1203" ht="15.75" customHeight="1">
      <c r="A1203" s="117"/>
      <c r="B1203" s="118"/>
      <c r="C1203" s="118"/>
      <c r="D1203" s="117"/>
      <c r="E1203" s="118"/>
      <c r="F1203" s="118"/>
      <c r="G1203" s="118"/>
      <c r="H1203" s="118"/>
      <c r="I1203" s="118"/>
    </row>
    <row r="1204" ht="15.75" customHeight="1">
      <c r="A1204" s="117"/>
      <c r="B1204" s="118"/>
      <c r="C1204" s="118"/>
      <c r="D1204" s="117"/>
      <c r="E1204" s="118"/>
      <c r="F1204" s="118"/>
      <c r="G1204" s="118"/>
      <c r="H1204" s="118"/>
      <c r="I1204" s="118"/>
    </row>
    <row r="1205" ht="15.75" customHeight="1">
      <c r="A1205" s="117"/>
      <c r="B1205" s="118"/>
      <c r="C1205" s="118"/>
      <c r="D1205" s="117"/>
      <c r="E1205" s="118"/>
      <c r="F1205" s="118"/>
      <c r="G1205" s="118"/>
      <c r="H1205" s="118"/>
      <c r="I1205" s="118"/>
    </row>
    <row r="1206" ht="15.75" customHeight="1">
      <c r="A1206" s="117"/>
      <c r="B1206" s="118"/>
      <c r="C1206" s="118"/>
      <c r="D1206" s="117"/>
      <c r="E1206" s="118"/>
      <c r="F1206" s="118"/>
      <c r="G1206" s="118"/>
      <c r="H1206" s="118"/>
      <c r="I1206" s="118"/>
    </row>
    <row r="1207" ht="15.75" customHeight="1">
      <c r="A1207" s="117"/>
      <c r="B1207" s="118"/>
      <c r="C1207" s="118"/>
      <c r="D1207" s="117"/>
      <c r="E1207" s="118"/>
      <c r="F1207" s="118"/>
      <c r="G1207" s="118"/>
      <c r="H1207" s="118"/>
      <c r="I1207" s="118"/>
    </row>
    <row r="1208" ht="15.75" customHeight="1">
      <c r="A1208" s="117"/>
      <c r="B1208" s="118"/>
      <c r="C1208" s="118"/>
      <c r="D1208" s="117"/>
      <c r="E1208" s="118"/>
      <c r="F1208" s="118"/>
      <c r="G1208" s="118"/>
      <c r="H1208" s="118"/>
      <c r="I1208" s="118"/>
    </row>
    <row r="1209" ht="15.75" customHeight="1">
      <c r="A1209" s="117"/>
      <c r="B1209" s="118"/>
      <c r="C1209" s="118"/>
      <c r="D1209" s="117"/>
      <c r="E1209" s="118"/>
      <c r="F1209" s="118"/>
      <c r="G1209" s="118"/>
      <c r="H1209" s="118"/>
      <c r="I1209" s="118"/>
    </row>
    <row r="1210" ht="15.75" customHeight="1">
      <c r="A1210" s="117"/>
      <c r="B1210" s="118"/>
      <c r="C1210" s="118"/>
      <c r="D1210" s="117"/>
      <c r="E1210" s="118"/>
      <c r="F1210" s="118"/>
      <c r="G1210" s="118"/>
      <c r="H1210" s="118"/>
      <c r="I1210" s="118"/>
    </row>
    <row r="1211" ht="15.75" customHeight="1">
      <c r="A1211" s="117"/>
      <c r="B1211" s="118"/>
      <c r="C1211" s="118"/>
      <c r="D1211" s="117"/>
      <c r="E1211" s="118"/>
      <c r="F1211" s="118"/>
      <c r="G1211" s="118"/>
      <c r="H1211" s="118"/>
      <c r="I1211" s="118"/>
    </row>
    <row r="1212" ht="15.75" customHeight="1">
      <c r="A1212" s="117"/>
      <c r="B1212" s="118"/>
      <c r="C1212" s="118"/>
      <c r="D1212" s="117"/>
      <c r="E1212" s="118"/>
      <c r="F1212" s="118"/>
      <c r="G1212" s="118"/>
      <c r="H1212" s="118"/>
      <c r="I1212" s="118"/>
    </row>
    <row r="1213" ht="15.75" customHeight="1">
      <c r="A1213" s="117"/>
      <c r="B1213" s="118"/>
      <c r="C1213" s="118"/>
      <c r="D1213" s="117"/>
      <c r="E1213" s="118"/>
      <c r="F1213" s="118"/>
      <c r="G1213" s="118"/>
      <c r="H1213" s="118"/>
      <c r="I1213" s="118"/>
    </row>
    <row r="1214" ht="15.75" customHeight="1">
      <c r="A1214" s="117"/>
      <c r="B1214" s="118"/>
      <c r="C1214" s="118"/>
      <c r="D1214" s="117"/>
      <c r="E1214" s="118"/>
      <c r="F1214" s="118"/>
      <c r="G1214" s="118"/>
      <c r="H1214" s="118"/>
      <c r="I1214" s="118"/>
    </row>
    <row r="1215" ht="15.75" customHeight="1">
      <c r="A1215" s="117"/>
      <c r="B1215" s="118"/>
      <c r="C1215" s="118"/>
      <c r="D1215" s="117"/>
      <c r="E1215" s="118"/>
      <c r="F1215" s="118"/>
      <c r="G1215" s="118"/>
      <c r="H1215" s="118"/>
      <c r="I1215" s="118"/>
    </row>
    <row r="1216" ht="15.75" customHeight="1">
      <c r="A1216" s="117"/>
      <c r="B1216" s="118"/>
      <c r="C1216" s="118"/>
      <c r="D1216" s="117"/>
      <c r="E1216" s="118"/>
      <c r="F1216" s="118"/>
      <c r="G1216" s="118"/>
      <c r="H1216" s="118"/>
      <c r="I1216" s="118"/>
    </row>
    <row r="1217" ht="15.75" customHeight="1">
      <c r="A1217" s="117"/>
      <c r="B1217" s="118"/>
      <c r="C1217" s="118"/>
      <c r="D1217" s="117"/>
      <c r="E1217" s="118"/>
      <c r="F1217" s="118"/>
      <c r="G1217" s="118"/>
      <c r="H1217" s="118"/>
      <c r="I1217" s="118"/>
    </row>
    <row r="1218" ht="15.75" customHeight="1">
      <c r="A1218" s="117"/>
      <c r="B1218" s="118"/>
      <c r="C1218" s="118"/>
      <c r="D1218" s="117"/>
      <c r="E1218" s="118"/>
      <c r="F1218" s="118"/>
      <c r="G1218" s="118"/>
      <c r="H1218" s="118"/>
      <c r="I1218" s="118"/>
    </row>
    <row r="1219" ht="15.75" customHeight="1">
      <c r="A1219" s="117"/>
      <c r="B1219" s="118"/>
      <c r="C1219" s="118"/>
      <c r="D1219" s="117"/>
      <c r="E1219" s="118"/>
      <c r="F1219" s="118"/>
      <c r="G1219" s="118"/>
      <c r="H1219" s="118"/>
      <c r="I1219" s="118"/>
    </row>
    <row r="1220" ht="15.75" customHeight="1">
      <c r="A1220" s="117"/>
      <c r="B1220" s="118"/>
      <c r="C1220" s="118"/>
      <c r="D1220" s="117"/>
      <c r="E1220" s="118"/>
      <c r="F1220" s="118"/>
      <c r="G1220" s="118"/>
      <c r="H1220" s="118"/>
      <c r="I1220" s="118"/>
    </row>
    <row r="1221" ht="15.75" customHeight="1">
      <c r="A1221" s="117"/>
      <c r="B1221" s="118"/>
      <c r="C1221" s="118"/>
      <c r="D1221" s="117"/>
      <c r="E1221" s="118"/>
      <c r="F1221" s="118"/>
      <c r="G1221" s="118"/>
      <c r="H1221" s="118"/>
      <c r="I1221" s="118"/>
    </row>
    <row r="1222" ht="15.75" customHeight="1">
      <c r="A1222" s="117"/>
      <c r="B1222" s="118"/>
      <c r="C1222" s="118"/>
      <c r="D1222" s="117"/>
      <c r="E1222" s="118"/>
      <c r="F1222" s="118"/>
      <c r="G1222" s="118"/>
      <c r="H1222" s="118"/>
      <c r="I1222" s="118"/>
    </row>
    <row r="1223" ht="15.75" customHeight="1">
      <c r="A1223" s="117"/>
      <c r="B1223" s="118"/>
      <c r="C1223" s="118"/>
      <c r="D1223" s="117"/>
      <c r="E1223" s="118"/>
      <c r="F1223" s="118"/>
      <c r="G1223" s="118"/>
      <c r="H1223" s="118"/>
      <c r="I1223" s="118"/>
    </row>
    <row r="1224" ht="15.75" customHeight="1">
      <c r="A1224" s="117"/>
      <c r="B1224" s="118"/>
      <c r="C1224" s="118"/>
      <c r="D1224" s="117"/>
      <c r="E1224" s="118"/>
      <c r="F1224" s="118"/>
      <c r="G1224" s="118"/>
      <c r="H1224" s="118"/>
      <c r="I1224" s="118"/>
    </row>
    <row r="1225" ht="15.75" customHeight="1">
      <c r="A1225" s="117"/>
      <c r="B1225" s="118"/>
      <c r="C1225" s="118"/>
      <c r="D1225" s="117"/>
      <c r="E1225" s="118"/>
      <c r="F1225" s="118"/>
      <c r="G1225" s="118"/>
      <c r="H1225" s="118"/>
      <c r="I1225" s="118"/>
    </row>
    <row r="1226" ht="15.75" customHeight="1">
      <c r="A1226" s="176"/>
      <c r="D1226" s="176"/>
    </row>
    <row r="1227" ht="15.75" customHeight="1">
      <c r="A1227" s="176"/>
      <c r="D1227" s="176"/>
    </row>
    <row r="1228" ht="15.75" customHeight="1">
      <c r="A1228" s="176"/>
      <c r="D1228" s="176"/>
    </row>
    <row r="1229" ht="15.75" customHeight="1">
      <c r="A1229" s="176"/>
      <c r="D1229" s="176"/>
    </row>
    <row r="1230" ht="15.75" customHeight="1">
      <c r="A1230" s="176"/>
      <c r="D1230" s="176"/>
    </row>
    <row r="1231" ht="15.75" customHeight="1">
      <c r="A1231" s="176"/>
      <c r="D1231" s="176"/>
    </row>
    <row r="1232" ht="15.75" customHeight="1">
      <c r="A1232" s="176"/>
      <c r="D1232" s="176"/>
    </row>
    <row r="1233" ht="15.75" customHeight="1">
      <c r="A1233" s="176"/>
      <c r="D1233" s="176"/>
    </row>
    <row r="1234" ht="15.75" customHeight="1">
      <c r="A1234" s="176"/>
      <c r="D1234" s="176"/>
    </row>
    <row r="1235" ht="15.75" customHeight="1">
      <c r="A1235" s="176"/>
      <c r="D1235" s="176"/>
    </row>
    <row r="1236" ht="15.75" customHeight="1">
      <c r="A1236" s="176"/>
      <c r="D1236" s="176"/>
    </row>
    <row r="1237" ht="15.75" customHeight="1">
      <c r="A1237" s="176"/>
      <c r="D1237" s="176"/>
    </row>
    <row r="1238" ht="15.75" customHeight="1">
      <c r="A1238" s="176"/>
      <c r="D1238" s="176"/>
    </row>
    <row r="1239" ht="15.75" customHeight="1">
      <c r="A1239" s="176"/>
      <c r="D1239" s="176"/>
    </row>
    <row r="1240" ht="15.75" customHeight="1">
      <c r="A1240" s="176"/>
      <c r="D1240" s="176"/>
    </row>
    <row r="1241" ht="15.75" customHeight="1">
      <c r="A1241" s="176"/>
      <c r="D1241" s="176"/>
    </row>
    <row r="1242" ht="15.75" customHeight="1">
      <c r="A1242" s="176"/>
      <c r="D1242" s="176"/>
    </row>
    <row r="1243" ht="15.75" customHeight="1">
      <c r="A1243" s="176"/>
      <c r="D1243" s="176"/>
    </row>
    <row r="1244" ht="15.75" customHeight="1">
      <c r="A1244" s="176"/>
      <c r="D1244" s="176"/>
    </row>
    <row r="1245" ht="15.75" customHeight="1">
      <c r="A1245" s="176"/>
      <c r="D1245" s="176"/>
    </row>
    <row r="1246" ht="15.75" customHeight="1">
      <c r="A1246" s="176"/>
      <c r="D1246" s="176"/>
    </row>
    <row r="1247" ht="15.75" customHeight="1">
      <c r="A1247" s="176"/>
      <c r="D1247" s="176"/>
    </row>
    <row r="1248" ht="15.75" customHeight="1">
      <c r="A1248" s="176"/>
      <c r="D1248" s="176"/>
    </row>
    <row r="1249" ht="15.75" customHeight="1">
      <c r="A1249" s="176"/>
      <c r="D1249" s="176"/>
    </row>
    <row r="1250" ht="15.75" customHeight="1">
      <c r="A1250" s="176"/>
      <c r="D1250" s="176"/>
    </row>
    <row r="1251" ht="15.75" customHeight="1">
      <c r="A1251" s="176"/>
      <c r="D1251" s="176"/>
    </row>
    <row r="1252" ht="15.75" customHeight="1">
      <c r="A1252" s="176"/>
      <c r="D1252" s="176"/>
    </row>
    <row r="1253" ht="15.75" customHeight="1">
      <c r="A1253" s="176"/>
      <c r="D1253" s="176"/>
    </row>
    <row r="1254" ht="15.75" customHeight="1">
      <c r="A1254" s="176"/>
      <c r="D1254" s="176"/>
    </row>
    <row r="1255" ht="15.75" customHeight="1">
      <c r="A1255" s="176"/>
      <c r="D1255" s="176"/>
    </row>
    <row r="1256" ht="15.75" customHeight="1">
      <c r="A1256" s="176"/>
      <c r="D1256" s="176"/>
    </row>
    <row r="1257" ht="15.75" customHeight="1">
      <c r="A1257" s="176"/>
      <c r="D1257" s="176"/>
    </row>
    <row r="1258" ht="15.75" customHeight="1">
      <c r="A1258" s="176"/>
      <c r="D1258" s="176"/>
    </row>
    <row r="1259" ht="15.75" customHeight="1">
      <c r="D1259" s="177"/>
    </row>
    <row r="1260" ht="15.75" customHeight="1">
      <c r="D1260" s="177"/>
    </row>
    <row r="1261" ht="15.75" customHeight="1">
      <c r="D1261" s="177"/>
    </row>
    <row r="1262" ht="15.75" customHeight="1">
      <c r="D1262" s="177"/>
    </row>
    <row r="1263" ht="15.75" customHeight="1">
      <c r="D1263" s="177"/>
    </row>
    <row r="1264" ht="15.75" customHeight="1">
      <c r="D1264" s="177"/>
    </row>
    <row r="1265" ht="15.75" customHeight="1">
      <c r="D1265" s="177"/>
    </row>
    <row r="1266" ht="15.75" customHeight="1">
      <c r="D1266" s="177"/>
    </row>
    <row r="1267" ht="15.75" customHeight="1">
      <c r="D1267" s="177"/>
    </row>
    <row r="1268" ht="15.75" customHeight="1">
      <c r="D1268" s="177"/>
    </row>
    <row r="1269" ht="15.75" customHeight="1">
      <c r="D1269" s="177"/>
    </row>
    <row r="1270" ht="15.75" customHeight="1">
      <c r="D1270" s="177"/>
    </row>
    <row r="1271" ht="15.75" customHeight="1">
      <c r="D1271" s="177"/>
    </row>
    <row r="1272" ht="15.75" customHeight="1">
      <c r="D1272" s="177"/>
    </row>
    <row r="1273" ht="15.75" customHeight="1">
      <c r="D1273" s="177"/>
    </row>
    <row r="1274" ht="15.75" customHeight="1">
      <c r="D1274" s="177"/>
    </row>
    <row r="1275" ht="15.75" customHeight="1">
      <c r="D1275" s="177"/>
    </row>
    <row r="1276" ht="15.75" customHeight="1">
      <c r="D1276" s="177"/>
    </row>
    <row r="1277" ht="15.75" customHeight="1">
      <c r="D1277" s="177"/>
    </row>
    <row r="1278" ht="15.75" customHeight="1">
      <c r="D1278" s="177"/>
    </row>
    <row r="1279" ht="15.75" customHeight="1">
      <c r="D1279" s="177"/>
    </row>
    <row r="1280" ht="15.75" customHeight="1">
      <c r="D1280" s="177"/>
    </row>
    <row r="1281" ht="15.75" customHeight="1">
      <c r="D1281" s="177"/>
    </row>
    <row r="1282" ht="15.75" customHeight="1">
      <c r="D1282" s="177"/>
    </row>
    <row r="1283" ht="15.75" customHeight="1">
      <c r="D1283" s="177"/>
    </row>
    <row r="1284" ht="15.75" customHeight="1">
      <c r="D1284" s="177"/>
    </row>
    <row r="1285" ht="15.75" customHeight="1">
      <c r="D1285" s="177"/>
    </row>
    <row r="1286" ht="15.75" customHeight="1">
      <c r="D1286" s="177"/>
    </row>
    <row r="1287" ht="15.75" customHeight="1">
      <c r="D1287" s="177"/>
    </row>
    <row r="1288" ht="15.75" customHeight="1">
      <c r="D1288" s="177"/>
    </row>
    <row r="1289" ht="15.75" customHeight="1">
      <c r="D1289" s="177"/>
    </row>
    <row r="1290" ht="15.75" customHeight="1">
      <c r="D1290" s="177"/>
    </row>
    <row r="1291" ht="15.75" customHeight="1">
      <c r="D1291" s="177"/>
    </row>
    <row r="1292" ht="15.75" customHeight="1">
      <c r="D1292" s="177"/>
    </row>
    <row r="1293" ht="15.75" customHeight="1">
      <c r="D1293" s="177"/>
    </row>
    <row r="1294" ht="15.75" customHeight="1">
      <c r="D1294" s="177"/>
    </row>
    <row r="1295" ht="15.75" customHeight="1">
      <c r="D1295" s="177"/>
    </row>
    <row r="1296" ht="15.75" customHeight="1">
      <c r="D1296" s="177"/>
    </row>
    <row r="1297" ht="15.75" customHeight="1">
      <c r="D1297" s="177"/>
    </row>
    <row r="1298" ht="15.75" customHeight="1">
      <c r="D1298" s="177"/>
    </row>
    <row r="1299" ht="15.75" customHeight="1">
      <c r="D1299" s="177"/>
    </row>
    <row r="1300" ht="15.75" customHeight="1">
      <c r="D1300" s="177"/>
    </row>
    <row r="1301" ht="15.75" customHeight="1">
      <c r="D1301" s="177"/>
    </row>
    <row r="1302" ht="15.75" customHeight="1">
      <c r="D1302" s="177"/>
    </row>
    <row r="1303" ht="15.75" customHeight="1">
      <c r="D1303" s="177"/>
    </row>
    <row r="1304" ht="15.75" customHeight="1">
      <c r="D1304" s="177"/>
    </row>
    <row r="1305" ht="15.75" customHeight="1">
      <c r="D1305" s="177"/>
    </row>
    <row r="1306" ht="15.75" customHeight="1">
      <c r="D1306" s="177"/>
    </row>
    <row r="1307" ht="15.75" customHeight="1">
      <c r="D1307" s="177"/>
    </row>
    <row r="1308" ht="15.75" customHeight="1">
      <c r="D1308" s="177"/>
    </row>
    <row r="1309" ht="15.75" customHeight="1">
      <c r="D1309" s="177"/>
    </row>
    <row r="1310" ht="15.75" customHeight="1">
      <c r="D1310" s="177"/>
    </row>
    <row r="1311" ht="15.75" customHeight="1">
      <c r="D1311" s="177"/>
    </row>
    <row r="1312" ht="15.75" customHeight="1">
      <c r="D1312" s="177"/>
    </row>
    <row r="1313" ht="15.75" customHeight="1">
      <c r="D1313" s="177"/>
    </row>
    <row r="1314" ht="15.75" customHeight="1">
      <c r="D1314" s="177"/>
    </row>
    <row r="1315" ht="15.75" customHeight="1">
      <c r="D1315" s="177"/>
    </row>
    <row r="1316" ht="15.75" customHeight="1">
      <c r="D1316" s="177"/>
    </row>
    <row r="1317" ht="15.75" customHeight="1">
      <c r="D1317" s="177"/>
    </row>
    <row r="1318" ht="15.75" customHeight="1">
      <c r="D1318" s="177"/>
    </row>
    <row r="1319" ht="15.75" customHeight="1">
      <c r="D1319" s="177"/>
    </row>
    <row r="1320" ht="15.75" customHeight="1">
      <c r="D1320" s="177"/>
    </row>
    <row r="1321" ht="15.75" customHeight="1">
      <c r="D1321" s="177"/>
    </row>
    <row r="1322" ht="15.75" customHeight="1">
      <c r="D1322" s="177"/>
    </row>
    <row r="1323" ht="15.75" customHeight="1">
      <c r="D1323" s="177"/>
    </row>
    <row r="1324" ht="15.75" customHeight="1">
      <c r="D1324" s="177"/>
    </row>
    <row r="1325" ht="15.75" customHeight="1">
      <c r="D1325" s="177"/>
    </row>
    <row r="1326" ht="15.75" customHeight="1">
      <c r="D1326" s="177"/>
    </row>
    <row r="1327" ht="15.75" customHeight="1">
      <c r="D1327" s="177"/>
    </row>
    <row r="1328" ht="15.75" customHeight="1">
      <c r="D1328" s="177"/>
    </row>
    <row r="1329" ht="15.75" customHeight="1">
      <c r="D1329" s="177"/>
    </row>
    <row r="1330" ht="15.75" customHeight="1">
      <c r="D1330" s="177"/>
    </row>
    <row r="1331" ht="15.75" customHeight="1">
      <c r="D1331" s="177"/>
    </row>
    <row r="1332" ht="15.75" customHeight="1">
      <c r="D1332" s="177"/>
    </row>
    <row r="1333" ht="15.75" customHeight="1">
      <c r="D1333" s="177"/>
    </row>
    <row r="1334" ht="15.75" customHeight="1">
      <c r="D1334" s="177"/>
    </row>
    <row r="1335" ht="15.75" customHeight="1">
      <c r="D1335" s="177"/>
    </row>
    <row r="1336" ht="15.75" customHeight="1">
      <c r="D1336" s="177"/>
    </row>
    <row r="1337" ht="15.75" customHeight="1">
      <c r="D1337" s="177"/>
    </row>
    <row r="1338" ht="15.75" customHeight="1">
      <c r="D1338" s="177"/>
    </row>
    <row r="1339" ht="15.75" customHeight="1">
      <c r="D1339" s="177"/>
    </row>
    <row r="1340" ht="15.75" customHeight="1">
      <c r="D1340" s="177"/>
    </row>
    <row r="1341" ht="15.75" customHeight="1">
      <c r="D1341" s="177"/>
    </row>
    <row r="1342" ht="15.75" customHeight="1">
      <c r="D1342" s="177"/>
    </row>
    <row r="1343" ht="15.75" customHeight="1">
      <c r="D1343" s="177"/>
    </row>
    <row r="1344" ht="15.75" customHeight="1">
      <c r="D1344" s="177"/>
    </row>
    <row r="1345" ht="15.75" customHeight="1">
      <c r="D1345" s="177"/>
    </row>
    <row r="1346" ht="15.75" customHeight="1">
      <c r="D1346" s="177"/>
    </row>
    <row r="1347" ht="15.75" customHeight="1">
      <c r="D1347" s="177"/>
    </row>
    <row r="1348" ht="15.75" customHeight="1">
      <c r="D1348" s="177"/>
    </row>
    <row r="1349" ht="15.75" customHeight="1">
      <c r="D1349" s="177"/>
    </row>
    <row r="1350" ht="15.75" customHeight="1">
      <c r="D1350" s="177"/>
    </row>
    <row r="1351" ht="15.75" customHeight="1">
      <c r="D1351" s="177"/>
    </row>
    <row r="1352" ht="15.75" customHeight="1">
      <c r="D1352" s="177"/>
    </row>
    <row r="1353" ht="15.75" customHeight="1">
      <c r="D1353" s="177"/>
    </row>
    <row r="1354" ht="15.75" customHeight="1">
      <c r="D1354" s="177"/>
    </row>
    <row r="1355" ht="15.75" customHeight="1">
      <c r="D1355" s="177"/>
    </row>
    <row r="1356" ht="15.75" customHeight="1">
      <c r="D1356" s="177"/>
    </row>
    <row r="1357" ht="15.75" customHeight="1">
      <c r="D1357" s="177"/>
    </row>
    <row r="1358" ht="15.75" customHeight="1">
      <c r="D1358" s="177"/>
    </row>
    <row r="1359" ht="15.75" customHeight="1">
      <c r="D1359" s="177"/>
    </row>
    <row r="1360" ht="15.75" customHeight="1">
      <c r="D1360" s="177"/>
    </row>
    <row r="1361" ht="15.75" customHeight="1">
      <c r="D1361" s="177"/>
    </row>
    <row r="1362" ht="15.75" customHeight="1">
      <c r="D1362" s="177"/>
    </row>
    <row r="1363" ht="15.75" customHeight="1">
      <c r="D1363" s="177"/>
    </row>
    <row r="1364" ht="15.75" customHeight="1">
      <c r="D1364" s="177"/>
    </row>
    <row r="1365" ht="15.75" customHeight="1">
      <c r="D1365" s="177"/>
    </row>
    <row r="1366" ht="15.75" customHeight="1">
      <c r="D1366" s="177"/>
    </row>
    <row r="1367" ht="15.75" customHeight="1">
      <c r="D1367" s="177"/>
    </row>
    <row r="1368" ht="15.75" customHeight="1">
      <c r="D1368" s="177"/>
    </row>
    <row r="1369" ht="15.75" customHeight="1">
      <c r="D1369" s="177"/>
    </row>
    <row r="1370" ht="15.75" customHeight="1">
      <c r="D1370" s="177"/>
    </row>
    <row r="1371" ht="15.75" customHeight="1">
      <c r="D1371" s="177"/>
    </row>
    <row r="1372" ht="15.75" customHeight="1">
      <c r="D1372" s="177"/>
    </row>
    <row r="1373" ht="15.75" customHeight="1">
      <c r="D1373" s="177"/>
    </row>
    <row r="1374" ht="15.75" customHeight="1">
      <c r="D1374" s="177"/>
    </row>
    <row r="1375" ht="15.75" customHeight="1">
      <c r="D1375" s="177"/>
    </row>
    <row r="1376" ht="15.75" customHeight="1">
      <c r="D1376" s="177"/>
    </row>
    <row r="1377" ht="15.75" customHeight="1">
      <c r="D1377" s="177"/>
    </row>
    <row r="1378" ht="15.75" customHeight="1">
      <c r="D1378" s="177"/>
    </row>
    <row r="1379" ht="15.75" customHeight="1">
      <c r="D1379" s="177"/>
    </row>
    <row r="1380" ht="15.75" customHeight="1">
      <c r="D1380" s="177"/>
    </row>
    <row r="1381" ht="15.75" customHeight="1">
      <c r="D1381" s="177"/>
    </row>
    <row r="1382" ht="15.75" customHeight="1">
      <c r="D1382" s="177"/>
    </row>
    <row r="1383" ht="15.75" customHeight="1">
      <c r="D1383" s="177"/>
    </row>
    <row r="1384" ht="15.75" customHeight="1">
      <c r="D1384" s="177"/>
    </row>
    <row r="1385" ht="15.75" customHeight="1">
      <c r="D1385" s="177"/>
    </row>
    <row r="1386" ht="15.75" customHeight="1">
      <c r="D1386" s="177"/>
    </row>
    <row r="1387" ht="15.75" customHeight="1">
      <c r="D1387" s="177"/>
    </row>
    <row r="1388" ht="15.75" customHeight="1">
      <c r="D1388" s="177"/>
    </row>
    <row r="1389" ht="15.75" customHeight="1">
      <c r="D1389" s="177"/>
    </row>
    <row r="1390" ht="15.75" customHeight="1">
      <c r="D1390" s="177"/>
    </row>
    <row r="1391" ht="15.75" customHeight="1">
      <c r="D1391" s="177"/>
    </row>
    <row r="1392" ht="15.75" customHeight="1">
      <c r="D1392" s="177"/>
    </row>
    <row r="1393" ht="15.75" customHeight="1">
      <c r="D1393" s="177"/>
    </row>
    <row r="1394" ht="15.75" customHeight="1">
      <c r="D1394" s="177"/>
    </row>
    <row r="1395" ht="15.75" customHeight="1">
      <c r="D1395" s="177"/>
    </row>
    <row r="1396" ht="15.75" customHeight="1">
      <c r="D1396" s="177"/>
    </row>
    <row r="1397" ht="15.75" customHeight="1">
      <c r="D1397" s="177"/>
    </row>
    <row r="1398" ht="15.75" customHeight="1">
      <c r="D1398" s="177"/>
    </row>
    <row r="1399" ht="15.75" customHeight="1">
      <c r="D1399" s="177"/>
    </row>
    <row r="1400" ht="15.75" customHeight="1">
      <c r="D1400" s="177"/>
    </row>
    <row r="1401" ht="15.75" customHeight="1">
      <c r="D1401" s="177"/>
    </row>
    <row r="1402" ht="15.75" customHeight="1">
      <c r="D1402" s="177"/>
    </row>
    <row r="1403" ht="15.75" customHeight="1">
      <c r="D1403" s="177"/>
    </row>
    <row r="1404" ht="15.75" customHeight="1">
      <c r="D1404" s="177"/>
    </row>
    <row r="1405" ht="15.75" customHeight="1">
      <c r="D1405" s="177"/>
    </row>
    <row r="1406" ht="15.75" customHeight="1">
      <c r="D1406" s="177"/>
    </row>
    <row r="1407" ht="15.75" customHeight="1">
      <c r="D1407" s="177"/>
    </row>
    <row r="1408" ht="15.75" customHeight="1">
      <c r="D1408" s="177"/>
    </row>
    <row r="1409" ht="15.75" customHeight="1">
      <c r="D1409" s="177"/>
    </row>
    <row r="1410" ht="15.75" customHeight="1">
      <c r="D1410" s="177"/>
    </row>
    <row r="1411" ht="15.75" customHeight="1">
      <c r="D1411" s="177"/>
    </row>
    <row r="1412" ht="15.75" customHeight="1">
      <c r="D1412" s="177"/>
    </row>
    <row r="1413" ht="15.75" customHeight="1">
      <c r="D1413" s="177"/>
    </row>
    <row r="1414" ht="15.75" customHeight="1">
      <c r="D1414" s="177"/>
    </row>
    <row r="1415" ht="15.75" customHeight="1">
      <c r="D1415" s="177"/>
    </row>
    <row r="1416" ht="15.75" customHeight="1">
      <c r="D1416" s="177"/>
    </row>
    <row r="1417" ht="15.75" customHeight="1">
      <c r="D1417" s="177"/>
    </row>
    <row r="1418" ht="15.75" customHeight="1">
      <c r="D1418" s="177"/>
    </row>
    <row r="1419" ht="15.75" customHeight="1">
      <c r="D1419" s="177"/>
    </row>
    <row r="1420" ht="15.75" customHeight="1">
      <c r="D1420" s="177"/>
    </row>
    <row r="1421" ht="15.75" customHeight="1">
      <c r="D1421" s="177"/>
    </row>
    <row r="1422" ht="15.75" customHeight="1">
      <c r="D1422" s="177"/>
    </row>
    <row r="1423" ht="15.75" customHeight="1">
      <c r="D1423" s="177"/>
    </row>
    <row r="1424" ht="15.75" customHeight="1">
      <c r="D1424" s="177"/>
    </row>
    <row r="1425" ht="15.75" customHeight="1">
      <c r="D1425" s="177"/>
    </row>
    <row r="1426" ht="15.75" customHeight="1">
      <c r="D1426" s="177"/>
    </row>
    <row r="1427" ht="15.75" customHeight="1">
      <c r="D1427" s="177"/>
    </row>
    <row r="1428" ht="15.75" customHeight="1">
      <c r="D1428" s="177"/>
    </row>
    <row r="1429" ht="15.75" customHeight="1">
      <c r="D1429" s="177"/>
    </row>
    <row r="1430" ht="15.75" customHeight="1">
      <c r="D1430" s="177"/>
    </row>
    <row r="1431" ht="15.75" customHeight="1">
      <c r="D1431" s="177"/>
    </row>
    <row r="1432" ht="15.75" customHeight="1">
      <c r="D1432" s="177"/>
    </row>
    <row r="1433" ht="15.75" customHeight="1">
      <c r="D1433" s="177"/>
    </row>
    <row r="1434" ht="15.75" customHeight="1">
      <c r="D1434" s="177"/>
    </row>
    <row r="1435" ht="15.75" customHeight="1">
      <c r="D1435" s="177"/>
    </row>
    <row r="1436" ht="15.75" customHeight="1">
      <c r="D1436" s="177"/>
    </row>
    <row r="1437" ht="15.75" customHeight="1">
      <c r="D1437" s="177"/>
    </row>
    <row r="1438" ht="15.75" customHeight="1">
      <c r="D1438" s="177"/>
    </row>
    <row r="1439" ht="15.75" customHeight="1">
      <c r="D1439" s="177"/>
    </row>
    <row r="1440" ht="15.75" customHeight="1">
      <c r="D1440" s="177"/>
    </row>
    <row r="1441" ht="15.75" customHeight="1">
      <c r="D1441" s="177"/>
    </row>
    <row r="1442" ht="15.75" customHeight="1">
      <c r="D1442" s="177"/>
    </row>
    <row r="1443" ht="15.75" customHeight="1">
      <c r="D1443" s="177"/>
    </row>
    <row r="1444" ht="15.75" customHeight="1">
      <c r="D1444" s="177"/>
    </row>
    <row r="1445" ht="15.75" customHeight="1">
      <c r="D1445" s="177"/>
    </row>
    <row r="1446" ht="15.75" customHeight="1">
      <c r="D1446" s="177"/>
    </row>
    <row r="1447" ht="15.75" customHeight="1">
      <c r="D1447" s="177"/>
    </row>
    <row r="1448" ht="15.75" customHeight="1">
      <c r="D1448" s="177"/>
    </row>
    <row r="1449" ht="15.75" customHeight="1">
      <c r="D1449" s="177"/>
    </row>
    <row r="1450" ht="15.75" customHeight="1">
      <c r="D1450" s="177"/>
    </row>
    <row r="1451" ht="15.75" customHeight="1">
      <c r="D1451" s="177"/>
    </row>
    <row r="1452" ht="15.75" customHeight="1">
      <c r="D1452" s="177"/>
    </row>
    <row r="1453" ht="15.75" customHeight="1">
      <c r="D1453" s="177"/>
    </row>
    <row r="1454" ht="15.75" customHeight="1">
      <c r="D1454" s="177"/>
    </row>
    <row r="1455" ht="15.75" customHeight="1">
      <c r="D1455" s="177"/>
    </row>
    <row r="1456" ht="15.75" customHeight="1">
      <c r="D1456" s="177"/>
    </row>
    <row r="1457" ht="15.75" customHeight="1">
      <c r="D1457" s="177"/>
    </row>
    <row r="1458" ht="15.75" customHeight="1">
      <c r="D1458" s="177"/>
    </row>
    <row r="1459" ht="15.75" customHeight="1">
      <c r="D1459" s="177"/>
    </row>
    <row r="1460" ht="15.75" customHeight="1">
      <c r="D1460" s="177"/>
    </row>
    <row r="1461" ht="15.75" customHeight="1">
      <c r="D1461" s="177"/>
    </row>
    <row r="1462" ht="15.75" customHeight="1">
      <c r="D1462" s="177"/>
    </row>
    <row r="1463" ht="15.75" customHeight="1">
      <c r="D1463" s="177"/>
    </row>
    <row r="1464" ht="15.75" customHeight="1">
      <c r="D1464" s="177"/>
    </row>
    <row r="1465" ht="15.75" customHeight="1">
      <c r="D1465" s="177"/>
    </row>
    <row r="1466" ht="15.75" customHeight="1">
      <c r="D1466" s="177"/>
    </row>
    <row r="1467" ht="15.75" customHeight="1">
      <c r="D1467" s="177"/>
    </row>
    <row r="1468" ht="15.75" customHeight="1">
      <c r="D1468" s="177"/>
    </row>
    <row r="1469" ht="15.75" customHeight="1">
      <c r="D1469" s="177"/>
    </row>
    <row r="1470" ht="15.75" customHeight="1">
      <c r="D1470" s="177"/>
    </row>
    <row r="1471" ht="15.75" customHeight="1">
      <c r="D1471" s="177"/>
    </row>
    <row r="1472" ht="15.75" customHeight="1">
      <c r="D1472" s="177"/>
    </row>
    <row r="1473" ht="15.75" customHeight="1">
      <c r="D1473" s="177"/>
    </row>
    <row r="1474" ht="15.75" customHeight="1">
      <c r="D1474" s="177"/>
    </row>
    <row r="1475" ht="15.75" customHeight="1">
      <c r="D1475" s="177"/>
    </row>
    <row r="1476" ht="15.75" customHeight="1">
      <c r="D1476" s="177"/>
    </row>
    <row r="1477" ht="15.75" customHeight="1">
      <c r="D1477" s="177"/>
    </row>
    <row r="1478" ht="15.75" customHeight="1">
      <c r="D1478" s="177"/>
    </row>
    <row r="1479" ht="15.75" customHeight="1">
      <c r="D1479" s="177"/>
    </row>
    <row r="1480" ht="15.75" customHeight="1">
      <c r="D1480" s="177"/>
    </row>
    <row r="1481" ht="15.75" customHeight="1">
      <c r="D1481" s="177"/>
    </row>
    <row r="1482" ht="15.75" customHeight="1">
      <c r="D1482" s="177"/>
    </row>
    <row r="1483" ht="15.75" customHeight="1">
      <c r="D1483" s="177"/>
    </row>
    <row r="1484" ht="15.75" customHeight="1">
      <c r="D1484" s="177"/>
    </row>
    <row r="1485" ht="15.75" customHeight="1">
      <c r="D1485" s="177"/>
    </row>
    <row r="1486" ht="15.75" customHeight="1">
      <c r="D1486" s="177"/>
    </row>
    <row r="1487" ht="15.75" customHeight="1">
      <c r="D1487" s="177"/>
    </row>
    <row r="1488" ht="15.75" customHeight="1">
      <c r="D1488" s="177"/>
    </row>
    <row r="1489" ht="15.75" customHeight="1">
      <c r="D1489" s="177"/>
    </row>
    <row r="1490" ht="15.75" customHeight="1">
      <c r="D1490" s="177"/>
    </row>
    <row r="1491" ht="15.75" customHeight="1">
      <c r="D1491" s="177"/>
    </row>
    <row r="1492" ht="15.75" customHeight="1">
      <c r="D1492" s="177"/>
    </row>
    <row r="1493" ht="15.75" customHeight="1">
      <c r="D1493" s="177"/>
    </row>
    <row r="1494" ht="15.75" customHeight="1">
      <c r="D1494" s="177"/>
    </row>
    <row r="1495" ht="15.75" customHeight="1">
      <c r="D1495" s="177"/>
    </row>
    <row r="1496" ht="15.75" customHeight="1">
      <c r="D1496" s="177"/>
    </row>
    <row r="1497" ht="15.75" customHeight="1">
      <c r="D1497" s="177"/>
    </row>
    <row r="1498" ht="15.75" customHeight="1">
      <c r="D1498" s="177"/>
    </row>
    <row r="1499" ht="15.75" customHeight="1">
      <c r="D1499" s="177"/>
    </row>
    <row r="1500" ht="15.75" customHeight="1">
      <c r="D1500" s="177"/>
    </row>
    <row r="1501" ht="15.75" customHeight="1">
      <c r="D1501" s="177"/>
    </row>
    <row r="1502" ht="15.75" customHeight="1">
      <c r="D1502" s="177"/>
    </row>
    <row r="1503" ht="15.75" customHeight="1">
      <c r="D1503" s="177"/>
    </row>
    <row r="1504" ht="15.75" customHeight="1">
      <c r="D1504" s="177"/>
    </row>
    <row r="1505" ht="15.75" customHeight="1">
      <c r="D1505" s="177"/>
    </row>
    <row r="1506" ht="15.75" customHeight="1">
      <c r="D1506" s="177"/>
    </row>
    <row r="1507" ht="15.75" customHeight="1">
      <c r="D1507" s="177"/>
    </row>
    <row r="1508" ht="15.75" customHeight="1">
      <c r="D1508" s="177"/>
    </row>
    <row r="1509" ht="15.75" customHeight="1">
      <c r="D1509" s="177"/>
    </row>
    <row r="1510" ht="15.75" customHeight="1">
      <c r="D1510" s="177"/>
    </row>
    <row r="1511" ht="15.75" customHeight="1">
      <c r="D1511" s="177"/>
    </row>
    <row r="1512" ht="15.75" customHeight="1">
      <c r="D1512" s="177"/>
    </row>
    <row r="1513" ht="15.75" customHeight="1">
      <c r="D1513" s="177"/>
    </row>
    <row r="1514" ht="15.75" customHeight="1">
      <c r="D1514" s="177"/>
    </row>
    <row r="1515" ht="15.75" customHeight="1">
      <c r="D1515" s="177"/>
    </row>
    <row r="1516" ht="15.75" customHeight="1">
      <c r="D1516" s="177"/>
    </row>
    <row r="1517" ht="15.75" customHeight="1">
      <c r="D1517" s="177"/>
    </row>
    <row r="1518" ht="15.75" customHeight="1">
      <c r="D1518" s="177"/>
    </row>
    <row r="1519" ht="15.75" customHeight="1">
      <c r="D1519" s="177"/>
    </row>
    <row r="1520" ht="15.75" customHeight="1">
      <c r="D1520" s="177"/>
    </row>
    <row r="1521" ht="15.75" customHeight="1">
      <c r="D1521" s="177"/>
    </row>
    <row r="1522" ht="15.75" customHeight="1">
      <c r="D1522" s="177"/>
    </row>
    <row r="1523" ht="15.75" customHeight="1">
      <c r="D1523" s="177"/>
    </row>
    <row r="1524" ht="15.75" customHeight="1">
      <c r="D1524" s="177"/>
    </row>
    <row r="1525" ht="15.75" customHeight="1">
      <c r="D1525" s="177"/>
    </row>
    <row r="1526" ht="15.75" customHeight="1">
      <c r="D1526" s="177"/>
    </row>
    <row r="1527" ht="15.75" customHeight="1">
      <c r="D1527" s="177"/>
    </row>
    <row r="1528" ht="15.75" customHeight="1">
      <c r="D1528" s="177"/>
    </row>
    <row r="1529" ht="15.75" customHeight="1">
      <c r="D1529" s="177"/>
    </row>
    <row r="1530" ht="15.75" customHeight="1">
      <c r="D1530" s="177"/>
    </row>
    <row r="1531" ht="15.75" customHeight="1">
      <c r="D1531" s="177"/>
    </row>
    <row r="1532" ht="15.75" customHeight="1">
      <c r="D1532" s="177"/>
    </row>
    <row r="1533" ht="15.75" customHeight="1">
      <c r="D1533" s="177"/>
    </row>
    <row r="1534" ht="15.75" customHeight="1">
      <c r="D1534" s="177"/>
    </row>
    <row r="1535" ht="15.75" customHeight="1">
      <c r="D1535" s="177"/>
    </row>
    <row r="1536" ht="15.75" customHeight="1">
      <c r="D1536" s="177"/>
    </row>
    <row r="1537" ht="15.75" customHeight="1">
      <c r="D1537" s="177"/>
    </row>
    <row r="1538" ht="15.75" customHeight="1">
      <c r="D1538" s="177"/>
    </row>
    <row r="1539" ht="15.75" customHeight="1">
      <c r="D1539" s="177"/>
    </row>
    <row r="1540" ht="15.75" customHeight="1">
      <c r="D1540" s="177"/>
    </row>
    <row r="1541" ht="15.75" customHeight="1">
      <c r="D1541" s="177"/>
    </row>
    <row r="1542" ht="15.75" customHeight="1">
      <c r="D1542" s="177"/>
    </row>
    <row r="1543" ht="15.75" customHeight="1">
      <c r="D1543" s="177"/>
    </row>
    <row r="1544" ht="15.75" customHeight="1">
      <c r="D1544" s="177"/>
    </row>
    <row r="1545" ht="15.75" customHeight="1">
      <c r="D1545" s="177"/>
    </row>
    <row r="1546" ht="15.75" customHeight="1">
      <c r="D1546" s="177"/>
    </row>
    <row r="1547" ht="15.75" customHeight="1">
      <c r="D1547" s="177"/>
    </row>
    <row r="1548" ht="15.75" customHeight="1">
      <c r="D1548" s="177"/>
    </row>
    <row r="1549" ht="15.75" customHeight="1">
      <c r="D1549" s="177"/>
    </row>
    <row r="1550" ht="15.75" customHeight="1">
      <c r="D1550" s="177"/>
    </row>
    <row r="1551" ht="15.75" customHeight="1">
      <c r="D1551" s="177"/>
    </row>
    <row r="1552" ht="15.75" customHeight="1">
      <c r="D1552" s="177"/>
    </row>
    <row r="1553" ht="15.75" customHeight="1">
      <c r="D1553" s="177"/>
    </row>
    <row r="1554" ht="15.75" customHeight="1">
      <c r="D1554" s="177"/>
    </row>
    <row r="1555" ht="15.75" customHeight="1">
      <c r="D1555" s="177"/>
    </row>
    <row r="1556" ht="15.75" customHeight="1">
      <c r="D1556" s="177"/>
    </row>
    <row r="1557" ht="15.75" customHeight="1">
      <c r="D1557" s="177"/>
    </row>
    <row r="1558" ht="15.75" customHeight="1">
      <c r="D1558" s="177"/>
    </row>
    <row r="1559" ht="15.75" customHeight="1">
      <c r="D1559" s="177"/>
    </row>
    <row r="1560" ht="15.75" customHeight="1">
      <c r="D1560" s="177"/>
    </row>
    <row r="1561" ht="15.75" customHeight="1">
      <c r="D1561" s="177"/>
    </row>
    <row r="1562" ht="15.75" customHeight="1">
      <c r="D1562" s="177"/>
    </row>
    <row r="1563" ht="15.75" customHeight="1">
      <c r="D1563" s="177"/>
    </row>
    <row r="1564" ht="15.75" customHeight="1">
      <c r="D1564" s="177"/>
    </row>
    <row r="1565" ht="15.75" customHeight="1">
      <c r="D1565" s="177"/>
    </row>
    <row r="1566" ht="15.75" customHeight="1">
      <c r="D1566" s="177"/>
    </row>
    <row r="1567" ht="15.75" customHeight="1">
      <c r="D1567" s="177"/>
    </row>
    <row r="1568" ht="15.75" customHeight="1">
      <c r="D1568" s="177"/>
    </row>
    <row r="1569" ht="15.75" customHeight="1">
      <c r="D1569" s="177"/>
    </row>
    <row r="1570" ht="15.75" customHeight="1">
      <c r="D1570" s="177"/>
    </row>
    <row r="1571" ht="15.75" customHeight="1">
      <c r="D1571" s="177"/>
    </row>
    <row r="1572" ht="15.75" customHeight="1">
      <c r="D1572" s="177"/>
    </row>
    <row r="1573" ht="15.75" customHeight="1">
      <c r="D1573" s="177"/>
    </row>
    <row r="1574" ht="15.75" customHeight="1">
      <c r="D1574" s="177"/>
    </row>
    <row r="1575" ht="15.75" customHeight="1">
      <c r="D1575" s="177"/>
    </row>
    <row r="1576" ht="15.75" customHeight="1">
      <c r="D1576" s="177"/>
    </row>
    <row r="1577" ht="15.75" customHeight="1">
      <c r="D1577" s="177"/>
    </row>
    <row r="1578" ht="15.75" customHeight="1">
      <c r="D1578" s="177"/>
    </row>
    <row r="1579" ht="15.75" customHeight="1">
      <c r="D1579" s="177"/>
    </row>
    <row r="1580" ht="15.75" customHeight="1">
      <c r="D1580" s="177"/>
    </row>
    <row r="1581" ht="15.75" customHeight="1">
      <c r="D1581" s="177"/>
    </row>
    <row r="1582" ht="15.75" customHeight="1">
      <c r="D1582" s="177"/>
    </row>
    <row r="1583" ht="15.75" customHeight="1">
      <c r="D1583" s="177"/>
    </row>
    <row r="1584" ht="15.75" customHeight="1">
      <c r="D1584" s="177"/>
    </row>
    <row r="1585" ht="15.75" customHeight="1">
      <c r="D1585" s="177"/>
    </row>
    <row r="1586" ht="15.75" customHeight="1">
      <c r="D1586" s="177"/>
    </row>
    <row r="1587" ht="15.75" customHeight="1">
      <c r="D1587" s="177"/>
    </row>
    <row r="1588" ht="15.75" customHeight="1">
      <c r="D1588" s="177"/>
    </row>
    <row r="1589" ht="15.75" customHeight="1">
      <c r="D1589" s="177"/>
    </row>
    <row r="1590" ht="15.75" customHeight="1">
      <c r="D1590" s="177"/>
    </row>
    <row r="1591" ht="15.75" customHeight="1">
      <c r="D1591" s="177"/>
    </row>
    <row r="1592" ht="15.75" customHeight="1">
      <c r="D1592" s="177"/>
    </row>
    <row r="1593" ht="15.75" customHeight="1">
      <c r="D1593" s="177"/>
    </row>
    <row r="1594" ht="15.75" customHeight="1">
      <c r="D1594" s="177"/>
    </row>
    <row r="1595" ht="15.75" customHeight="1">
      <c r="D1595" s="177"/>
    </row>
    <row r="1596" ht="15.75" customHeight="1">
      <c r="D1596" s="177"/>
    </row>
    <row r="1597" ht="15.75" customHeight="1">
      <c r="D1597" s="177"/>
    </row>
    <row r="1598" ht="15.75" customHeight="1">
      <c r="D1598" s="177"/>
    </row>
    <row r="1599" ht="15.75" customHeight="1">
      <c r="D1599" s="177"/>
    </row>
    <row r="1600" ht="15.75" customHeight="1">
      <c r="D1600" s="177"/>
    </row>
    <row r="1601" ht="15.75" customHeight="1">
      <c r="D1601" s="177"/>
    </row>
    <row r="1602" ht="15.75" customHeight="1">
      <c r="D1602" s="177"/>
    </row>
    <row r="1603" ht="15.75" customHeight="1">
      <c r="D1603" s="177"/>
    </row>
    <row r="1604" ht="15.75" customHeight="1">
      <c r="D1604" s="177"/>
    </row>
    <row r="1605" ht="15.75" customHeight="1">
      <c r="D1605" s="177"/>
    </row>
    <row r="1606" ht="15.75" customHeight="1">
      <c r="D1606" s="177"/>
    </row>
    <row r="1607" ht="15.75" customHeight="1">
      <c r="D1607" s="177"/>
    </row>
    <row r="1608" ht="15.75" customHeight="1">
      <c r="D1608" s="177"/>
    </row>
    <row r="1609" ht="15.75" customHeight="1">
      <c r="D1609" s="177"/>
    </row>
    <row r="1610" ht="15.75" customHeight="1">
      <c r="D1610" s="177"/>
    </row>
    <row r="1611" ht="15.75" customHeight="1">
      <c r="D1611" s="177"/>
    </row>
    <row r="1612" ht="15.75" customHeight="1">
      <c r="D1612" s="177"/>
    </row>
    <row r="1613" ht="15.75" customHeight="1">
      <c r="D1613" s="177"/>
    </row>
    <row r="1614" ht="15.75" customHeight="1">
      <c r="D1614" s="177"/>
    </row>
    <row r="1615" ht="15.75" customHeight="1">
      <c r="D1615" s="177"/>
    </row>
    <row r="1616" ht="15.75" customHeight="1">
      <c r="D1616" s="177"/>
    </row>
    <row r="1617" ht="15.75" customHeight="1">
      <c r="D1617" s="177"/>
    </row>
    <row r="1618" ht="15.75" customHeight="1">
      <c r="D1618" s="177"/>
    </row>
    <row r="1619" ht="15.75" customHeight="1">
      <c r="D1619" s="177"/>
    </row>
    <row r="1620" ht="15.75" customHeight="1">
      <c r="D1620" s="177"/>
    </row>
    <row r="1621" ht="15.75" customHeight="1">
      <c r="D1621" s="177"/>
    </row>
    <row r="1622" ht="15.75" customHeight="1">
      <c r="D1622" s="177"/>
    </row>
    <row r="1623" ht="15.75" customHeight="1">
      <c r="D1623" s="177"/>
    </row>
    <row r="1624" ht="15.75" customHeight="1">
      <c r="D1624" s="177"/>
    </row>
    <row r="1625" ht="15.75" customHeight="1">
      <c r="D1625" s="177"/>
    </row>
    <row r="1626" ht="15.75" customHeight="1">
      <c r="D1626" s="177"/>
    </row>
    <row r="1627" ht="15.75" customHeight="1">
      <c r="D1627" s="177"/>
    </row>
    <row r="1628" ht="15.75" customHeight="1">
      <c r="D1628" s="177"/>
    </row>
    <row r="1629" ht="15.75" customHeight="1">
      <c r="D1629" s="177"/>
    </row>
    <row r="1630" ht="15.75" customHeight="1">
      <c r="D1630" s="177"/>
    </row>
    <row r="1631" ht="15.75" customHeight="1">
      <c r="D1631" s="177"/>
    </row>
    <row r="1632" ht="15.75" customHeight="1">
      <c r="D1632" s="177"/>
    </row>
    <row r="1633" ht="15.75" customHeight="1">
      <c r="D1633" s="177"/>
    </row>
    <row r="1634" ht="15.75" customHeight="1">
      <c r="D1634" s="177"/>
    </row>
    <row r="1635" ht="15.75" customHeight="1">
      <c r="D1635" s="177"/>
    </row>
    <row r="1636" ht="15.75" customHeight="1">
      <c r="D1636" s="177"/>
    </row>
    <row r="1637" ht="15.75" customHeight="1">
      <c r="D1637" s="177"/>
    </row>
    <row r="1638" ht="15.75" customHeight="1">
      <c r="D1638" s="177"/>
    </row>
    <row r="1639" ht="15.75" customHeight="1">
      <c r="D1639" s="177"/>
    </row>
    <row r="1640" ht="15.75" customHeight="1">
      <c r="D1640" s="177"/>
    </row>
    <row r="1641" ht="15.75" customHeight="1">
      <c r="D1641" s="177"/>
    </row>
    <row r="1642" ht="15.75" customHeight="1">
      <c r="D1642" s="177"/>
    </row>
    <row r="1643" ht="15.75" customHeight="1">
      <c r="D1643" s="177"/>
    </row>
    <row r="1644" ht="15.75" customHeight="1">
      <c r="D1644" s="177"/>
    </row>
    <row r="1645" ht="15.75" customHeight="1">
      <c r="D1645" s="177"/>
    </row>
    <row r="1646" ht="15.75" customHeight="1">
      <c r="D1646" s="177"/>
    </row>
    <row r="1647" ht="15.75" customHeight="1">
      <c r="D1647" s="177"/>
    </row>
    <row r="1648" ht="15.75" customHeight="1">
      <c r="D1648" s="177"/>
    </row>
    <row r="1649" ht="15.75" customHeight="1">
      <c r="D1649" s="177"/>
    </row>
    <row r="1650" ht="15.75" customHeight="1">
      <c r="D1650" s="177"/>
    </row>
    <row r="1651" ht="15.75" customHeight="1">
      <c r="D1651" s="177"/>
    </row>
    <row r="1652" ht="15.75" customHeight="1">
      <c r="D1652" s="177"/>
    </row>
    <row r="1653" ht="15.75" customHeight="1">
      <c r="D1653" s="177"/>
    </row>
    <row r="1654" ht="15.75" customHeight="1">
      <c r="D1654" s="177"/>
    </row>
    <row r="1655" ht="15.75" customHeight="1">
      <c r="D1655" s="177"/>
    </row>
    <row r="1656" ht="15.75" customHeight="1">
      <c r="D1656" s="177"/>
    </row>
    <row r="1657" ht="15.75" customHeight="1">
      <c r="D1657" s="177"/>
    </row>
    <row r="1658" ht="15.75" customHeight="1">
      <c r="D1658" s="177"/>
    </row>
    <row r="1659" ht="15.75" customHeight="1">
      <c r="D1659" s="177"/>
    </row>
    <row r="1660" ht="15.75" customHeight="1">
      <c r="D1660" s="177"/>
    </row>
    <row r="1661" ht="15.75" customHeight="1">
      <c r="D1661" s="177"/>
    </row>
    <row r="1662" ht="15.75" customHeight="1">
      <c r="D1662" s="177"/>
    </row>
    <row r="1663" ht="15.75" customHeight="1">
      <c r="D1663" s="177"/>
    </row>
    <row r="1664" ht="15.75" customHeight="1">
      <c r="D1664" s="177"/>
    </row>
    <row r="1665" ht="15.75" customHeight="1">
      <c r="D1665" s="177"/>
    </row>
    <row r="1666" ht="15.75" customHeight="1">
      <c r="D1666" s="177"/>
    </row>
    <row r="1667" ht="15.75" customHeight="1">
      <c r="D1667" s="177"/>
    </row>
    <row r="1668" ht="15.75" customHeight="1">
      <c r="D1668" s="177"/>
    </row>
    <row r="1669" ht="15.75" customHeight="1">
      <c r="D1669" s="177"/>
    </row>
    <row r="1670" ht="15.75" customHeight="1">
      <c r="D1670" s="177"/>
    </row>
    <row r="1671" ht="15.75" customHeight="1">
      <c r="D1671" s="177"/>
    </row>
    <row r="1672" ht="15.75" customHeight="1">
      <c r="D1672" s="177"/>
    </row>
    <row r="1673" ht="15.75" customHeight="1">
      <c r="D1673" s="177"/>
    </row>
    <row r="1674" ht="15.75" customHeight="1">
      <c r="D1674" s="177"/>
    </row>
    <row r="1675" ht="15.75" customHeight="1">
      <c r="D1675" s="177"/>
    </row>
    <row r="1676" ht="15.75" customHeight="1">
      <c r="D1676" s="177"/>
    </row>
    <row r="1677" ht="15.75" customHeight="1">
      <c r="D1677" s="177"/>
    </row>
    <row r="1678" ht="15.75" customHeight="1">
      <c r="D1678" s="177"/>
    </row>
    <row r="1679" ht="15.75" customHeight="1">
      <c r="D1679" s="177"/>
    </row>
    <row r="1680" ht="15.75" customHeight="1">
      <c r="D1680" s="177"/>
    </row>
    <row r="1681" ht="15.75" customHeight="1">
      <c r="D1681" s="177"/>
    </row>
    <row r="1682" ht="15.75" customHeight="1">
      <c r="D1682" s="177"/>
    </row>
    <row r="1683" ht="15.75" customHeight="1">
      <c r="D1683" s="177"/>
    </row>
    <row r="1684" ht="15.75" customHeight="1">
      <c r="D1684" s="177"/>
    </row>
    <row r="1685" ht="15.75" customHeight="1">
      <c r="D1685" s="177"/>
    </row>
    <row r="1686" ht="15.75" customHeight="1">
      <c r="D1686" s="177"/>
    </row>
    <row r="1687" ht="15.75" customHeight="1">
      <c r="D1687" s="177"/>
    </row>
    <row r="1688" ht="15.75" customHeight="1">
      <c r="D1688" s="177"/>
    </row>
    <row r="1689" ht="15.75" customHeight="1">
      <c r="D1689" s="177"/>
    </row>
    <row r="1690" ht="15.75" customHeight="1">
      <c r="D1690" s="177"/>
    </row>
    <row r="1691" ht="15.75" customHeight="1">
      <c r="D1691" s="177"/>
    </row>
    <row r="1692" ht="15.75" customHeight="1">
      <c r="D1692" s="177"/>
    </row>
    <row r="1693" ht="15.75" customHeight="1">
      <c r="D1693" s="177"/>
    </row>
    <row r="1694" ht="15.75" customHeight="1">
      <c r="D1694" s="177"/>
    </row>
    <row r="1695" ht="15.75" customHeight="1">
      <c r="D1695" s="177"/>
    </row>
    <row r="1696" ht="15.75" customHeight="1">
      <c r="D1696" s="177"/>
    </row>
    <row r="1697" ht="15.75" customHeight="1">
      <c r="D1697" s="177"/>
    </row>
    <row r="1698" ht="15.75" customHeight="1">
      <c r="D1698" s="177"/>
    </row>
    <row r="1699" ht="15.75" customHeight="1">
      <c r="D1699" s="177"/>
    </row>
    <row r="1700" ht="15.75" customHeight="1">
      <c r="D1700" s="177"/>
    </row>
    <row r="1701" ht="15.75" customHeight="1">
      <c r="D1701" s="177"/>
    </row>
    <row r="1702" ht="15.75" customHeight="1">
      <c r="D1702" s="177"/>
    </row>
    <row r="1703" ht="15.75" customHeight="1">
      <c r="D1703" s="177"/>
    </row>
    <row r="1704" ht="15.75" customHeight="1">
      <c r="D1704" s="177"/>
    </row>
    <row r="1705" ht="15.75" customHeight="1">
      <c r="D1705" s="177"/>
    </row>
    <row r="1706" ht="15.75" customHeight="1">
      <c r="D1706" s="177"/>
    </row>
    <row r="1707" ht="15.75" customHeight="1">
      <c r="D1707" s="177"/>
    </row>
    <row r="1708" ht="15.75" customHeight="1">
      <c r="D1708" s="177"/>
    </row>
    <row r="1709" ht="15.75" customHeight="1">
      <c r="D1709" s="177"/>
    </row>
    <row r="1710" ht="15.75" customHeight="1">
      <c r="D1710" s="177"/>
    </row>
    <row r="1711" ht="15.75" customHeight="1">
      <c r="D1711" s="177"/>
    </row>
    <row r="1712" ht="15.75" customHeight="1">
      <c r="D1712" s="177"/>
    </row>
    <row r="1713" ht="15.75" customHeight="1">
      <c r="D1713" s="177"/>
    </row>
    <row r="1714" ht="15.75" customHeight="1">
      <c r="D1714" s="177"/>
    </row>
    <row r="1715" ht="15.75" customHeight="1">
      <c r="D1715" s="177"/>
    </row>
    <row r="1716" ht="15.75" customHeight="1">
      <c r="D1716" s="177"/>
    </row>
    <row r="1717" ht="15.75" customHeight="1">
      <c r="D1717" s="177"/>
    </row>
    <row r="1718" ht="15.75" customHeight="1">
      <c r="D1718" s="177"/>
    </row>
    <row r="1719" ht="15.75" customHeight="1">
      <c r="D1719" s="177"/>
    </row>
    <row r="1720" ht="15.75" customHeight="1">
      <c r="D1720" s="177"/>
    </row>
    <row r="1721" ht="15.75" customHeight="1">
      <c r="D1721" s="177"/>
    </row>
    <row r="1722" ht="15.75" customHeight="1">
      <c r="D1722" s="177"/>
    </row>
    <row r="1723" ht="15.75" customHeight="1">
      <c r="D1723" s="177"/>
    </row>
    <row r="1724" ht="15.75" customHeight="1">
      <c r="D1724" s="177"/>
    </row>
    <row r="1725" ht="15.75" customHeight="1">
      <c r="D1725" s="177"/>
    </row>
    <row r="1726" ht="15.75" customHeight="1">
      <c r="D1726" s="177"/>
    </row>
    <row r="1727" ht="15.75" customHeight="1">
      <c r="D1727" s="177"/>
    </row>
    <row r="1728" ht="15.75" customHeight="1">
      <c r="D1728" s="177"/>
    </row>
    <row r="1729" ht="15.75" customHeight="1">
      <c r="D1729" s="177"/>
    </row>
    <row r="1730" ht="15.75" customHeight="1">
      <c r="D1730" s="177"/>
    </row>
    <row r="1731" ht="15.75" customHeight="1">
      <c r="D1731" s="177"/>
    </row>
    <row r="1732" ht="15.75" customHeight="1">
      <c r="D1732" s="177"/>
    </row>
    <row r="1733" ht="15.75" customHeight="1">
      <c r="D1733" s="177"/>
    </row>
    <row r="1734" ht="15.75" customHeight="1">
      <c r="D1734" s="177"/>
    </row>
    <row r="1735" ht="15.75" customHeight="1">
      <c r="D1735" s="177"/>
    </row>
    <row r="1736" ht="15.75" customHeight="1">
      <c r="D1736" s="177"/>
    </row>
    <row r="1737" ht="15.75" customHeight="1">
      <c r="D1737" s="177"/>
    </row>
    <row r="1738" ht="15.75" customHeight="1">
      <c r="D1738" s="177"/>
    </row>
    <row r="1739" ht="15.75" customHeight="1">
      <c r="D1739" s="177"/>
    </row>
    <row r="1740" ht="15.75" customHeight="1">
      <c r="D1740" s="177"/>
    </row>
    <row r="1741" ht="15.75" customHeight="1">
      <c r="D1741" s="177"/>
    </row>
    <row r="1742" ht="15.75" customHeight="1">
      <c r="D1742" s="177"/>
    </row>
    <row r="1743" ht="15.75" customHeight="1">
      <c r="D1743" s="177"/>
    </row>
    <row r="1744" ht="15.75" customHeight="1">
      <c r="D1744" s="177"/>
    </row>
    <row r="1745" ht="15.75" customHeight="1">
      <c r="D1745" s="177"/>
    </row>
    <row r="1746" ht="15.75" customHeight="1">
      <c r="D1746" s="177"/>
    </row>
    <row r="1747" ht="15.75" customHeight="1">
      <c r="D1747" s="177"/>
    </row>
    <row r="1748" ht="15.75" customHeight="1">
      <c r="D1748" s="177"/>
    </row>
    <row r="1749" ht="15.75" customHeight="1">
      <c r="D1749" s="177"/>
    </row>
    <row r="1750" ht="15.75" customHeight="1">
      <c r="D1750" s="177"/>
    </row>
    <row r="1751" ht="15.75" customHeight="1">
      <c r="D1751" s="177"/>
    </row>
    <row r="1752" ht="15.75" customHeight="1">
      <c r="D1752" s="177"/>
    </row>
    <row r="1753" ht="15.75" customHeight="1">
      <c r="D1753" s="177"/>
    </row>
    <row r="1754" ht="15.75" customHeight="1">
      <c r="D1754" s="177"/>
    </row>
    <row r="1755" ht="15.75" customHeight="1">
      <c r="D1755" s="177"/>
    </row>
    <row r="1756" ht="15.75" customHeight="1">
      <c r="D1756" s="177"/>
    </row>
    <row r="1757" ht="15.75" customHeight="1">
      <c r="D1757" s="177"/>
    </row>
    <row r="1758" ht="15.75" customHeight="1">
      <c r="D1758" s="177"/>
    </row>
    <row r="1759" ht="15.75" customHeight="1">
      <c r="D1759" s="177"/>
    </row>
    <row r="1760" ht="15.75" customHeight="1">
      <c r="D1760" s="177"/>
    </row>
    <row r="1761" ht="15.75" customHeight="1">
      <c r="D1761" s="177"/>
    </row>
    <row r="1762" ht="15.75" customHeight="1">
      <c r="D1762" s="177"/>
    </row>
    <row r="1763" ht="15.75" customHeight="1">
      <c r="D1763" s="177"/>
    </row>
    <row r="1764" ht="15.75" customHeight="1">
      <c r="D1764" s="177"/>
    </row>
    <row r="1765" ht="15.75" customHeight="1">
      <c r="D1765" s="177"/>
    </row>
    <row r="1766" ht="15.75" customHeight="1">
      <c r="D1766" s="177"/>
    </row>
    <row r="1767" ht="15.75" customHeight="1">
      <c r="D1767" s="177"/>
    </row>
    <row r="1768" ht="15.75" customHeight="1">
      <c r="D1768" s="177"/>
    </row>
    <row r="1769" ht="15.75" customHeight="1">
      <c r="D1769" s="177"/>
    </row>
    <row r="1770" ht="15.75" customHeight="1">
      <c r="D1770" s="177"/>
    </row>
    <row r="1771" ht="15.75" customHeight="1">
      <c r="D1771" s="177"/>
    </row>
    <row r="1772" ht="15.75" customHeight="1">
      <c r="D1772" s="177"/>
    </row>
    <row r="1773" ht="15.75" customHeight="1">
      <c r="D1773" s="177"/>
    </row>
    <row r="1774" ht="15.75" customHeight="1">
      <c r="D1774" s="177"/>
    </row>
    <row r="1775" ht="15.75" customHeight="1">
      <c r="D1775" s="177"/>
    </row>
    <row r="1776" ht="15.75" customHeight="1">
      <c r="D1776" s="177"/>
    </row>
    <row r="1777" ht="15.75" customHeight="1">
      <c r="D1777" s="177"/>
    </row>
    <row r="1778" ht="15.75" customHeight="1">
      <c r="D1778" s="177"/>
    </row>
    <row r="1779" ht="15.75" customHeight="1">
      <c r="D1779" s="177"/>
    </row>
    <row r="1780" ht="15.75" customHeight="1">
      <c r="D1780" s="177"/>
    </row>
    <row r="1781" ht="15.75" customHeight="1">
      <c r="D1781" s="177"/>
    </row>
    <row r="1782" ht="15.75" customHeight="1">
      <c r="D1782" s="177"/>
    </row>
    <row r="1783" ht="15.75" customHeight="1">
      <c r="D1783" s="177"/>
    </row>
    <row r="1784" ht="15.75" customHeight="1">
      <c r="D1784" s="177"/>
    </row>
    <row r="1785" ht="15.75" customHeight="1">
      <c r="D1785" s="177"/>
    </row>
    <row r="1786" ht="15.75" customHeight="1">
      <c r="D1786" s="177"/>
    </row>
    <row r="1787" ht="15.75" customHeight="1">
      <c r="D1787" s="177"/>
    </row>
    <row r="1788" ht="15.75" customHeight="1">
      <c r="D1788" s="177"/>
    </row>
    <row r="1789" ht="15.75" customHeight="1">
      <c r="D1789" s="177"/>
    </row>
    <row r="1790" ht="15.75" customHeight="1">
      <c r="D1790" s="177"/>
    </row>
    <row r="1791" ht="15.75" customHeight="1">
      <c r="D1791" s="177"/>
    </row>
    <row r="1792" ht="15.75" customHeight="1">
      <c r="D1792" s="177"/>
    </row>
    <row r="1793" ht="15.75" customHeight="1">
      <c r="D1793" s="177"/>
    </row>
    <row r="1794" ht="15.75" customHeight="1">
      <c r="D1794" s="177"/>
    </row>
    <row r="1795" ht="15.75" customHeight="1">
      <c r="D1795" s="177"/>
    </row>
    <row r="1796" ht="15.75" customHeight="1">
      <c r="D1796" s="177"/>
    </row>
    <row r="1797" ht="15.75" customHeight="1">
      <c r="D1797" s="177"/>
    </row>
    <row r="1798" ht="15.75" customHeight="1">
      <c r="D1798" s="177"/>
    </row>
    <row r="1799" ht="15.75" customHeight="1">
      <c r="D1799" s="177"/>
    </row>
    <row r="1800" ht="15.75" customHeight="1">
      <c r="D1800" s="177"/>
    </row>
    <row r="1801" ht="15.75" customHeight="1">
      <c r="D1801" s="177"/>
    </row>
    <row r="1802" ht="15.75" customHeight="1">
      <c r="D1802" s="177"/>
    </row>
    <row r="1803" ht="15.75" customHeight="1">
      <c r="D1803" s="177"/>
    </row>
    <row r="1804" ht="15.75" customHeight="1">
      <c r="D1804" s="177"/>
    </row>
    <row r="1805" ht="15.75" customHeight="1">
      <c r="D1805" s="177"/>
    </row>
    <row r="1806" ht="15.75" customHeight="1">
      <c r="D1806" s="177"/>
    </row>
    <row r="1807" ht="15.75" customHeight="1">
      <c r="D1807" s="177"/>
    </row>
    <row r="1808" ht="15.75" customHeight="1">
      <c r="D1808" s="177"/>
    </row>
    <row r="1809" ht="15.75" customHeight="1">
      <c r="D1809" s="177"/>
    </row>
    <row r="1810" ht="15.75" customHeight="1">
      <c r="D1810" s="177"/>
    </row>
    <row r="1811" ht="15.75" customHeight="1">
      <c r="D1811" s="177"/>
    </row>
    <row r="1812" ht="15.75" customHeight="1">
      <c r="D1812" s="177"/>
    </row>
    <row r="1813" ht="15.75" customHeight="1">
      <c r="D1813" s="177"/>
    </row>
    <row r="1814" ht="15.75" customHeight="1">
      <c r="D1814" s="177"/>
    </row>
    <row r="1815" ht="15.75" customHeight="1">
      <c r="D1815" s="177"/>
    </row>
    <row r="1816" ht="15.75" customHeight="1">
      <c r="D1816" s="177"/>
    </row>
    <row r="1817" ht="15.75" customHeight="1">
      <c r="D1817" s="177"/>
    </row>
    <row r="1818" ht="15.75" customHeight="1">
      <c r="D1818" s="177"/>
    </row>
    <row r="1819" ht="15.75" customHeight="1">
      <c r="D1819" s="177"/>
    </row>
    <row r="1820" ht="15.75" customHeight="1">
      <c r="D1820" s="177"/>
    </row>
    <row r="1821" ht="15.75" customHeight="1">
      <c r="D1821" s="177"/>
    </row>
    <row r="1822" ht="15.75" customHeight="1">
      <c r="D1822" s="177"/>
    </row>
    <row r="1823" ht="15.75" customHeight="1">
      <c r="D1823" s="177"/>
    </row>
    <row r="1824" ht="15.75" customHeight="1">
      <c r="D1824" s="177"/>
    </row>
    <row r="1825" ht="15.75" customHeight="1">
      <c r="D1825" s="177"/>
    </row>
    <row r="1826" ht="15.75" customHeight="1">
      <c r="D1826" s="177"/>
    </row>
    <row r="1827" ht="15.75" customHeight="1">
      <c r="D1827" s="177"/>
    </row>
    <row r="1828" ht="15.75" customHeight="1">
      <c r="D1828" s="177"/>
    </row>
    <row r="1829" ht="15.75" customHeight="1">
      <c r="D1829" s="177"/>
    </row>
    <row r="1830" ht="15.75" customHeight="1">
      <c r="D1830" s="177"/>
    </row>
    <row r="1831" ht="15.75" customHeight="1">
      <c r="D1831" s="177"/>
    </row>
    <row r="1832" ht="15.75" customHeight="1">
      <c r="D1832" s="177"/>
    </row>
    <row r="1833" ht="15.75" customHeight="1">
      <c r="D1833" s="177"/>
    </row>
    <row r="1834" ht="15.75" customHeight="1">
      <c r="D1834" s="177"/>
    </row>
    <row r="1835" ht="15.75" customHeight="1">
      <c r="D1835" s="177"/>
    </row>
    <row r="1836" ht="15.75" customHeight="1">
      <c r="D1836" s="177"/>
    </row>
    <row r="1837" ht="15.75" customHeight="1">
      <c r="D1837" s="177"/>
    </row>
    <row r="1838" ht="15.75" customHeight="1">
      <c r="D1838" s="177"/>
    </row>
    <row r="1839" ht="15.75" customHeight="1">
      <c r="D1839" s="177"/>
    </row>
    <row r="1840" ht="15.75" customHeight="1">
      <c r="D1840" s="177"/>
    </row>
    <row r="1841" ht="15.75" customHeight="1">
      <c r="D1841" s="177"/>
    </row>
    <row r="1842" ht="15.75" customHeight="1">
      <c r="D1842" s="177"/>
    </row>
    <row r="1843" ht="15.75" customHeight="1">
      <c r="D1843" s="177"/>
    </row>
    <row r="1844" ht="15.75" customHeight="1">
      <c r="D1844" s="177"/>
    </row>
    <row r="1845" ht="15.75" customHeight="1">
      <c r="D1845" s="177"/>
    </row>
    <row r="1846" ht="15.75" customHeight="1">
      <c r="D1846" s="177"/>
    </row>
    <row r="1847" ht="15.75" customHeight="1">
      <c r="D1847" s="177"/>
    </row>
    <row r="1848" ht="15.75" customHeight="1">
      <c r="D1848" s="177"/>
    </row>
    <row r="1849" ht="15.75" customHeight="1">
      <c r="D1849" s="177"/>
    </row>
    <row r="1850" ht="15.75" customHeight="1">
      <c r="D1850" s="177"/>
    </row>
    <row r="1851" ht="15.75" customHeight="1">
      <c r="D1851" s="177"/>
    </row>
    <row r="1852" ht="15.75" customHeight="1">
      <c r="D1852" s="177"/>
    </row>
    <row r="1853" ht="15.75" customHeight="1">
      <c r="D1853" s="177"/>
    </row>
    <row r="1854" ht="15.75" customHeight="1">
      <c r="D1854" s="177"/>
    </row>
    <row r="1855" ht="15.75" customHeight="1">
      <c r="D1855" s="177"/>
    </row>
    <row r="1856" ht="15.75" customHeight="1">
      <c r="D1856" s="177"/>
    </row>
    <row r="1857" ht="15.75" customHeight="1">
      <c r="D1857" s="177"/>
    </row>
    <row r="1858" ht="15.75" customHeight="1">
      <c r="D1858" s="177"/>
    </row>
    <row r="1859" ht="15.75" customHeight="1">
      <c r="D1859" s="177"/>
    </row>
    <row r="1860" ht="15.75" customHeight="1">
      <c r="D1860" s="177"/>
    </row>
    <row r="1861" ht="15.75" customHeight="1">
      <c r="D1861" s="177"/>
    </row>
    <row r="1862" ht="15.75" customHeight="1">
      <c r="D1862" s="177"/>
    </row>
    <row r="1863" ht="15.75" customHeight="1">
      <c r="D1863" s="177"/>
    </row>
    <row r="1864" ht="15.75" customHeight="1">
      <c r="D1864" s="177"/>
    </row>
    <row r="1865" ht="15.75" customHeight="1">
      <c r="D1865" s="177"/>
    </row>
    <row r="1866" ht="15.75" customHeight="1">
      <c r="D1866" s="177"/>
    </row>
    <row r="1867" ht="15.75" customHeight="1">
      <c r="D1867" s="177"/>
    </row>
    <row r="1868" ht="15.75" customHeight="1">
      <c r="D1868" s="177"/>
    </row>
    <row r="1869" ht="15.75" customHeight="1">
      <c r="D1869" s="177"/>
    </row>
    <row r="1870" ht="15.75" customHeight="1">
      <c r="D1870" s="177"/>
    </row>
    <row r="1871" ht="15.75" customHeight="1">
      <c r="D1871" s="177"/>
    </row>
    <row r="1872" ht="15.75" customHeight="1">
      <c r="D1872" s="177"/>
    </row>
    <row r="1873" ht="15.75" customHeight="1">
      <c r="D1873" s="177"/>
    </row>
    <row r="1874" ht="15.75" customHeight="1">
      <c r="D1874" s="177"/>
    </row>
    <row r="1875" ht="15.75" customHeight="1">
      <c r="D1875" s="177"/>
    </row>
    <row r="1876" ht="15.75" customHeight="1">
      <c r="D1876" s="177"/>
    </row>
    <row r="1877" ht="15.75" customHeight="1">
      <c r="D1877" s="177"/>
    </row>
    <row r="1878" ht="15.75" customHeight="1">
      <c r="D1878" s="177"/>
    </row>
    <row r="1879" ht="15.75" customHeight="1">
      <c r="D1879" s="177"/>
    </row>
    <row r="1880" ht="15.75" customHeight="1">
      <c r="D1880" s="177"/>
    </row>
    <row r="1881" ht="15.75" customHeight="1">
      <c r="D1881" s="177"/>
    </row>
    <row r="1882" ht="15.75" customHeight="1">
      <c r="D1882" s="177"/>
    </row>
    <row r="1883" ht="15.75" customHeight="1">
      <c r="D1883" s="177"/>
    </row>
    <row r="1884" ht="15.75" customHeight="1">
      <c r="D1884" s="177"/>
    </row>
    <row r="1885" ht="15.75" customHeight="1">
      <c r="D1885" s="177"/>
    </row>
    <row r="1886" ht="15.75" customHeight="1">
      <c r="D1886" s="177"/>
    </row>
    <row r="1887" ht="15.75" customHeight="1">
      <c r="D1887" s="177"/>
    </row>
    <row r="1888" ht="15.75" customHeight="1">
      <c r="D1888" s="177"/>
    </row>
    <row r="1889" ht="15.75" customHeight="1">
      <c r="D1889" s="177"/>
    </row>
    <row r="1890" ht="15.75" customHeight="1">
      <c r="D1890" s="177"/>
    </row>
    <row r="1891" ht="15.75" customHeight="1">
      <c r="D1891" s="177"/>
    </row>
    <row r="1892" ht="15.75" customHeight="1">
      <c r="D1892" s="177"/>
    </row>
    <row r="1893" ht="15.75" customHeight="1">
      <c r="D1893" s="177"/>
    </row>
    <row r="1894" ht="15.75" customHeight="1">
      <c r="D1894" s="177"/>
    </row>
    <row r="1895" ht="15.75" customHeight="1">
      <c r="D1895" s="177"/>
    </row>
    <row r="1896" ht="15.75" customHeight="1">
      <c r="D1896" s="177"/>
    </row>
    <row r="1897" ht="15.75" customHeight="1">
      <c r="D1897" s="177"/>
    </row>
    <row r="1898" ht="15.75" customHeight="1">
      <c r="D1898" s="177"/>
    </row>
    <row r="1899" ht="15.75" customHeight="1">
      <c r="D1899" s="177"/>
    </row>
    <row r="1900" ht="15.75" customHeight="1">
      <c r="D1900" s="177"/>
    </row>
    <row r="1901" ht="15.75" customHeight="1">
      <c r="D1901" s="177"/>
    </row>
    <row r="1902" ht="15.75" customHeight="1">
      <c r="D1902" s="177"/>
    </row>
    <row r="1903" ht="15.75" customHeight="1">
      <c r="D1903" s="177"/>
    </row>
    <row r="1904" ht="15.75" customHeight="1">
      <c r="D1904" s="177"/>
    </row>
    <row r="1905" ht="15.75" customHeight="1">
      <c r="D1905" s="177"/>
    </row>
    <row r="1906" ht="15.75" customHeight="1">
      <c r="D1906" s="177"/>
    </row>
    <row r="1907" ht="15.75" customHeight="1">
      <c r="D1907" s="177"/>
    </row>
    <row r="1908" ht="15.75" customHeight="1">
      <c r="D1908" s="177"/>
    </row>
    <row r="1909" ht="15.75" customHeight="1">
      <c r="D1909" s="177"/>
    </row>
    <row r="1910" ht="15.75" customHeight="1">
      <c r="D1910" s="177"/>
    </row>
    <row r="1911" ht="15.75" customHeight="1">
      <c r="D1911" s="177"/>
    </row>
    <row r="1912" ht="15.75" customHeight="1">
      <c r="D1912" s="177"/>
    </row>
    <row r="1913" ht="15.75" customHeight="1">
      <c r="D1913" s="177"/>
    </row>
    <row r="1914" ht="15.75" customHeight="1">
      <c r="D1914" s="177"/>
    </row>
    <row r="1915" ht="15.75" customHeight="1">
      <c r="D1915" s="177"/>
    </row>
    <row r="1916" ht="15.75" customHeight="1">
      <c r="D1916" s="177"/>
    </row>
    <row r="1917" ht="15.75" customHeight="1">
      <c r="D1917" s="177"/>
    </row>
    <row r="1918" ht="15.75" customHeight="1">
      <c r="D1918" s="177"/>
    </row>
    <row r="1919" ht="15.75" customHeight="1">
      <c r="D1919" s="177"/>
    </row>
    <row r="1920" ht="15.75" customHeight="1">
      <c r="D1920" s="177"/>
    </row>
    <row r="1921" ht="15.75" customHeight="1">
      <c r="D1921" s="177"/>
    </row>
    <row r="1922" ht="15.75" customHeight="1">
      <c r="D1922" s="177"/>
    </row>
    <row r="1923" ht="15.75" customHeight="1">
      <c r="D1923" s="177"/>
    </row>
    <row r="1924" ht="15.75" customHeight="1">
      <c r="D1924" s="177"/>
    </row>
    <row r="1925" ht="15.75" customHeight="1">
      <c r="D1925" s="177"/>
    </row>
    <row r="1926" ht="15.75" customHeight="1">
      <c r="D1926" s="177"/>
    </row>
    <row r="1927" ht="15.75" customHeight="1">
      <c r="D1927" s="177"/>
    </row>
    <row r="1928" ht="15.75" customHeight="1">
      <c r="D1928" s="177"/>
    </row>
    <row r="1929" ht="15.75" customHeight="1">
      <c r="D1929" s="177"/>
    </row>
    <row r="1930" ht="15.75" customHeight="1">
      <c r="D1930" s="177"/>
    </row>
    <row r="1931" ht="15.75" customHeight="1">
      <c r="D1931" s="177"/>
    </row>
    <row r="1932" ht="15.75" customHeight="1">
      <c r="D1932" s="177"/>
    </row>
    <row r="1933" ht="15.75" customHeight="1">
      <c r="D1933" s="177"/>
    </row>
    <row r="1934" ht="15.75" customHeight="1">
      <c r="D1934" s="177"/>
    </row>
    <row r="1935" ht="15.75" customHeight="1">
      <c r="D1935" s="177"/>
    </row>
    <row r="1936" ht="15.75" customHeight="1">
      <c r="D1936" s="177"/>
    </row>
    <row r="1937" ht="15.75" customHeight="1">
      <c r="D1937" s="177"/>
    </row>
    <row r="1938" ht="15.75" customHeight="1">
      <c r="D1938" s="177"/>
    </row>
    <row r="1939" ht="15.75" customHeight="1">
      <c r="D1939" s="177"/>
    </row>
    <row r="1940" ht="15.75" customHeight="1">
      <c r="D1940" s="177"/>
    </row>
    <row r="1941" ht="15.75" customHeight="1">
      <c r="D1941" s="177"/>
    </row>
    <row r="1942" ht="15.75" customHeight="1">
      <c r="D1942" s="177"/>
    </row>
    <row r="1943" ht="15.75" customHeight="1">
      <c r="D1943" s="177"/>
    </row>
    <row r="1944" ht="15.75" customHeight="1">
      <c r="D1944" s="177"/>
    </row>
    <row r="1945" ht="15.75" customHeight="1">
      <c r="D1945" s="177"/>
    </row>
    <row r="1946" ht="15.75" customHeight="1">
      <c r="D1946" s="177"/>
    </row>
    <row r="1947" ht="15.75" customHeight="1">
      <c r="D1947" s="177"/>
    </row>
    <row r="1948" ht="15.75" customHeight="1">
      <c r="D1948" s="177"/>
    </row>
    <row r="1949" ht="15.75" customHeight="1">
      <c r="D1949" s="177"/>
    </row>
    <row r="1950" ht="15.75" customHeight="1">
      <c r="D1950" s="177"/>
    </row>
    <row r="1951" ht="15.75" customHeight="1">
      <c r="D1951" s="177"/>
    </row>
    <row r="1952" ht="15.75" customHeight="1">
      <c r="D1952" s="177"/>
    </row>
    <row r="1953" ht="15.75" customHeight="1">
      <c r="D1953" s="177"/>
    </row>
    <row r="1954" ht="15.75" customHeight="1">
      <c r="D1954" s="177"/>
    </row>
    <row r="1955" ht="15.75" customHeight="1">
      <c r="D1955" s="177"/>
    </row>
    <row r="1956" ht="15.75" customHeight="1">
      <c r="D1956" s="177"/>
    </row>
    <row r="1957" ht="15.75" customHeight="1">
      <c r="D1957" s="177"/>
    </row>
    <row r="1958" ht="15.75" customHeight="1">
      <c r="D1958" s="177"/>
    </row>
    <row r="1959" ht="15.75" customHeight="1">
      <c r="D1959" s="177"/>
    </row>
    <row r="1960" ht="15.75" customHeight="1">
      <c r="D1960" s="177"/>
    </row>
    <row r="1961" ht="15.75" customHeight="1">
      <c r="D1961" s="177"/>
    </row>
    <row r="1962" ht="15.75" customHeight="1">
      <c r="D1962" s="177"/>
    </row>
    <row r="1963" ht="15.75" customHeight="1">
      <c r="D1963" s="177"/>
    </row>
    <row r="1964" ht="15.75" customHeight="1">
      <c r="D1964" s="177"/>
    </row>
    <row r="1965" ht="15.75" customHeight="1">
      <c r="D1965" s="177"/>
    </row>
    <row r="1966" ht="15.75" customHeight="1">
      <c r="D1966" s="177"/>
    </row>
    <row r="1967" ht="15.75" customHeight="1">
      <c r="D1967" s="177"/>
    </row>
    <row r="1968" ht="15.75" customHeight="1">
      <c r="D1968" s="177"/>
    </row>
    <row r="1969" ht="15.75" customHeight="1">
      <c r="D1969" s="177"/>
    </row>
    <row r="1970" ht="15.75" customHeight="1">
      <c r="D1970" s="177"/>
    </row>
    <row r="1971" ht="15.75" customHeight="1">
      <c r="D1971" s="177"/>
    </row>
    <row r="1972" ht="15.75" customHeight="1">
      <c r="D1972" s="177"/>
    </row>
    <row r="1973" ht="15.75" customHeight="1">
      <c r="D1973" s="177"/>
    </row>
    <row r="1974" ht="15.75" customHeight="1">
      <c r="D1974" s="177"/>
    </row>
    <row r="1975" ht="15.75" customHeight="1">
      <c r="D1975" s="177"/>
    </row>
    <row r="1976" ht="15.75" customHeight="1">
      <c r="D1976" s="177"/>
    </row>
    <row r="1977" ht="15.75" customHeight="1">
      <c r="D1977" s="177"/>
    </row>
    <row r="1978" ht="15.75" customHeight="1">
      <c r="D1978" s="177"/>
    </row>
    <row r="1979" ht="15.75" customHeight="1">
      <c r="D1979" s="177"/>
    </row>
    <row r="1980" ht="15.75" customHeight="1">
      <c r="D1980" s="177"/>
    </row>
    <row r="1981" ht="15.75" customHeight="1">
      <c r="D1981" s="177"/>
    </row>
    <row r="1982" ht="15.75" customHeight="1">
      <c r="D1982" s="177"/>
    </row>
    <row r="1983" ht="15.75" customHeight="1">
      <c r="D1983" s="177"/>
    </row>
    <row r="1984" ht="15.75" customHeight="1">
      <c r="D1984" s="177"/>
    </row>
    <row r="1985" ht="15.75" customHeight="1">
      <c r="D1985" s="177"/>
    </row>
    <row r="1986" ht="15.75" customHeight="1">
      <c r="D1986" s="177"/>
    </row>
    <row r="1987" ht="15.75" customHeight="1">
      <c r="D1987" s="177"/>
    </row>
    <row r="1988" ht="15.75" customHeight="1">
      <c r="D1988" s="177"/>
    </row>
    <row r="1989" ht="15.75" customHeight="1">
      <c r="D1989" s="177"/>
    </row>
    <row r="1990" ht="15.75" customHeight="1">
      <c r="D1990" s="177"/>
    </row>
    <row r="1991" ht="15.75" customHeight="1">
      <c r="D1991" s="177"/>
    </row>
    <row r="1992" ht="15.75" customHeight="1">
      <c r="D1992" s="177"/>
    </row>
    <row r="1993" ht="15.75" customHeight="1">
      <c r="D1993" s="177"/>
    </row>
    <row r="1994" ht="15.75" customHeight="1">
      <c r="D1994" s="177"/>
    </row>
    <row r="1995" ht="15.75" customHeight="1">
      <c r="D1995" s="177"/>
    </row>
    <row r="1996" ht="15.75" customHeight="1">
      <c r="D1996" s="177"/>
    </row>
    <row r="1997" ht="15.75" customHeight="1">
      <c r="D1997" s="177"/>
    </row>
    <row r="1998" ht="15.75" customHeight="1">
      <c r="D1998" s="177"/>
    </row>
    <row r="1999" ht="15.75" customHeight="1">
      <c r="D1999" s="177"/>
    </row>
    <row r="2000" ht="15.75" customHeight="1">
      <c r="D2000" s="177"/>
    </row>
    <row r="2001" ht="15.75" customHeight="1">
      <c r="D2001" s="177"/>
    </row>
    <row r="2002" ht="15.75" customHeight="1">
      <c r="D2002" s="177"/>
    </row>
    <row r="2003" ht="15.75" customHeight="1">
      <c r="D2003" s="177"/>
    </row>
    <row r="2004" ht="15.75" customHeight="1">
      <c r="D2004" s="177"/>
    </row>
    <row r="2005" ht="15.75" customHeight="1">
      <c r="D2005" s="177"/>
    </row>
    <row r="2006" ht="15.75" customHeight="1">
      <c r="D2006" s="177"/>
    </row>
    <row r="2007" ht="15.75" customHeight="1">
      <c r="D2007" s="177"/>
    </row>
    <row r="2008" ht="15.75" customHeight="1">
      <c r="D2008" s="177"/>
    </row>
    <row r="2009" ht="15.75" customHeight="1">
      <c r="D2009" s="177"/>
    </row>
    <row r="2010" ht="15.75" customHeight="1">
      <c r="D2010" s="177"/>
    </row>
    <row r="2011" ht="15.75" customHeight="1">
      <c r="D2011" s="177"/>
    </row>
    <row r="2012" ht="15.75" customHeight="1">
      <c r="D2012" s="177"/>
    </row>
    <row r="2013" ht="15.75" customHeight="1">
      <c r="D2013" s="177"/>
    </row>
    <row r="2014" ht="15.75" customHeight="1">
      <c r="D2014" s="17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8.0"/>
    <col customWidth="1" min="3" max="3" width="48.86"/>
    <col customWidth="1" min="4" max="4" width="18.0"/>
    <col customWidth="1" min="5" max="5" width="14.57"/>
    <col customWidth="1" min="6" max="6" width="15.29"/>
    <col customWidth="1" min="7" max="7" width="22.57"/>
    <col customWidth="1" min="8" max="8" width="12.29"/>
    <col customWidth="1" hidden="1" min="9" max="9" width="28.57"/>
    <col customWidth="1" hidden="1" min="10" max="10" width="10.57"/>
    <col customWidth="1" hidden="1" min="11" max="11" width="9.14"/>
    <col customWidth="1" hidden="1" min="12" max="12" width="21.71"/>
    <col customWidth="1" hidden="1" min="13" max="13" width="15.86"/>
    <col customWidth="1" hidden="1" min="14" max="14" width="4.29"/>
    <col customWidth="1" hidden="1" min="15" max="15" width="20.57"/>
    <col customWidth="1" hidden="1" min="16" max="18" width="14.57"/>
    <col customWidth="1" hidden="1" min="19" max="19" width="14.43"/>
    <col customWidth="1" hidden="1" min="20" max="20" width="28.14"/>
    <col customWidth="1" hidden="1" min="21" max="21" width="7.86"/>
    <col customWidth="1" hidden="1" min="22" max="22" width="8.0"/>
  </cols>
  <sheetData>
    <row r="1" ht="12.75" customHeight="1">
      <c r="A1" s="1" t="s">
        <v>0</v>
      </c>
      <c r="B1" s="3"/>
      <c r="C1" s="178"/>
      <c r="D1" s="12"/>
      <c r="E1" s="7"/>
      <c r="F1" s="7"/>
      <c r="G1" s="7"/>
      <c r="H1" s="7"/>
      <c r="J1" s="179"/>
      <c r="K1" s="180" t="s">
        <v>598</v>
      </c>
    </row>
    <row r="2" ht="12.75" customHeight="1">
      <c r="A2" s="1"/>
      <c r="B2" s="3"/>
      <c r="C2" s="178" t="s">
        <v>599</v>
      </c>
      <c r="D2" s="12"/>
      <c r="E2" s="7"/>
      <c r="F2" s="7"/>
      <c r="G2" s="7"/>
      <c r="H2" s="7"/>
    </row>
    <row r="3" ht="12.75" customHeight="1">
      <c r="A3" s="1"/>
      <c r="B3" s="3"/>
      <c r="C3" s="178" t="s">
        <v>600</v>
      </c>
      <c r="D3" s="12"/>
      <c r="E3" s="7"/>
      <c r="F3" s="7"/>
      <c r="G3" s="7"/>
      <c r="H3" s="7"/>
    </row>
    <row r="4" ht="12.75" customHeight="1">
      <c r="A4" s="1"/>
      <c r="B4" s="3"/>
      <c r="C4" s="181"/>
      <c r="D4" s="12"/>
      <c r="E4" s="7"/>
      <c r="F4" s="7"/>
      <c r="G4" s="7"/>
      <c r="H4" s="7"/>
      <c r="S4" s="182" t="s">
        <v>601</v>
      </c>
    </row>
    <row r="5" ht="12.75" customHeight="1">
      <c r="A5" s="13" t="s">
        <v>602</v>
      </c>
      <c r="B5" s="15" t="s">
        <v>6</v>
      </c>
      <c r="C5" s="183" t="s">
        <v>7</v>
      </c>
      <c r="D5" s="184" t="s">
        <v>8</v>
      </c>
      <c r="E5" s="14" t="s">
        <v>603</v>
      </c>
      <c r="F5" s="15" t="s">
        <v>604</v>
      </c>
      <c r="G5" s="15" t="s">
        <v>194</v>
      </c>
      <c r="H5" s="15" t="s">
        <v>605</v>
      </c>
      <c r="I5" s="185" t="s">
        <v>606</v>
      </c>
      <c r="J5" s="185" t="s">
        <v>607</v>
      </c>
      <c r="K5" s="185" t="s">
        <v>608</v>
      </c>
      <c r="L5" s="186" t="s">
        <v>609</v>
      </c>
      <c r="M5" s="187" t="s">
        <v>610</v>
      </c>
      <c r="N5" s="186" t="s">
        <v>611</v>
      </c>
      <c r="O5" s="186" t="s">
        <v>612</v>
      </c>
      <c r="P5" s="186" t="s">
        <v>613</v>
      </c>
      <c r="Q5" s="186" t="s">
        <v>614</v>
      </c>
      <c r="R5" s="186" t="s">
        <v>615</v>
      </c>
      <c r="S5" s="186" t="s">
        <v>616</v>
      </c>
      <c r="T5" s="186" t="s">
        <v>617</v>
      </c>
      <c r="U5" s="186" t="s">
        <v>618</v>
      </c>
      <c r="V5" s="185" t="s">
        <v>196</v>
      </c>
    </row>
    <row r="6" ht="12.75" customHeight="1">
      <c r="A6" s="93"/>
      <c r="B6" s="95"/>
      <c r="C6" s="24" t="s">
        <v>619</v>
      </c>
      <c r="D6" s="93"/>
      <c r="E6" s="95"/>
      <c r="F6" s="95"/>
      <c r="G6" s="95"/>
      <c r="H6" s="95"/>
      <c r="I6" s="188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89"/>
      <c r="U6" s="189"/>
      <c r="V6" s="169"/>
    </row>
    <row r="7" ht="15.75" customHeight="1">
      <c r="A7" s="190">
        <v>45808.0</v>
      </c>
      <c r="B7" s="106" t="s">
        <v>101</v>
      </c>
      <c r="C7" s="107" t="s">
        <v>102</v>
      </c>
      <c r="D7" s="100">
        <f>2550</f>
        <v>2550</v>
      </c>
      <c r="E7" s="99" t="s">
        <v>198</v>
      </c>
      <c r="F7" s="100"/>
      <c r="G7" s="100"/>
      <c r="H7" s="100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ht="15.75" customHeight="1">
      <c r="A8" s="192"/>
      <c r="B8" s="72" t="s">
        <v>214</v>
      </c>
      <c r="C8" s="116" t="s">
        <v>215</v>
      </c>
      <c r="D8" s="99">
        <v>2000.0</v>
      </c>
      <c r="E8" s="99" t="s">
        <v>198</v>
      </c>
      <c r="F8" s="100"/>
      <c r="G8" s="100"/>
      <c r="H8" s="100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ht="15.75" customHeight="1">
      <c r="A9" s="192"/>
      <c r="B9" s="103"/>
      <c r="C9" s="193"/>
      <c r="D9" s="100"/>
      <c r="E9" s="100"/>
      <c r="F9" s="100"/>
      <c r="G9" s="100"/>
      <c r="H9" s="100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ht="15.75" customHeight="1">
      <c r="A10" s="190">
        <v>45809.0</v>
      </c>
      <c r="B10" s="106" t="s">
        <v>101</v>
      </c>
      <c r="C10" s="107" t="s">
        <v>102</v>
      </c>
      <c r="D10" s="100">
        <f>2910</f>
        <v>2910</v>
      </c>
      <c r="E10" s="99" t="s">
        <v>198</v>
      </c>
      <c r="F10" s="100"/>
      <c r="G10" s="100"/>
      <c r="H10" s="100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ht="15.75" customHeight="1">
      <c r="A11" s="192"/>
      <c r="B11" s="76" t="s">
        <v>214</v>
      </c>
      <c r="C11" s="77" t="s">
        <v>215</v>
      </c>
      <c r="D11" s="99">
        <v>2000.0</v>
      </c>
      <c r="E11" s="99" t="s">
        <v>198</v>
      </c>
      <c r="F11" s="100"/>
      <c r="G11" s="100"/>
      <c r="H11" s="100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ht="15.75" customHeight="1">
      <c r="A12" s="192"/>
      <c r="B12" s="76" t="s">
        <v>91</v>
      </c>
      <c r="C12" s="77" t="s">
        <v>92</v>
      </c>
      <c r="D12" s="99">
        <v>1000.0</v>
      </c>
      <c r="E12" s="99" t="s">
        <v>198</v>
      </c>
      <c r="F12" s="100"/>
      <c r="G12" s="100"/>
      <c r="H12" s="100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ht="15.75" customHeight="1">
      <c r="A13" s="192"/>
      <c r="B13" s="76" t="s">
        <v>620</v>
      </c>
      <c r="C13" s="77" t="s">
        <v>621</v>
      </c>
      <c r="D13" s="99">
        <v>400.0</v>
      </c>
      <c r="E13" s="99" t="s">
        <v>198</v>
      </c>
      <c r="F13" s="100"/>
      <c r="G13" s="100"/>
      <c r="H13" s="100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ht="15.75" customHeight="1">
      <c r="A14" s="192"/>
      <c r="B14" s="106" t="s">
        <v>61</v>
      </c>
      <c r="C14" s="107" t="s">
        <v>62</v>
      </c>
      <c r="D14" s="194">
        <f>375+425</f>
        <v>800</v>
      </c>
      <c r="E14" s="99" t="s">
        <v>198</v>
      </c>
      <c r="F14" s="100"/>
      <c r="G14" s="100"/>
      <c r="H14" s="100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ht="15.75" customHeight="1">
      <c r="A15" s="192"/>
      <c r="B15" s="103"/>
      <c r="C15" s="195"/>
      <c r="D15" s="100"/>
      <c r="E15" s="100"/>
      <c r="F15" s="100"/>
      <c r="G15" s="100"/>
      <c r="H15" s="100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ht="15.75" customHeight="1">
      <c r="A16" s="190">
        <v>45810.0</v>
      </c>
      <c r="B16" s="106" t="s">
        <v>101</v>
      </c>
      <c r="C16" s="107" t="s">
        <v>102</v>
      </c>
      <c r="D16" s="100">
        <f>1200+225</f>
        <v>1425</v>
      </c>
      <c r="E16" s="99" t="s">
        <v>198</v>
      </c>
      <c r="F16" s="100"/>
      <c r="G16" s="100"/>
      <c r="H16" s="100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ht="15.75" customHeight="1">
      <c r="A17" s="192"/>
      <c r="B17" s="106" t="s">
        <v>61</v>
      </c>
      <c r="C17" s="107" t="s">
        <v>62</v>
      </c>
      <c r="D17" s="99">
        <v>175.0</v>
      </c>
      <c r="E17" s="99" t="s">
        <v>198</v>
      </c>
      <c r="F17" s="100"/>
      <c r="G17" s="100"/>
      <c r="H17" s="100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ht="15.75" customHeight="1">
      <c r="A18" s="192"/>
      <c r="B18" s="76" t="s">
        <v>620</v>
      </c>
      <c r="C18" s="77" t="s">
        <v>621</v>
      </c>
      <c r="D18" s="100">
        <f>400+400</f>
        <v>800</v>
      </c>
      <c r="E18" s="99" t="s">
        <v>198</v>
      </c>
      <c r="F18" s="100"/>
      <c r="G18" s="100"/>
      <c r="H18" s="100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ht="15.75" customHeight="1">
      <c r="A19" s="192"/>
      <c r="B19" s="72" t="s">
        <v>88</v>
      </c>
      <c r="C19" s="116" t="s">
        <v>89</v>
      </c>
      <c r="D19" s="99">
        <v>6.0</v>
      </c>
      <c r="E19" s="99" t="s">
        <v>198</v>
      </c>
      <c r="F19" s="100"/>
      <c r="G19" s="100"/>
      <c r="H19" s="100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5.75" customHeight="1">
      <c r="A20" s="192"/>
      <c r="B20" s="76" t="s">
        <v>214</v>
      </c>
      <c r="C20" s="77" t="s">
        <v>215</v>
      </c>
      <c r="D20" s="100">
        <f>1000+2000</f>
        <v>3000</v>
      </c>
      <c r="E20" s="99" t="s">
        <v>198</v>
      </c>
      <c r="F20" s="100"/>
      <c r="G20" s="100"/>
      <c r="H20" s="100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5.75" customHeight="1">
      <c r="A21" s="192"/>
      <c r="B21" s="196"/>
      <c r="C21" s="107" t="s">
        <v>102</v>
      </c>
      <c r="D21" s="99">
        <v>683.0</v>
      </c>
      <c r="E21" s="100"/>
      <c r="F21" s="100"/>
      <c r="G21" s="100"/>
      <c r="H21" s="100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5.75" customHeight="1">
      <c r="A22" s="192"/>
      <c r="B22" s="196"/>
      <c r="C22" s="197"/>
      <c r="D22" s="100"/>
      <c r="E22" s="100"/>
      <c r="F22" s="100"/>
      <c r="G22" s="100"/>
      <c r="H22" s="100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5.75" customHeight="1">
      <c r="A23" s="190">
        <v>45811.0</v>
      </c>
      <c r="B23" s="106" t="s">
        <v>101</v>
      </c>
      <c r="C23" s="107" t="s">
        <v>102</v>
      </c>
      <c r="D23" s="99">
        <v>450.0</v>
      </c>
      <c r="E23" s="99" t="s">
        <v>198</v>
      </c>
      <c r="F23" s="100"/>
      <c r="G23" s="100"/>
      <c r="H23" s="100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5.75" customHeight="1">
      <c r="A24" s="192"/>
      <c r="B24" s="106" t="s">
        <v>41</v>
      </c>
      <c r="C24" s="107" t="s">
        <v>42</v>
      </c>
      <c r="D24" s="99">
        <v>700.0</v>
      </c>
      <c r="E24" s="99" t="s">
        <v>198</v>
      </c>
      <c r="F24" s="100"/>
      <c r="G24" s="100"/>
      <c r="H24" s="100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5.75" customHeight="1">
      <c r="A25" s="192"/>
      <c r="B25" s="106" t="s">
        <v>126</v>
      </c>
      <c r="C25" s="107" t="s">
        <v>127</v>
      </c>
      <c r="D25" s="100">
        <f>2100</f>
        <v>2100</v>
      </c>
      <c r="E25" s="99" t="s">
        <v>198</v>
      </c>
      <c r="F25" s="100"/>
      <c r="G25" s="100"/>
      <c r="H25" s="100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5.75" customHeight="1">
      <c r="A26" s="192"/>
      <c r="B26" s="76" t="s">
        <v>214</v>
      </c>
      <c r="C26" s="77" t="s">
        <v>215</v>
      </c>
      <c r="D26" s="99">
        <v>1000.0</v>
      </c>
      <c r="E26" s="99" t="s">
        <v>198</v>
      </c>
      <c r="F26" s="100"/>
      <c r="G26" s="100"/>
      <c r="H26" s="100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5.75" customHeight="1">
      <c r="A27" s="192"/>
      <c r="B27" s="72" t="s">
        <v>88</v>
      </c>
      <c r="C27" s="116" t="s">
        <v>89</v>
      </c>
      <c r="D27" s="100">
        <f>10+10+10</f>
        <v>30</v>
      </c>
      <c r="E27" s="99" t="s">
        <v>198</v>
      </c>
      <c r="F27" s="100"/>
      <c r="G27" s="100"/>
      <c r="H27" s="100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5.75" customHeight="1">
      <c r="A28" s="192"/>
      <c r="B28" s="196"/>
      <c r="C28" s="197"/>
      <c r="D28" s="100"/>
      <c r="E28" s="100"/>
      <c r="F28" s="100"/>
      <c r="G28" s="100"/>
      <c r="H28" s="100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90">
        <v>45812.0</v>
      </c>
      <c r="B29" s="106" t="s">
        <v>101</v>
      </c>
      <c r="C29" s="107" t="s">
        <v>102</v>
      </c>
      <c r="D29" s="100">
        <f>950</f>
        <v>950</v>
      </c>
      <c r="E29" s="99" t="s">
        <v>198</v>
      </c>
      <c r="F29" s="100"/>
      <c r="G29" s="100"/>
      <c r="H29" s="100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5.75" customHeight="1">
      <c r="A30" s="192"/>
      <c r="B30" s="106" t="s">
        <v>126</v>
      </c>
      <c r="C30" s="107" t="s">
        <v>127</v>
      </c>
      <c r="D30" s="100">
        <f>900+300</f>
        <v>1200</v>
      </c>
      <c r="E30" s="99" t="s">
        <v>198</v>
      </c>
      <c r="F30" s="100"/>
      <c r="G30" s="100"/>
      <c r="H30" s="100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5.75" customHeight="1">
      <c r="A31" s="192"/>
      <c r="B31" s="106" t="s">
        <v>25</v>
      </c>
      <c r="C31" s="107" t="s">
        <v>26</v>
      </c>
      <c r="D31" s="99">
        <v>375.0</v>
      </c>
      <c r="E31" s="100"/>
      <c r="F31" s="100"/>
      <c r="G31" s="100"/>
      <c r="H31" s="100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5.75" customHeight="1">
      <c r="A32" s="192"/>
      <c r="B32" s="196"/>
      <c r="C32" s="107" t="s">
        <v>127</v>
      </c>
      <c r="D32" s="99">
        <v>625.0</v>
      </c>
      <c r="E32" s="100"/>
      <c r="F32" s="100"/>
      <c r="G32" s="100"/>
      <c r="H32" s="100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5.75" customHeight="1">
      <c r="A33" s="192"/>
      <c r="B33" s="106"/>
      <c r="C33" s="107" t="s">
        <v>26</v>
      </c>
      <c r="D33" s="100">
        <f>125+125</f>
        <v>250</v>
      </c>
      <c r="E33" s="100"/>
      <c r="F33" s="100"/>
      <c r="G33" s="100"/>
      <c r="H33" s="100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5.75" customHeight="1">
      <c r="A34" s="192"/>
      <c r="B34" s="76" t="s">
        <v>214</v>
      </c>
      <c r="C34" s="77" t="s">
        <v>215</v>
      </c>
      <c r="D34" s="100">
        <f>1500+2000+1000</f>
        <v>4500</v>
      </c>
      <c r="E34" s="99" t="s">
        <v>198</v>
      </c>
      <c r="F34" s="100"/>
      <c r="G34" s="100"/>
      <c r="H34" s="100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5.75" customHeight="1">
      <c r="A35" s="192"/>
      <c r="B35" s="196"/>
      <c r="C35" s="197"/>
      <c r="D35" s="100"/>
      <c r="E35" s="100"/>
      <c r="F35" s="100"/>
      <c r="G35" s="100"/>
      <c r="H35" s="100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5.75" customHeight="1">
      <c r="A36" s="190">
        <v>45813.0</v>
      </c>
      <c r="B36" s="106" t="s">
        <v>101</v>
      </c>
      <c r="C36" s="107" t="s">
        <v>102</v>
      </c>
      <c r="D36" s="99">
        <v>1475.0</v>
      </c>
      <c r="E36" s="99" t="s">
        <v>198</v>
      </c>
      <c r="F36" s="100"/>
      <c r="G36" s="100"/>
      <c r="H36" s="100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5.75" customHeight="1">
      <c r="A37" s="192"/>
      <c r="B37" s="106" t="s">
        <v>25</v>
      </c>
      <c r="C37" s="107" t="s">
        <v>26</v>
      </c>
      <c r="D37" s="99">
        <v>1250.0</v>
      </c>
      <c r="E37" s="99" t="s">
        <v>198</v>
      </c>
      <c r="F37" s="100"/>
      <c r="G37" s="100"/>
      <c r="H37" s="100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5.75" customHeight="1">
      <c r="A38" s="192"/>
      <c r="B38" s="76" t="s">
        <v>214</v>
      </c>
      <c r="C38" s="77" t="s">
        <v>215</v>
      </c>
      <c r="D38" s="100">
        <f>1000+1000+1000</f>
        <v>3000</v>
      </c>
      <c r="E38" s="99" t="s">
        <v>198</v>
      </c>
      <c r="F38" s="100"/>
      <c r="G38" s="100"/>
      <c r="H38" s="100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92"/>
      <c r="B39" s="72" t="s">
        <v>185</v>
      </c>
      <c r="C39" s="108" t="s">
        <v>186</v>
      </c>
      <c r="D39" s="99">
        <v>20.0</v>
      </c>
      <c r="E39" s="99" t="s">
        <v>198</v>
      </c>
      <c r="F39" s="100"/>
      <c r="G39" s="100"/>
      <c r="H39" s="100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92"/>
      <c r="B40" s="196"/>
      <c r="C40" s="197"/>
      <c r="D40" s="100"/>
      <c r="E40" s="100"/>
      <c r="F40" s="100"/>
      <c r="G40" s="100"/>
      <c r="H40" s="100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90">
        <v>45814.0</v>
      </c>
      <c r="B41" s="106" t="s">
        <v>25</v>
      </c>
      <c r="C41" s="107" t="s">
        <v>26</v>
      </c>
      <c r="D41" s="99">
        <v>1250.0</v>
      </c>
      <c r="E41" s="99" t="s">
        <v>198</v>
      </c>
      <c r="F41" s="100"/>
      <c r="G41" s="100"/>
      <c r="H41" s="100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92"/>
      <c r="B42" s="76" t="s">
        <v>214</v>
      </c>
      <c r="C42" s="77" t="s">
        <v>215</v>
      </c>
      <c r="D42" s="99">
        <v>3000.0</v>
      </c>
      <c r="E42" s="99" t="s">
        <v>198</v>
      </c>
      <c r="F42" s="100"/>
      <c r="G42" s="100"/>
      <c r="H42" s="100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92"/>
      <c r="B43" s="72" t="s">
        <v>185</v>
      </c>
      <c r="C43" s="108" t="s">
        <v>186</v>
      </c>
      <c r="D43" s="100">
        <f>40</f>
        <v>40</v>
      </c>
      <c r="E43" s="99" t="s">
        <v>198</v>
      </c>
      <c r="F43" s="100"/>
      <c r="G43" s="100"/>
      <c r="H43" s="100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5.75" customHeight="1">
      <c r="A44" s="192"/>
      <c r="B44" s="196"/>
      <c r="C44" s="197"/>
      <c r="D44" s="100"/>
      <c r="E44" s="100"/>
      <c r="F44" s="100"/>
      <c r="G44" s="100"/>
      <c r="H44" s="100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90">
        <v>45817.0</v>
      </c>
      <c r="B45" s="106" t="s">
        <v>126</v>
      </c>
      <c r="C45" s="107" t="s">
        <v>127</v>
      </c>
      <c r="D45" s="100">
        <f>1650</f>
        <v>1650</v>
      </c>
      <c r="E45" s="99" t="s">
        <v>198</v>
      </c>
      <c r="F45" s="100"/>
      <c r="G45" s="100"/>
      <c r="H45" s="100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92"/>
      <c r="B46" s="106" t="s">
        <v>25</v>
      </c>
      <c r="C46" s="107" t="s">
        <v>26</v>
      </c>
      <c r="D46" s="100">
        <f>975+325</f>
        <v>1300</v>
      </c>
      <c r="E46" s="99" t="s">
        <v>198</v>
      </c>
      <c r="F46" s="100"/>
      <c r="G46" s="100"/>
      <c r="H46" s="100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92"/>
      <c r="B47" s="106" t="s">
        <v>101</v>
      </c>
      <c r="C47" s="107" t="s">
        <v>102</v>
      </c>
      <c r="D47" s="99">
        <v>625.0</v>
      </c>
      <c r="E47" s="99" t="s">
        <v>198</v>
      </c>
      <c r="F47" s="100"/>
      <c r="G47" s="100"/>
      <c r="H47" s="100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92"/>
      <c r="B48" s="103"/>
      <c r="C48" s="107" t="s">
        <v>102</v>
      </c>
      <c r="D48" s="99">
        <v>240.0</v>
      </c>
      <c r="E48" s="99" t="s">
        <v>198</v>
      </c>
      <c r="F48" s="100"/>
      <c r="G48" s="100"/>
      <c r="H48" s="100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92"/>
      <c r="B49" s="72" t="s">
        <v>88</v>
      </c>
      <c r="C49" s="116" t="s">
        <v>89</v>
      </c>
      <c r="D49" s="99">
        <v>10.0</v>
      </c>
      <c r="E49" s="99" t="s">
        <v>198</v>
      </c>
      <c r="F49" s="100"/>
      <c r="G49" s="100"/>
      <c r="H49" s="100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92"/>
      <c r="B50" s="76" t="s">
        <v>214</v>
      </c>
      <c r="C50" s="77" t="s">
        <v>215</v>
      </c>
      <c r="D50" s="100">
        <f>1000+1500</f>
        <v>2500</v>
      </c>
      <c r="E50" s="99" t="s">
        <v>198</v>
      </c>
      <c r="F50" s="100"/>
      <c r="G50" s="100"/>
      <c r="H50" s="100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92"/>
      <c r="B51" s="72" t="s">
        <v>185</v>
      </c>
      <c r="C51" s="108" t="s">
        <v>186</v>
      </c>
      <c r="D51" s="99">
        <v>20.0</v>
      </c>
      <c r="E51" s="99" t="s">
        <v>198</v>
      </c>
      <c r="F51" s="100"/>
      <c r="G51" s="100"/>
      <c r="H51" s="100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92"/>
      <c r="B52" s="106" t="s">
        <v>61</v>
      </c>
      <c r="C52" s="107" t="s">
        <v>62</v>
      </c>
      <c r="D52" s="99">
        <v>675.0</v>
      </c>
      <c r="E52" s="99" t="s">
        <v>198</v>
      </c>
      <c r="F52" s="100"/>
      <c r="G52" s="100"/>
      <c r="H52" s="100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5.75" customHeight="1">
      <c r="A53" s="190"/>
      <c r="B53" s="196"/>
      <c r="C53" s="198"/>
      <c r="D53" s="100"/>
      <c r="E53" s="100"/>
      <c r="F53" s="100"/>
      <c r="G53" s="100"/>
      <c r="H53" s="100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5.75" customHeight="1">
      <c r="A54" s="190">
        <v>45818.0</v>
      </c>
      <c r="B54" s="106" t="s">
        <v>61</v>
      </c>
      <c r="C54" s="107" t="s">
        <v>62</v>
      </c>
      <c r="D54" s="99">
        <f>750+750</f>
        <v>1500</v>
      </c>
      <c r="E54" s="99" t="s">
        <v>198</v>
      </c>
      <c r="F54" s="100"/>
      <c r="G54" s="100"/>
      <c r="H54" s="100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92"/>
      <c r="B55" s="106" t="s">
        <v>31</v>
      </c>
      <c r="C55" s="107" t="s">
        <v>32</v>
      </c>
      <c r="D55" s="100">
        <f>1150</f>
        <v>1150</v>
      </c>
      <c r="E55" s="99" t="s">
        <v>198</v>
      </c>
      <c r="F55" s="100"/>
      <c r="G55" s="100"/>
      <c r="H55" s="100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92"/>
      <c r="B56" s="72" t="s">
        <v>88</v>
      </c>
      <c r="C56" s="116" t="s">
        <v>89</v>
      </c>
      <c r="D56" s="99">
        <v>20.0</v>
      </c>
      <c r="E56" s="99" t="s">
        <v>198</v>
      </c>
      <c r="F56" s="100"/>
      <c r="G56" s="100"/>
      <c r="H56" s="100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92"/>
      <c r="B57" s="76" t="s">
        <v>214</v>
      </c>
      <c r="C57" s="77" t="s">
        <v>215</v>
      </c>
      <c r="D57" s="100">
        <f>1500+1500+500</f>
        <v>3500</v>
      </c>
      <c r="E57" s="99" t="s">
        <v>198</v>
      </c>
      <c r="F57" s="100"/>
      <c r="G57" s="100"/>
      <c r="H57" s="100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92"/>
      <c r="B58" s="76" t="s">
        <v>91</v>
      </c>
      <c r="C58" s="77" t="s">
        <v>92</v>
      </c>
      <c r="D58" s="99">
        <v>2000.0</v>
      </c>
      <c r="E58" s="99" t="s">
        <v>198</v>
      </c>
      <c r="F58" s="100"/>
      <c r="G58" s="100"/>
      <c r="H58" s="100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92"/>
      <c r="B59" s="76" t="s">
        <v>622</v>
      </c>
      <c r="C59" s="77" t="s">
        <v>623</v>
      </c>
      <c r="D59" s="99">
        <v>1500.0</v>
      </c>
      <c r="E59" s="99" t="s">
        <v>198</v>
      </c>
      <c r="F59" s="100"/>
      <c r="G59" s="100"/>
      <c r="H59" s="100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92"/>
      <c r="B60" s="76" t="s">
        <v>620</v>
      </c>
      <c r="C60" s="77" t="s">
        <v>621</v>
      </c>
      <c r="D60" s="99">
        <v>1000.0</v>
      </c>
      <c r="E60" s="99" t="s">
        <v>198</v>
      </c>
      <c r="F60" s="100"/>
      <c r="G60" s="100"/>
      <c r="H60" s="100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92"/>
      <c r="B61" s="72" t="s">
        <v>185</v>
      </c>
      <c r="C61" s="108" t="s">
        <v>186</v>
      </c>
      <c r="D61" s="99">
        <v>40.0</v>
      </c>
      <c r="E61" s="99" t="s">
        <v>198</v>
      </c>
      <c r="F61" s="100"/>
      <c r="G61" s="100"/>
      <c r="H61" s="100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5.75" customHeight="1">
      <c r="A62" s="192"/>
      <c r="B62" s="106" t="s">
        <v>39</v>
      </c>
      <c r="C62" s="107" t="s">
        <v>40</v>
      </c>
      <c r="D62" s="99">
        <f>450+600</f>
        <v>1050</v>
      </c>
      <c r="E62" s="99" t="s">
        <v>198</v>
      </c>
      <c r="F62" s="100"/>
      <c r="G62" s="100"/>
      <c r="H62" s="100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5.75" customHeight="1">
      <c r="A63" s="192"/>
      <c r="B63" s="106" t="s">
        <v>101</v>
      </c>
      <c r="C63" s="107" t="s">
        <v>102</v>
      </c>
      <c r="D63" s="99">
        <v>75.0</v>
      </c>
      <c r="E63" s="99" t="s">
        <v>198</v>
      </c>
      <c r="F63" s="100"/>
      <c r="G63" s="100"/>
      <c r="H63" s="100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92"/>
      <c r="B64" s="106" t="s">
        <v>126</v>
      </c>
      <c r="C64" s="107" t="s">
        <v>127</v>
      </c>
      <c r="D64" s="99">
        <v>900.0</v>
      </c>
      <c r="E64" s="99" t="s">
        <v>198</v>
      </c>
      <c r="F64" s="100"/>
      <c r="G64" s="100"/>
      <c r="H64" s="100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92"/>
      <c r="B65" s="103"/>
      <c r="C65" s="193"/>
      <c r="D65" s="100"/>
      <c r="E65" s="100"/>
      <c r="F65" s="100"/>
      <c r="G65" s="100"/>
      <c r="H65" s="100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90">
        <v>45819.0</v>
      </c>
      <c r="B66" s="106" t="s">
        <v>61</v>
      </c>
      <c r="C66" s="107" t="s">
        <v>62</v>
      </c>
      <c r="D66" s="100">
        <f>750+750</f>
        <v>1500</v>
      </c>
      <c r="E66" s="100"/>
      <c r="F66" s="100"/>
      <c r="G66" s="100"/>
      <c r="H66" s="100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92"/>
      <c r="B67" s="106" t="s">
        <v>39</v>
      </c>
      <c r="C67" s="107" t="s">
        <v>40</v>
      </c>
      <c r="D67" s="99">
        <v>1110.0</v>
      </c>
      <c r="E67" s="100"/>
      <c r="F67" s="100"/>
      <c r="G67" s="100"/>
      <c r="H67" s="100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92"/>
      <c r="B68" s="40" t="s">
        <v>25</v>
      </c>
      <c r="C68" s="64" t="s">
        <v>26</v>
      </c>
      <c r="D68" s="99">
        <v>600.0</v>
      </c>
      <c r="E68" s="100"/>
      <c r="F68" s="100"/>
      <c r="G68" s="100"/>
      <c r="H68" s="100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92"/>
      <c r="B69" s="40" t="s">
        <v>101</v>
      </c>
      <c r="C69" s="64" t="s">
        <v>102</v>
      </c>
      <c r="D69" s="99">
        <v>325.0</v>
      </c>
      <c r="E69" s="100"/>
      <c r="F69" s="100"/>
      <c r="G69" s="100"/>
      <c r="H69" s="100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92"/>
      <c r="B70" s="40" t="s">
        <v>126</v>
      </c>
      <c r="C70" s="64" t="s">
        <v>127</v>
      </c>
      <c r="D70" s="99">
        <v>690.0</v>
      </c>
      <c r="E70" s="100"/>
      <c r="F70" s="100"/>
      <c r="G70" s="100"/>
      <c r="H70" s="100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92"/>
      <c r="B71" s="72" t="s">
        <v>167</v>
      </c>
      <c r="C71" s="116" t="s">
        <v>168</v>
      </c>
      <c r="D71" s="99">
        <v>5.0</v>
      </c>
      <c r="E71" s="100"/>
      <c r="F71" s="100"/>
      <c r="G71" s="100"/>
      <c r="H71" s="100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92"/>
      <c r="B72" s="72" t="s">
        <v>88</v>
      </c>
      <c r="C72" s="116" t="s">
        <v>89</v>
      </c>
      <c r="D72" s="99">
        <v>10.0</v>
      </c>
      <c r="E72" s="100"/>
      <c r="F72" s="100"/>
      <c r="G72" s="100"/>
      <c r="H72" s="100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92"/>
      <c r="B73" s="72" t="s">
        <v>185</v>
      </c>
      <c r="C73" s="108" t="s">
        <v>186</v>
      </c>
      <c r="D73" s="99">
        <f>20+10</f>
        <v>30</v>
      </c>
      <c r="E73" s="100"/>
      <c r="F73" s="100"/>
      <c r="G73" s="100"/>
      <c r="H73" s="100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92"/>
      <c r="B74" s="76" t="s">
        <v>214</v>
      </c>
      <c r="C74" s="77" t="s">
        <v>215</v>
      </c>
      <c r="D74" s="99">
        <v>1000.0</v>
      </c>
      <c r="E74" s="100"/>
      <c r="F74" s="100"/>
      <c r="G74" s="100"/>
      <c r="H74" s="100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92"/>
      <c r="B75" s="76" t="s">
        <v>91</v>
      </c>
      <c r="C75" s="77" t="s">
        <v>92</v>
      </c>
      <c r="D75" s="99">
        <v>2000.0</v>
      </c>
      <c r="E75" s="100"/>
      <c r="F75" s="100"/>
      <c r="G75" s="100"/>
      <c r="H75" s="100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92"/>
      <c r="B76" s="76" t="s">
        <v>622</v>
      </c>
      <c r="C76" s="77" t="s">
        <v>623</v>
      </c>
      <c r="D76" s="99">
        <v>3000.0</v>
      </c>
      <c r="E76" s="100"/>
      <c r="F76" s="100"/>
      <c r="G76" s="100"/>
      <c r="H76" s="100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92"/>
      <c r="B77" s="76" t="s">
        <v>620</v>
      </c>
      <c r="C77" s="77" t="s">
        <v>621</v>
      </c>
      <c r="D77" s="99">
        <v>1400.0</v>
      </c>
      <c r="E77" s="100"/>
      <c r="F77" s="100"/>
      <c r="G77" s="100"/>
      <c r="H77" s="100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92"/>
      <c r="B78" s="103"/>
      <c r="C78" s="193"/>
      <c r="D78" s="100"/>
      <c r="E78" s="100"/>
      <c r="F78" s="100"/>
      <c r="G78" s="100"/>
      <c r="H78" s="100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90">
        <v>45820.0</v>
      </c>
      <c r="B79" s="106" t="s">
        <v>61</v>
      </c>
      <c r="C79" s="107" t="s">
        <v>62</v>
      </c>
      <c r="D79" s="99">
        <f>750+750</f>
        <v>1500</v>
      </c>
      <c r="E79" s="100"/>
      <c r="F79" s="100"/>
      <c r="G79" s="100"/>
      <c r="H79" s="100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92"/>
      <c r="B80" s="40" t="s">
        <v>25</v>
      </c>
      <c r="C80" s="64" t="s">
        <v>26</v>
      </c>
      <c r="D80" s="99">
        <f>1800+100</f>
        <v>1900</v>
      </c>
      <c r="E80" s="100"/>
      <c r="F80" s="100"/>
      <c r="G80" s="100"/>
      <c r="H80" s="100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92"/>
      <c r="B81" s="76" t="s">
        <v>214</v>
      </c>
      <c r="C81" s="77" t="s">
        <v>215</v>
      </c>
      <c r="D81" s="100">
        <f>1000+500+1500</f>
        <v>3000</v>
      </c>
      <c r="E81" s="100"/>
      <c r="F81" s="100"/>
      <c r="G81" s="100"/>
      <c r="H81" s="100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92"/>
      <c r="B82" s="72" t="s">
        <v>88</v>
      </c>
      <c r="C82" s="116" t="s">
        <v>89</v>
      </c>
      <c r="D82" s="99">
        <v>10.0</v>
      </c>
      <c r="E82" s="100"/>
      <c r="F82" s="100"/>
      <c r="G82" s="100"/>
      <c r="H82" s="100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92"/>
      <c r="B83" s="40" t="s">
        <v>101</v>
      </c>
      <c r="C83" s="64" t="s">
        <v>102</v>
      </c>
      <c r="D83" s="100">
        <f>350+450+615</f>
        <v>1415</v>
      </c>
      <c r="E83" s="100"/>
      <c r="F83" s="100"/>
      <c r="G83" s="100"/>
      <c r="H83" s="100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92"/>
      <c r="B84" s="103"/>
      <c r="C84" s="64" t="s">
        <v>102</v>
      </c>
      <c r="D84" s="100">
        <f>150+420</f>
        <v>570</v>
      </c>
      <c r="E84" s="100"/>
      <c r="F84" s="100"/>
      <c r="G84" s="100"/>
      <c r="H84" s="100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92"/>
      <c r="B85" s="76" t="s">
        <v>620</v>
      </c>
      <c r="C85" s="77" t="s">
        <v>621</v>
      </c>
      <c r="D85" s="99">
        <v>1400.0</v>
      </c>
      <c r="E85" s="100"/>
      <c r="F85" s="100"/>
      <c r="G85" s="100"/>
      <c r="H85" s="100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92"/>
      <c r="B86" s="106" t="s">
        <v>39</v>
      </c>
      <c r="C86" s="107" t="s">
        <v>40</v>
      </c>
      <c r="D86" s="99">
        <v>55.0</v>
      </c>
      <c r="E86" s="100"/>
      <c r="F86" s="100"/>
      <c r="G86" s="100"/>
      <c r="H86" s="100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92"/>
      <c r="B87" s="106" t="s">
        <v>126</v>
      </c>
      <c r="C87" s="107" t="s">
        <v>127</v>
      </c>
      <c r="D87" s="99">
        <v>100.0</v>
      </c>
      <c r="E87" s="100"/>
      <c r="F87" s="100"/>
      <c r="G87" s="100"/>
      <c r="H87" s="100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92"/>
      <c r="B88" s="76" t="s">
        <v>91</v>
      </c>
      <c r="C88" s="77" t="s">
        <v>92</v>
      </c>
      <c r="D88" s="99">
        <v>1000.0</v>
      </c>
      <c r="E88" s="100"/>
      <c r="F88" s="100"/>
      <c r="G88" s="100"/>
      <c r="H88" s="100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92"/>
      <c r="B89" s="76" t="s">
        <v>622</v>
      </c>
      <c r="C89" s="77" t="s">
        <v>623</v>
      </c>
      <c r="D89" s="99">
        <v>1500.0</v>
      </c>
      <c r="E89" s="100"/>
      <c r="F89" s="100"/>
      <c r="G89" s="100"/>
      <c r="H89" s="100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92"/>
      <c r="B90" s="72" t="s">
        <v>185</v>
      </c>
      <c r="C90" s="108" t="s">
        <v>186</v>
      </c>
      <c r="D90" s="99">
        <v>20.0</v>
      </c>
      <c r="E90" s="100"/>
      <c r="F90" s="100"/>
      <c r="G90" s="100"/>
      <c r="H90" s="100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92"/>
      <c r="B91" s="103"/>
      <c r="C91" s="193"/>
      <c r="D91" s="100"/>
      <c r="E91" s="100"/>
      <c r="F91" s="100"/>
      <c r="G91" s="100"/>
      <c r="H91" s="100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90">
        <v>45821.0</v>
      </c>
      <c r="B92" s="106" t="s">
        <v>61</v>
      </c>
      <c r="C92" s="107" t="s">
        <v>62</v>
      </c>
      <c r="D92" s="100">
        <f>750+500</f>
        <v>1250</v>
      </c>
      <c r="E92" s="100"/>
      <c r="F92" s="100"/>
      <c r="G92" s="100"/>
      <c r="H92" s="100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92"/>
      <c r="B93" s="72" t="s">
        <v>214</v>
      </c>
      <c r="C93" s="116" t="s">
        <v>215</v>
      </c>
      <c r="D93" s="99">
        <v>2000.0</v>
      </c>
      <c r="E93" s="100"/>
      <c r="F93" s="100"/>
      <c r="G93" s="100"/>
      <c r="H93" s="100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92"/>
      <c r="B94" s="40" t="s">
        <v>25</v>
      </c>
      <c r="C94" s="64" t="s">
        <v>26</v>
      </c>
      <c r="D94" s="100">
        <f>2400</f>
        <v>2400</v>
      </c>
      <c r="E94" s="100"/>
      <c r="F94" s="100"/>
      <c r="G94" s="100"/>
      <c r="H94" s="100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92"/>
      <c r="B95" s="196"/>
      <c r="C95" s="64" t="s">
        <v>102</v>
      </c>
      <c r="D95" s="99">
        <v>230.0</v>
      </c>
      <c r="E95" s="100"/>
      <c r="F95" s="100"/>
      <c r="G95" s="100"/>
      <c r="H95" s="100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92"/>
      <c r="B96" s="113" t="s">
        <v>620</v>
      </c>
      <c r="C96" s="77" t="s">
        <v>621</v>
      </c>
      <c r="D96" s="99">
        <v>2200.0</v>
      </c>
      <c r="E96" s="100"/>
      <c r="F96" s="100"/>
      <c r="G96" s="100"/>
      <c r="H96" s="100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92"/>
      <c r="B97" s="113" t="s">
        <v>91</v>
      </c>
      <c r="C97" s="77" t="s">
        <v>92</v>
      </c>
      <c r="D97" s="99">
        <f>1000+1000</f>
        <v>2000</v>
      </c>
      <c r="E97" s="100"/>
      <c r="F97" s="100"/>
      <c r="G97" s="100"/>
      <c r="H97" s="100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92"/>
      <c r="B98" s="76" t="s">
        <v>185</v>
      </c>
      <c r="C98" s="112" t="s">
        <v>186</v>
      </c>
      <c r="D98" s="99">
        <v>40.0</v>
      </c>
      <c r="E98" s="100"/>
      <c r="F98" s="100"/>
      <c r="G98" s="100"/>
      <c r="H98" s="100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92"/>
      <c r="B99" s="76" t="s">
        <v>622</v>
      </c>
      <c r="C99" s="77" t="s">
        <v>623</v>
      </c>
      <c r="D99" s="99">
        <v>1500.0</v>
      </c>
      <c r="E99" s="100"/>
      <c r="F99" s="100"/>
      <c r="G99" s="100"/>
      <c r="H99" s="100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92"/>
      <c r="B100" s="196"/>
      <c r="C100" s="198"/>
      <c r="D100" s="100"/>
      <c r="E100" s="100"/>
      <c r="F100" s="100"/>
      <c r="G100" s="100"/>
      <c r="H100" s="100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90">
        <v>45822.0</v>
      </c>
      <c r="B101" s="40" t="s">
        <v>25</v>
      </c>
      <c r="C101" s="64" t="s">
        <v>26</v>
      </c>
      <c r="D101" s="100">
        <f>1800+600</f>
        <v>2400</v>
      </c>
      <c r="E101" s="100"/>
      <c r="F101" s="100"/>
      <c r="G101" s="100"/>
      <c r="H101" s="100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92"/>
      <c r="B102" s="40" t="s">
        <v>101</v>
      </c>
      <c r="C102" s="64" t="s">
        <v>102</v>
      </c>
      <c r="D102" s="100">
        <f>600+75+150</f>
        <v>825</v>
      </c>
      <c r="E102" s="100"/>
      <c r="F102" s="100"/>
      <c r="G102" s="100"/>
      <c r="H102" s="100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92"/>
      <c r="B103" s="76" t="s">
        <v>214</v>
      </c>
      <c r="C103" s="77" t="s">
        <v>215</v>
      </c>
      <c r="D103" s="99">
        <v>2000.0</v>
      </c>
      <c r="E103" s="100"/>
      <c r="F103" s="100"/>
      <c r="G103" s="100"/>
      <c r="H103" s="100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92"/>
      <c r="B104" s="113" t="s">
        <v>620</v>
      </c>
      <c r="C104" s="77" t="s">
        <v>621</v>
      </c>
      <c r="D104" s="99">
        <v>1800.0</v>
      </c>
      <c r="E104" s="100"/>
      <c r="F104" s="100"/>
      <c r="G104" s="100"/>
      <c r="H104" s="100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92"/>
      <c r="B105" s="113" t="s">
        <v>91</v>
      </c>
      <c r="C105" s="77" t="s">
        <v>92</v>
      </c>
      <c r="D105" s="99">
        <v>2000.0</v>
      </c>
      <c r="E105" s="100"/>
      <c r="F105" s="100"/>
      <c r="G105" s="100"/>
      <c r="H105" s="100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92"/>
      <c r="B106" s="113" t="s">
        <v>185</v>
      </c>
      <c r="C106" s="112" t="s">
        <v>186</v>
      </c>
      <c r="D106" s="99">
        <f>40+10</f>
        <v>50</v>
      </c>
      <c r="E106" s="100"/>
      <c r="F106" s="100"/>
      <c r="G106" s="100"/>
      <c r="H106" s="100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92"/>
      <c r="B107" s="113" t="s">
        <v>622</v>
      </c>
      <c r="C107" s="77" t="s">
        <v>623</v>
      </c>
      <c r="D107" s="99">
        <v>1500.0</v>
      </c>
      <c r="E107" s="100"/>
      <c r="F107" s="100"/>
      <c r="G107" s="100"/>
      <c r="H107" s="100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92"/>
      <c r="B108" s="106" t="s">
        <v>61</v>
      </c>
      <c r="C108" s="107" t="s">
        <v>62</v>
      </c>
      <c r="D108" s="99">
        <f>375+625</f>
        <v>1000</v>
      </c>
      <c r="E108" s="100"/>
      <c r="F108" s="99"/>
      <c r="G108" s="100"/>
      <c r="H108" s="100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92"/>
      <c r="B109" s="196"/>
      <c r="C109" s="198"/>
      <c r="D109" s="100"/>
      <c r="E109" s="100"/>
      <c r="F109" s="100"/>
      <c r="G109" s="100"/>
      <c r="H109" s="100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90">
        <v>45824.0</v>
      </c>
      <c r="B110" s="106" t="s">
        <v>61</v>
      </c>
      <c r="C110" s="107" t="s">
        <v>62</v>
      </c>
      <c r="D110" s="100">
        <f>500+375+750</f>
        <v>1625</v>
      </c>
      <c r="E110" s="100"/>
      <c r="F110" s="100"/>
      <c r="G110" s="100"/>
      <c r="H110" s="100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92"/>
      <c r="B111" s="40" t="s">
        <v>101</v>
      </c>
      <c r="C111" s="64" t="s">
        <v>102</v>
      </c>
      <c r="D111" s="100">
        <f>3150</f>
        <v>3150</v>
      </c>
      <c r="E111" s="100"/>
      <c r="F111" s="100"/>
      <c r="G111" s="100"/>
      <c r="H111" s="100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92"/>
      <c r="B112" s="113" t="s">
        <v>91</v>
      </c>
      <c r="C112" s="77" t="s">
        <v>92</v>
      </c>
      <c r="D112" s="99">
        <v>2000.0</v>
      </c>
      <c r="E112" s="100"/>
      <c r="F112" s="100"/>
      <c r="G112" s="100"/>
      <c r="H112" s="100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92"/>
      <c r="B113" s="76" t="s">
        <v>214</v>
      </c>
      <c r="C113" s="77" t="s">
        <v>215</v>
      </c>
      <c r="D113" s="100">
        <f>1000+2000</f>
        <v>3000</v>
      </c>
      <c r="E113" s="100"/>
      <c r="F113" s="100"/>
      <c r="G113" s="100"/>
      <c r="H113" s="100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92"/>
      <c r="B114" s="113" t="s">
        <v>620</v>
      </c>
      <c r="C114" s="77" t="s">
        <v>621</v>
      </c>
      <c r="D114" s="100">
        <f>1000+1000</f>
        <v>2000</v>
      </c>
      <c r="E114" s="100"/>
      <c r="F114" s="100"/>
      <c r="G114" s="100"/>
      <c r="H114" s="100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92"/>
      <c r="B115" s="113" t="s">
        <v>622</v>
      </c>
      <c r="C115" s="77" t="s">
        <v>623</v>
      </c>
      <c r="D115" s="99">
        <v>1500.0</v>
      </c>
      <c r="E115" s="100"/>
      <c r="F115" s="100"/>
      <c r="G115" s="100"/>
      <c r="H115" s="100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92"/>
      <c r="B116" s="113" t="s">
        <v>185</v>
      </c>
      <c r="C116" s="112" t="s">
        <v>186</v>
      </c>
      <c r="D116" s="99">
        <f>20+25</f>
        <v>45</v>
      </c>
      <c r="E116" s="100"/>
      <c r="F116" s="100"/>
      <c r="G116" s="100"/>
      <c r="H116" s="100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92"/>
      <c r="B117" s="103"/>
      <c r="C117" s="193"/>
      <c r="D117" s="100"/>
      <c r="E117" s="100"/>
      <c r="F117" s="100"/>
      <c r="G117" s="100"/>
      <c r="H117" s="100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90">
        <v>45825.0</v>
      </c>
      <c r="B118" s="106" t="s">
        <v>61</v>
      </c>
      <c r="C118" s="107" t="s">
        <v>62</v>
      </c>
      <c r="D118" s="99">
        <v>250.0</v>
      </c>
      <c r="E118" s="99"/>
      <c r="F118" s="199" t="s">
        <v>624</v>
      </c>
      <c r="G118" s="100"/>
      <c r="H118" s="100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92"/>
      <c r="B119" s="103"/>
      <c r="C119" s="193"/>
      <c r="D119" s="100"/>
      <c r="E119" s="100"/>
      <c r="F119" s="100"/>
      <c r="G119" s="100"/>
      <c r="H119" s="100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90">
        <v>45827.0</v>
      </c>
      <c r="B120" s="76" t="s">
        <v>214</v>
      </c>
      <c r="C120" s="77" t="s">
        <v>215</v>
      </c>
      <c r="D120" s="100">
        <f>1500+500+1500</f>
        <v>3500</v>
      </c>
      <c r="E120" s="100"/>
      <c r="F120" s="100"/>
      <c r="G120" s="100"/>
      <c r="H120" s="100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92"/>
      <c r="B121" s="40" t="s">
        <v>101</v>
      </c>
      <c r="C121" s="64" t="s">
        <v>102</v>
      </c>
      <c r="D121" s="100">
        <f>75+750</f>
        <v>825</v>
      </c>
      <c r="E121" s="100"/>
      <c r="F121" s="100"/>
      <c r="G121" s="100"/>
      <c r="H121" s="100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92"/>
      <c r="B122" s="113" t="s">
        <v>185</v>
      </c>
      <c r="C122" s="112" t="s">
        <v>186</v>
      </c>
      <c r="D122" s="99">
        <v>20.0</v>
      </c>
      <c r="E122" s="100"/>
      <c r="F122" s="100"/>
      <c r="G122" s="100"/>
      <c r="H122" s="100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92"/>
      <c r="B123" s="113" t="s">
        <v>91</v>
      </c>
      <c r="C123" s="77" t="s">
        <v>92</v>
      </c>
      <c r="D123" s="99">
        <v>1000.0</v>
      </c>
      <c r="E123" s="100"/>
      <c r="F123" s="100"/>
      <c r="G123" s="100"/>
      <c r="H123" s="100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92"/>
      <c r="B124" s="113" t="s">
        <v>620</v>
      </c>
      <c r="C124" s="77" t="s">
        <v>621</v>
      </c>
      <c r="D124" s="99">
        <v>2000.0</v>
      </c>
      <c r="E124" s="100"/>
      <c r="F124" s="100"/>
      <c r="G124" s="100"/>
      <c r="H124" s="100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92"/>
      <c r="B125" s="113" t="s">
        <v>622</v>
      </c>
      <c r="C125" s="77" t="s">
        <v>623</v>
      </c>
      <c r="D125" s="99">
        <v>1500.0</v>
      </c>
      <c r="E125" s="100"/>
      <c r="F125" s="100"/>
      <c r="G125" s="100"/>
      <c r="H125" s="100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92"/>
      <c r="B126" s="106" t="s">
        <v>61</v>
      </c>
      <c r="C126" s="107" t="s">
        <v>62</v>
      </c>
      <c r="D126" s="99">
        <v>750.0</v>
      </c>
      <c r="E126" s="100"/>
      <c r="F126" s="100"/>
      <c r="G126" s="100"/>
      <c r="H126" s="100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92"/>
      <c r="B127" s="103"/>
      <c r="C127" s="193"/>
      <c r="D127" s="100"/>
      <c r="E127" s="100"/>
      <c r="F127" s="100"/>
      <c r="G127" s="100"/>
      <c r="H127" s="100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90">
        <v>45828.0</v>
      </c>
      <c r="B128" s="106" t="s">
        <v>61</v>
      </c>
      <c r="C128" s="107" t="s">
        <v>62</v>
      </c>
      <c r="D128" s="100">
        <f>750+750</f>
        <v>1500</v>
      </c>
      <c r="E128" s="100"/>
      <c r="F128" s="100"/>
      <c r="G128" s="100"/>
      <c r="H128" s="100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92"/>
      <c r="B129" s="76" t="s">
        <v>214</v>
      </c>
      <c r="C129" s="77" t="s">
        <v>215</v>
      </c>
      <c r="D129" s="100">
        <f>1000+2000</f>
        <v>3000</v>
      </c>
      <c r="E129" s="100"/>
      <c r="F129" s="100"/>
      <c r="G129" s="100"/>
      <c r="H129" s="100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92"/>
      <c r="B130" s="113" t="s">
        <v>91</v>
      </c>
      <c r="C130" s="77" t="s">
        <v>92</v>
      </c>
      <c r="D130" s="100">
        <f>1000+1000</f>
        <v>2000</v>
      </c>
      <c r="E130" s="100"/>
      <c r="F130" s="100"/>
      <c r="G130" s="100"/>
      <c r="H130" s="100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92"/>
      <c r="B131" s="40" t="s">
        <v>101</v>
      </c>
      <c r="C131" s="64" t="s">
        <v>102</v>
      </c>
      <c r="D131" s="100">
        <f>2375</f>
        <v>2375</v>
      </c>
      <c r="E131" s="100"/>
      <c r="F131" s="100"/>
      <c r="G131" s="100"/>
      <c r="H131" s="100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92"/>
      <c r="B132" s="113" t="s">
        <v>620</v>
      </c>
      <c r="C132" s="77" t="s">
        <v>621</v>
      </c>
      <c r="D132" s="99">
        <v>1000.0</v>
      </c>
      <c r="E132" s="100"/>
      <c r="F132" s="100"/>
      <c r="G132" s="100"/>
      <c r="H132" s="100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92"/>
      <c r="B133" s="113" t="s">
        <v>185</v>
      </c>
      <c r="C133" s="112" t="s">
        <v>186</v>
      </c>
      <c r="D133" s="99">
        <f>20+10</f>
        <v>30</v>
      </c>
      <c r="E133" s="100"/>
      <c r="F133" s="100"/>
      <c r="G133" s="100"/>
      <c r="H133" s="100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92"/>
      <c r="B134" s="103"/>
      <c r="C134" s="193"/>
      <c r="D134" s="100"/>
      <c r="E134" s="100"/>
      <c r="F134" s="100"/>
      <c r="G134" s="100"/>
      <c r="H134" s="100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90">
        <v>45829.0</v>
      </c>
      <c r="B135" s="106" t="s">
        <v>61</v>
      </c>
      <c r="C135" s="107" t="s">
        <v>62</v>
      </c>
      <c r="D135" s="100">
        <f>750+750</f>
        <v>1500</v>
      </c>
      <c r="E135" s="100"/>
      <c r="F135" s="100"/>
      <c r="G135" s="100"/>
      <c r="H135" s="100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92"/>
      <c r="B136" s="40" t="s">
        <v>101</v>
      </c>
      <c r="C136" s="64" t="s">
        <v>102</v>
      </c>
      <c r="D136" s="100">
        <f>1050+1250+25</f>
        <v>2325</v>
      </c>
      <c r="E136" s="100"/>
      <c r="F136" s="100"/>
      <c r="G136" s="100"/>
      <c r="H136" s="100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92"/>
      <c r="B137" s="106" t="s">
        <v>25</v>
      </c>
      <c r="C137" s="107" t="s">
        <v>26</v>
      </c>
      <c r="D137" s="99">
        <v>625.0</v>
      </c>
      <c r="E137" s="100"/>
      <c r="F137" s="100"/>
      <c r="G137" s="100"/>
      <c r="H137" s="100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92"/>
      <c r="B138" s="113" t="s">
        <v>91</v>
      </c>
      <c r="C138" s="77" t="s">
        <v>92</v>
      </c>
      <c r="D138" s="99">
        <v>1000.0</v>
      </c>
      <c r="E138" s="100"/>
      <c r="F138" s="100"/>
      <c r="G138" s="100"/>
      <c r="H138" s="100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92"/>
      <c r="B139" s="113" t="s">
        <v>620</v>
      </c>
      <c r="C139" s="77" t="s">
        <v>621</v>
      </c>
      <c r="D139" s="99">
        <v>800.0</v>
      </c>
      <c r="E139" s="100"/>
      <c r="F139" s="100"/>
      <c r="G139" s="100"/>
      <c r="H139" s="100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92"/>
      <c r="B140" s="113" t="s">
        <v>622</v>
      </c>
      <c r="C140" s="77" t="s">
        <v>623</v>
      </c>
      <c r="D140" s="99">
        <v>1500.0</v>
      </c>
      <c r="E140" s="100"/>
      <c r="F140" s="100"/>
      <c r="G140" s="100"/>
      <c r="H140" s="100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92"/>
      <c r="B141" s="76" t="s">
        <v>214</v>
      </c>
      <c r="C141" s="77" t="s">
        <v>215</v>
      </c>
      <c r="D141" s="100">
        <f>1500+500+2000</f>
        <v>4000</v>
      </c>
      <c r="E141" s="100"/>
      <c r="F141" s="100"/>
      <c r="G141" s="100"/>
      <c r="H141" s="100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92"/>
      <c r="B142" s="103"/>
      <c r="C142" s="193"/>
      <c r="D142" s="100"/>
      <c r="E142" s="100"/>
      <c r="F142" s="100"/>
      <c r="G142" s="100"/>
      <c r="H142" s="100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90">
        <v>45830.0</v>
      </c>
      <c r="B143" s="106" t="s">
        <v>61</v>
      </c>
      <c r="C143" s="107" t="s">
        <v>62</v>
      </c>
      <c r="D143" s="100">
        <f>750+750</f>
        <v>1500</v>
      </c>
      <c r="E143" s="100"/>
      <c r="F143" s="100"/>
      <c r="G143" s="100"/>
      <c r="H143" s="100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92"/>
      <c r="B144" s="40" t="s">
        <v>101</v>
      </c>
      <c r="C144" s="64" t="s">
        <v>102</v>
      </c>
      <c r="D144" s="100">
        <f>1125+600</f>
        <v>1725</v>
      </c>
      <c r="E144" s="100"/>
      <c r="F144" s="100"/>
      <c r="G144" s="100"/>
      <c r="H144" s="100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92"/>
      <c r="B145" s="106" t="s">
        <v>25</v>
      </c>
      <c r="C145" s="107" t="s">
        <v>26</v>
      </c>
      <c r="D145" s="100">
        <f>1250</f>
        <v>1250</v>
      </c>
      <c r="E145" s="100"/>
      <c r="F145" s="100"/>
      <c r="G145" s="100"/>
      <c r="H145" s="100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92"/>
      <c r="B146" s="113" t="s">
        <v>185</v>
      </c>
      <c r="C146" s="112" t="s">
        <v>186</v>
      </c>
      <c r="D146" s="99">
        <v>40.0</v>
      </c>
      <c r="E146" s="100"/>
      <c r="F146" s="100"/>
      <c r="G146" s="100"/>
      <c r="H146" s="100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92"/>
      <c r="B147" s="76" t="s">
        <v>214</v>
      </c>
      <c r="C147" s="77" t="s">
        <v>215</v>
      </c>
      <c r="D147" s="100">
        <f>1500+1500+1000</f>
        <v>4000</v>
      </c>
      <c r="E147" s="100"/>
      <c r="F147" s="100"/>
      <c r="G147" s="100"/>
      <c r="H147" s="100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92"/>
      <c r="B148" s="113" t="s">
        <v>91</v>
      </c>
      <c r="C148" s="77" t="s">
        <v>92</v>
      </c>
      <c r="D148" s="99">
        <v>2000.0</v>
      </c>
      <c r="E148" s="100"/>
      <c r="F148" s="100"/>
      <c r="G148" s="100"/>
      <c r="H148" s="100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92"/>
      <c r="B149" s="113" t="s">
        <v>620</v>
      </c>
      <c r="C149" s="77" t="s">
        <v>621</v>
      </c>
      <c r="D149" s="99">
        <v>1800.0</v>
      </c>
      <c r="E149" s="100"/>
      <c r="F149" s="100"/>
      <c r="G149" s="100"/>
      <c r="H149" s="100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92"/>
      <c r="B150" s="103"/>
      <c r="C150" s="193"/>
      <c r="D150" s="100"/>
      <c r="E150" s="100"/>
      <c r="F150" s="100"/>
      <c r="G150" s="100"/>
      <c r="H150" s="100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90">
        <v>45831.0</v>
      </c>
      <c r="B151" s="106" t="s">
        <v>61</v>
      </c>
      <c r="C151" s="107" t="s">
        <v>62</v>
      </c>
      <c r="D151" s="99">
        <v>750.0</v>
      </c>
      <c r="E151" s="100"/>
      <c r="F151" s="100"/>
      <c r="G151" s="100"/>
      <c r="H151" s="100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92"/>
      <c r="B152" s="103"/>
      <c r="C152" s="193"/>
      <c r="D152" s="100"/>
      <c r="E152" s="100"/>
      <c r="F152" s="100"/>
      <c r="G152" s="100"/>
      <c r="H152" s="100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92"/>
      <c r="B153" s="103"/>
      <c r="C153" s="193"/>
      <c r="D153" s="100"/>
      <c r="E153" s="100"/>
      <c r="F153" s="100"/>
      <c r="G153" s="100"/>
      <c r="H153" s="100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92"/>
      <c r="B154" s="103"/>
      <c r="C154" s="193"/>
      <c r="D154" s="100"/>
      <c r="E154" s="100"/>
      <c r="F154" s="100"/>
      <c r="G154" s="100"/>
      <c r="H154" s="100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92"/>
      <c r="B155" s="103"/>
      <c r="C155" s="193"/>
      <c r="D155" s="100"/>
      <c r="E155" s="100"/>
      <c r="F155" s="100"/>
      <c r="G155" s="100"/>
      <c r="H155" s="100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92"/>
      <c r="B156" s="103"/>
      <c r="C156" s="200"/>
      <c r="D156" s="100"/>
      <c r="E156" s="100"/>
      <c r="F156" s="100"/>
      <c r="G156" s="100"/>
      <c r="H156" s="100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92"/>
      <c r="B157" s="103"/>
      <c r="C157" s="200"/>
      <c r="D157" s="100"/>
      <c r="E157" s="100"/>
      <c r="F157" s="100"/>
      <c r="G157" s="100"/>
      <c r="H157" s="100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201"/>
      <c r="B158" s="27"/>
      <c r="C158" s="202" t="s">
        <v>625</v>
      </c>
      <c r="D158" s="95"/>
      <c r="E158" s="95"/>
      <c r="F158" s="95"/>
      <c r="G158" s="95"/>
      <c r="H158" s="95"/>
      <c r="I158" s="180"/>
    </row>
    <row r="159" ht="15.75" customHeight="1">
      <c r="A159" s="96">
        <v>45808.0</v>
      </c>
      <c r="B159" s="76" t="s">
        <v>69</v>
      </c>
      <c r="C159" s="112" t="s">
        <v>626</v>
      </c>
      <c r="D159" s="102">
        <f>7500</f>
        <v>7500</v>
      </c>
      <c r="E159" s="100"/>
      <c r="F159" s="100"/>
      <c r="G159" s="100"/>
      <c r="H159" s="100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ht="15.75" customHeight="1">
      <c r="A160" s="102"/>
      <c r="B160" s="76" t="s">
        <v>627</v>
      </c>
      <c r="C160" s="112" t="s">
        <v>628</v>
      </c>
      <c r="D160" s="97">
        <v>50.0</v>
      </c>
      <c r="E160" s="100"/>
      <c r="F160" s="100"/>
      <c r="G160" s="100"/>
      <c r="H160" s="100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ht="15.75" customHeight="1">
      <c r="A161" s="102"/>
      <c r="B161" s="76" t="s">
        <v>16</v>
      </c>
      <c r="C161" s="112" t="s">
        <v>17</v>
      </c>
      <c r="D161" s="102">
        <f>21+15+25</f>
        <v>61</v>
      </c>
      <c r="E161" s="100"/>
      <c r="F161" s="100"/>
      <c r="G161" s="100"/>
      <c r="H161" s="100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ht="15.75" customHeight="1">
      <c r="A162" s="102"/>
      <c r="B162" s="76" t="s">
        <v>21</v>
      </c>
      <c r="C162" s="112" t="s">
        <v>22</v>
      </c>
      <c r="D162" s="97">
        <v>42.0</v>
      </c>
      <c r="E162" s="100"/>
      <c r="F162" s="100"/>
      <c r="G162" s="100"/>
      <c r="H162" s="100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ht="15.75" customHeight="1">
      <c r="A163" s="102"/>
      <c r="B163" s="109"/>
      <c r="C163" s="203"/>
      <c r="D163" s="102"/>
      <c r="E163" s="100"/>
      <c r="F163" s="100"/>
      <c r="G163" s="100"/>
      <c r="H163" s="100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ht="15.75" customHeight="1">
      <c r="A164" s="96">
        <v>45809.0</v>
      </c>
      <c r="B164" s="72" t="s">
        <v>185</v>
      </c>
      <c r="C164" s="108" t="s">
        <v>186</v>
      </c>
      <c r="D164" s="99">
        <v>20.0</v>
      </c>
      <c r="E164" s="100"/>
      <c r="F164" s="100"/>
      <c r="G164" s="100"/>
      <c r="H164" s="100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ht="15.75" customHeight="1">
      <c r="A165" s="102"/>
      <c r="B165" s="76" t="s">
        <v>627</v>
      </c>
      <c r="C165" s="112" t="s">
        <v>628</v>
      </c>
      <c r="D165" s="97">
        <v>100.0</v>
      </c>
      <c r="E165" s="100"/>
      <c r="F165" s="100"/>
      <c r="G165" s="100"/>
      <c r="H165" s="100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ht="15.75" customHeight="1">
      <c r="A166" s="102"/>
      <c r="B166" s="76" t="s">
        <v>16</v>
      </c>
      <c r="C166" s="112" t="s">
        <v>17</v>
      </c>
      <c r="D166" s="97">
        <v>3.0</v>
      </c>
      <c r="E166" s="100"/>
      <c r="F166" s="100"/>
      <c r="G166" s="100"/>
      <c r="H166" s="100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ht="15.75" customHeight="1">
      <c r="A167" s="102"/>
      <c r="B167" s="109"/>
      <c r="C167" s="203"/>
      <c r="D167" s="102"/>
      <c r="E167" s="100"/>
      <c r="F167" s="100"/>
      <c r="G167" s="100"/>
      <c r="H167" s="100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ht="15.75" customHeight="1">
      <c r="A168" s="96">
        <v>45810.0</v>
      </c>
      <c r="B168" s="76" t="s">
        <v>16</v>
      </c>
      <c r="C168" s="112" t="s">
        <v>17</v>
      </c>
      <c r="D168" s="102">
        <f>16+6+2+9</f>
        <v>33</v>
      </c>
      <c r="E168" s="100"/>
      <c r="F168" s="100"/>
      <c r="G168" s="100"/>
      <c r="H168" s="100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ht="15.75" customHeight="1">
      <c r="A169" s="102"/>
      <c r="B169" s="76" t="s">
        <v>21</v>
      </c>
      <c r="C169" s="112" t="s">
        <v>22</v>
      </c>
      <c r="D169" s="102">
        <f>10+24+20</f>
        <v>54</v>
      </c>
      <c r="E169" s="100"/>
      <c r="F169" s="100"/>
      <c r="G169" s="100"/>
      <c r="H169" s="100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ht="15.75" customHeight="1">
      <c r="A170" s="102"/>
      <c r="B170" s="72" t="s">
        <v>69</v>
      </c>
      <c r="C170" s="73" t="s">
        <v>70</v>
      </c>
      <c r="D170" s="102">
        <f>16500</f>
        <v>16500</v>
      </c>
      <c r="E170" s="100"/>
      <c r="F170" s="100"/>
      <c r="G170" s="100"/>
      <c r="H170" s="100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ht="15.75" customHeight="1">
      <c r="A171" s="102"/>
      <c r="B171" s="72" t="s">
        <v>148</v>
      </c>
      <c r="C171" s="108" t="s">
        <v>149</v>
      </c>
      <c r="D171" s="97">
        <v>1.0</v>
      </c>
      <c r="E171" s="100"/>
      <c r="F171" s="100"/>
      <c r="G171" s="100"/>
      <c r="H171" s="100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2"/>
      <c r="B172" s="76" t="s">
        <v>627</v>
      </c>
      <c r="C172" s="112" t="s">
        <v>628</v>
      </c>
      <c r="D172" s="97">
        <v>150.0</v>
      </c>
      <c r="E172" s="100"/>
      <c r="F172" s="100"/>
      <c r="G172" s="100"/>
      <c r="H172" s="100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2"/>
      <c r="B173" s="204"/>
      <c r="C173" s="205"/>
      <c r="D173" s="102"/>
      <c r="E173" s="100"/>
      <c r="F173" s="100"/>
      <c r="G173" s="100"/>
      <c r="H173" s="100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96">
        <v>45811.0</v>
      </c>
      <c r="B174" s="76" t="s">
        <v>16</v>
      </c>
      <c r="C174" s="112" t="s">
        <v>17</v>
      </c>
      <c r="D174" s="102">
        <f>10+7+14</f>
        <v>31</v>
      </c>
      <c r="E174" s="100"/>
      <c r="F174" s="100"/>
      <c r="G174" s="100"/>
      <c r="H174" s="100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2"/>
      <c r="B175" s="76" t="s">
        <v>21</v>
      </c>
      <c r="C175" s="112" t="s">
        <v>22</v>
      </c>
      <c r="D175" s="102">
        <f>30+5+25</f>
        <v>60</v>
      </c>
      <c r="E175" s="100"/>
      <c r="F175" s="100"/>
      <c r="G175" s="100"/>
      <c r="H175" s="100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2"/>
      <c r="B176" s="76" t="s">
        <v>627</v>
      </c>
      <c r="C176" s="112" t="s">
        <v>628</v>
      </c>
      <c r="D176" s="97">
        <v>100.0</v>
      </c>
      <c r="E176" s="100"/>
      <c r="F176" s="100"/>
      <c r="G176" s="100"/>
      <c r="H176" s="100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2"/>
      <c r="B177" s="72" t="s">
        <v>148</v>
      </c>
      <c r="C177" s="108" t="s">
        <v>149</v>
      </c>
      <c r="D177" s="97">
        <v>2.0</v>
      </c>
      <c r="E177" s="100"/>
      <c r="F177" s="100"/>
      <c r="G177" s="100"/>
      <c r="H177" s="100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2"/>
      <c r="B178" s="72" t="s">
        <v>69</v>
      </c>
      <c r="C178" s="73" t="s">
        <v>70</v>
      </c>
      <c r="D178" s="97">
        <v>7500.0</v>
      </c>
      <c r="E178" s="100"/>
      <c r="F178" s="100"/>
      <c r="G178" s="100"/>
      <c r="H178" s="100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2"/>
      <c r="B179" s="72" t="s">
        <v>74</v>
      </c>
      <c r="C179" s="73" t="s">
        <v>75</v>
      </c>
      <c r="D179" s="97">
        <v>4800.0</v>
      </c>
      <c r="E179" s="100"/>
      <c r="F179" s="100"/>
      <c r="G179" s="100"/>
      <c r="H179" s="100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2"/>
      <c r="B180" s="72" t="s">
        <v>620</v>
      </c>
      <c r="C180" s="116" t="s">
        <v>621</v>
      </c>
      <c r="D180" s="97">
        <v>600.0</v>
      </c>
      <c r="E180" s="100"/>
      <c r="F180" s="100"/>
      <c r="G180" s="100"/>
      <c r="H180" s="100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2"/>
      <c r="B181" s="72" t="s">
        <v>185</v>
      </c>
      <c r="C181" s="108" t="s">
        <v>186</v>
      </c>
      <c r="D181" s="97">
        <v>22.0</v>
      </c>
      <c r="E181" s="100"/>
      <c r="F181" s="100"/>
      <c r="G181" s="100"/>
      <c r="H181" s="100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2"/>
      <c r="B182" s="204"/>
      <c r="C182" s="205"/>
      <c r="D182" s="102"/>
      <c r="E182" s="100"/>
      <c r="F182" s="100"/>
      <c r="G182" s="100"/>
      <c r="H182" s="100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96">
        <v>45812.0</v>
      </c>
      <c r="B183" s="76" t="s">
        <v>16</v>
      </c>
      <c r="C183" s="112" t="s">
        <v>17</v>
      </c>
      <c r="D183" s="102">
        <f>6+5+15</f>
        <v>26</v>
      </c>
      <c r="E183" s="100"/>
      <c r="F183" s="100"/>
      <c r="G183" s="100"/>
      <c r="H183" s="100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2"/>
      <c r="B184" s="76" t="s">
        <v>21</v>
      </c>
      <c r="C184" s="112" t="s">
        <v>22</v>
      </c>
      <c r="D184" s="102">
        <f>24+10+4+6+35</f>
        <v>79</v>
      </c>
      <c r="E184" s="100"/>
      <c r="F184" s="100"/>
      <c r="G184" s="100"/>
      <c r="H184" s="100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2"/>
      <c r="B185" s="76" t="s">
        <v>627</v>
      </c>
      <c r="C185" s="112" t="s">
        <v>628</v>
      </c>
      <c r="D185" s="97">
        <v>125.0</v>
      </c>
      <c r="E185" s="100"/>
      <c r="F185" s="100"/>
      <c r="G185" s="100"/>
      <c r="H185" s="100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2"/>
      <c r="B186" s="72" t="s">
        <v>148</v>
      </c>
      <c r="C186" s="108" t="s">
        <v>149</v>
      </c>
      <c r="D186" s="97">
        <v>2.0</v>
      </c>
      <c r="E186" s="100"/>
      <c r="F186" s="100"/>
      <c r="G186" s="100"/>
      <c r="H186" s="100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2"/>
      <c r="B187" s="72" t="s">
        <v>629</v>
      </c>
      <c r="C187" s="108" t="s">
        <v>630</v>
      </c>
      <c r="D187" s="97">
        <v>12.0</v>
      </c>
      <c r="E187" s="100"/>
      <c r="F187" s="100"/>
      <c r="G187" s="100"/>
      <c r="H187" s="100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2"/>
      <c r="B188" s="72" t="s">
        <v>185</v>
      </c>
      <c r="C188" s="108" t="s">
        <v>186</v>
      </c>
      <c r="D188" s="97">
        <v>20.0</v>
      </c>
      <c r="E188" s="100"/>
      <c r="F188" s="100"/>
      <c r="G188" s="100"/>
      <c r="H188" s="100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2"/>
      <c r="B189" s="204"/>
      <c r="C189" s="205"/>
      <c r="D189" s="102"/>
      <c r="E189" s="100"/>
      <c r="F189" s="100"/>
      <c r="G189" s="100"/>
      <c r="H189" s="100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96">
        <v>45813.0</v>
      </c>
      <c r="B190" s="72" t="s">
        <v>148</v>
      </c>
      <c r="C190" s="108" t="s">
        <v>149</v>
      </c>
      <c r="D190" s="97">
        <v>2.0</v>
      </c>
      <c r="E190" s="100"/>
      <c r="F190" s="100"/>
      <c r="G190" s="100"/>
      <c r="H190" s="100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2"/>
      <c r="B191" s="76" t="s">
        <v>627</v>
      </c>
      <c r="C191" s="112" t="s">
        <v>628</v>
      </c>
      <c r="D191" s="97">
        <v>100.0</v>
      </c>
      <c r="E191" s="100"/>
      <c r="F191" s="100"/>
      <c r="G191" s="100"/>
      <c r="H191" s="100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2"/>
      <c r="B192" s="76" t="s">
        <v>16</v>
      </c>
      <c r="C192" s="112" t="s">
        <v>17</v>
      </c>
      <c r="D192" s="102">
        <f>10+6+10+6+17+10</f>
        <v>59</v>
      </c>
      <c r="E192" s="100"/>
      <c r="F192" s="100"/>
      <c r="G192" s="100"/>
      <c r="H192" s="100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2"/>
      <c r="B193" s="76" t="s">
        <v>21</v>
      </c>
      <c r="C193" s="112" t="s">
        <v>22</v>
      </c>
      <c r="D193" s="97">
        <f>30+15</f>
        <v>45</v>
      </c>
      <c r="E193" s="100"/>
      <c r="F193" s="100"/>
      <c r="G193" s="100"/>
      <c r="H193" s="100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2"/>
      <c r="B194" s="72" t="s">
        <v>185</v>
      </c>
      <c r="C194" s="108" t="s">
        <v>186</v>
      </c>
      <c r="D194" s="97">
        <v>10.0</v>
      </c>
      <c r="E194" s="100"/>
      <c r="F194" s="100"/>
      <c r="G194" s="100"/>
      <c r="H194" s="100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2"/>
      <c r="B195" s="204"/>
      <c r="C195" s="205"/>
      <c r="D195" s="102"/>
      <c r="E195" s="100"/>
      <c r="F195" s="100"/>
      <c r="G195" s="100"/>
      <c r="H195" s="100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96">
        <v>45814.0</v>
      </c>
      <c r="B196" s="76" t="s">
        <v>16</v>
      </c>
      <c r="C196" s="112" t="s">
        <v>17</v>
      </c>
      <c r="D196" s="102">
        <f>6+10+2+3+12</f>
        <v>33</v>
      </c>
      <c r="E196" s="100"/>
      <c r="F196" s="100"/>
      <c r="G196" s="100"/>
      <c r="H196" s="100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2"/>
      <c r="B197" s="76" t="s">
        <v>21</v>
      </c>
      <c r="C197" s="112" t="s">
        <v>22</v>
      </c>
      <c r="D197" s="97">
        <f>10+15</f>
        <v>25</v>
      </c>
      <c r="E197" s="100"/>
      <c r="F197" s="100"/>
      <c r="G197" s="100"/>
      <c r="H197" s="100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2"/>
      <c r="B198" s="76" t="s">
        <v>148</v>
      </c>
      <c r="C198" s="112" t="s">
        <v>149</v>
      </c>
      <c r="D198" s="97">
        <v>3.0</v>
      </c>
      <c r="E198" s="100"/>
      <c r="F198" s="100"/>
      <c r="G198" s="100"/>
      <c r="H198" s="100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2"/>
      <c r="B199" s="113" t="s">
        <v>627</v>
      </c>
      <c r="C199" s="112" t="s">
        <v>628</v>
      </c>
      <c r="D199" s="97">
        <v>100.0</v>
      </c>
      <c r="E199" s="100"/>
      <c r="F199" s="100"/>
      <c r="G199" s="100"/>
      <c r="H199" s="100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2"/>
      <c r="B200" s="72" t="s">
        <v>629</v>
      </c>
      <c r="C200" s="108" t="s">
        <v>630</v>
      </c>
      <c r="D200" s="97">
        <v>24.0</v>
      </c>
      <c r="E200" s="100"/>
      <c r="F200" s="100"/>
      <c r="G200" s="100"/>
      <c r="H200" s="100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2"/>
      <c r="B201" s="72" t="s">
        <v>74</v>
      </c>
      <c r="C201" s="73" t="s">
        <v>75</v>
      </c>
      <c r="D201" s="97">
        <v>6400.0</v>
      </c>
      <c r="E201" s="100"/>
      <c r="F201" s="100"/>
      <c r="G201" s="100"/>
      <c r="H201" s="100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2"/>
      <c r="B202" s="204"/>
      <c r="C202" s="205"/>
      <c r="D202" s="102"/>
      <c r="E202" s="100"/>
      <c r="F202" s="100"/>
      <c r="G202" s="100"/>
      <c r="H202" s="100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96">
        <v>45815.0</v>
      </c>
      <c r="B203" s="72" t="s">
        <v>74</v>
      </c>
      <c r="C203" s="73" t="s">
        <v>75</v>
      </c>
      <c r="D203" s="97">
        <f>5600+6400</f>
        <v>12000</v>
      </c>
      <c r="E203" s="100"/>
      <c r="F203" s="100"/>
      <c r="G203" s="100"/>
      <c r="H203" s="100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2"/>
      <c r="B204" s="76" t="s">
        <v>16</v>
      </c>
      <c r="C204" s="112" t="s">
        <v>17</v>
      </c>
      <c r="D204" s="97">
        <f>14+10+5+13+2</f>
        <v>44</v>
      </c>
      <c r="E204" s="100"/>
      <c r="F204" s="100"/>
      <c r="G204" s="100"/>
      <c r="H204" s="100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2"/>
      <c r="B205" s="76" t="s">
        <v>21</v>
      </c>
      <c r="C205" s="112" t="s">
        <v>22</v>
      </c>
      <c r="D205" s="97">
        <f>20+15</f>
        <v>35</v>
      </c>
      <c r="E205" s="100"/>
      <c r="F205" s="100"/>
      <c r="G205" s="100"/>
      <c r="H205" s="100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2"/>
      <c r="B206" s="113" t="s">
        <v>627</v>
      </c>
      <c r="C206" s="112" t="s">
        <v>628</v>
      </c>
      <c r="D206" s="97">
        <v>50.0</v>
      </c>
      <c r="E206" s="100"/>
      <c r="F206" s="100"/>
      <c r="G206" s="100"/>
      <c r="H206" s="100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2"/>
      <c r="B207" s="204"/>
      <c r="C207" s="205"/>
      <c r="D207" s="102"/>
      <c r="E207" s="100"/>
      <c r="F207" s="100"/>
      <c r="G207" s="100"/>
      <c r="H207" s="100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96">
        <v>45817.0</v>
      </c>
      <c r="B208" s="76" t="s">
        <v>16</v>
      </c>
      <c r="C208" s="112" t="s">
        <v>17</v>
      </c>
      <c r="D208" s="102">
        <f>6+12+3+8+6+12+6</f>
        <v>53</v>
      </c>
      <c r="E208" s="100"/>
      <c r="F208" s="100"/>
      <c r="G208" s="100"/>
      <c r="H208" s="100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2"/>
      <c r="B209" s="113" t="s">
        <v>627</v>
      </c>
      <c r="C209" s="112" t="s">
        <v>628</v>
      </c>
      <c r="D209" s="97">
        <v>200.0</v>
      </c>
      <c r="E209" s="100"/>
      <c r="F209" s="100"/>
      <c r="G209" s="100"/>
      <c r="H209" s="100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2"/>
      <c r="B210" s="76" t="s">
        <v>21</v>
      </c>
      <c r="C210" s="112" t="s">
        <v>22</v>
      </c>
      <c r="D210" s="97">
        <f>11+22</f>
        <v>33</v>
      </c>
      <c r="E210" s="100"/>
      <c r="F210" s="100"/>
      <c r="G210" s="100"/>
      <c r="H210" s="100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2"/>
      <c r="B211" s="72" t="s">
        <v>622</v>
      </c>
      <c r="C211" s="116" t="s">
        <v>623</v>
      </c>
      <c r="D211" s="97">
        <v>1500.0</v>
      </c>
      <c r="E211" s="100"/>
      <c r="F211" s="100"/>
      <c r="G211" s="100"/>
      <c r="H211" s="100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2"/>
      <c r="B212" s="72" t="s">
        <v>620</v>
      </c>
      <c r="C212" s="116" t="s">
        <v>621</v>
      </c>
      <c r="D212" s="97">
        <v>600.0</v>
      </c>
      <c r="E212" s="100"/>
      <c r="F212" s="100"/>
      <c r="G212" s="100"/>
      <c r="H212" s="100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2"/>
      <c r="B213" s="72" t="s">
        <v>629</v>
      </c>
      <c r="C213" s="108" t="s">
        <v>630</v>
      </c>
      <c r="D213" s="97">
        <v>12.0</v>
      </c>
      <c r="E213" s="100"/>
      <c r="F213" s="100"/>
      <c r="G213" s="100"/>
      <c r="H213" s="100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2"/>
      <c r="B214" s="204"/>
      <c r="C214" s="205"/>
      <c r="D214" s="102"/>
      <c r="E214" s="100"/>
      <c r="F214" s="100"/>
      <c r="G214" s="100"/>
      <c r="H214" s="100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96">
        <v>45818.0</v>
      </c>
      <c r="B215" s="113" t="s">
        <v>148</v>
      </c>
      <c r="C215" s="112" t="s">
        <v>149</v>
      </c>
      <c r="D215" s="97">
        <v>3.0</v>
      </c>
      <c r="E215" s="100"/>
      <c r="F215" s="100"/>
      <c r="G215" s="100"/>
      <c r="H215" s="100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2"/>
      <c r="B216" s="113" t="s">
        <v>627</v>
      </c>
      <c r="C216" s="112" t="s">
        <v>628</v>
      </c>
      <c r="D216" s="97">
        <v>100.0</v>
      </c>
      <c r="E216" s="100"/>
      <c r="F216" s="100"/>
      <c r="G216" s="100"/>
      <c r="H216" s="100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02"/>
      <c r="B217" s="76" t="s">
        <v>16</v>
      </c>
      <c r="C217" s="112" t="s">
        <v>17</v>
      </c>
      <c r="D217" s="102">
        <f>6+6+6+5+15+12</f>
        <v>50</v>
      </c>
      <c r="E217" s="100"/>
      <c r="F217" s="100"/>
      <c r="G217" s="100"/>
      <c r="H217" s="100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5.75" customHeight="1">
      <c r="A218" s="102"/>
      <c r="B218" s="76" t="s">
        <v>21</v>
      </c>
      <c r="C218" s="112" t="s">
        <v>22</v>
      </c>
      <c r="D218" s="102">
        <f>24+10+20+18</f>
        <v>72</v>
      </c>
      <c r="E218" s="100"/>
      <c r="F218" s="100"/>
      <c r="G218" s="100"/>
      <c r="H218" s="100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5.75" customHeight="1">
      <c r="A219" s="102"/>
      <c r="B219" s="204"/>
      <c r="C219" s="206"/>
      <c r="D219" s="102"/>
      <c r="E219" s="100"/>
      <c r="F219" s="100"/>
      <c r="G219" s="100"/>
      <c r="H219" s="100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5.75" customHeight="1">
      <c r="A220" s="96">
        <v>45819.0</v>
      </c>
      <c r="B220" s="76" t="s">
        <v>16</v>
      </c>
      <c r="C220" s="112" t="s">
        <v>17</v>
      </c>
      <c r="D220" s="102">
        <f>16+15+4+6+6+6+10</f>
        <v>63</v>
      </c>
      <c r="E220" s="100"/>
      <c r="F220" s="100"/>
      <c r="G220" s="100"/>
      <c r="H220" s="100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5.75" customHeight="1">
      <c r="A221" s="102"/>
      <c r="B221" s="76" t="s">
        <v>21</v>
      </c>
      <c r="C221" s="112" t="s">
        <v>22</v>
      </c>
      <c r="D221" s="102">
        <f>12+17+24</f>
        <v>53</v>
      </c>
      <c r="E221" s="100"/>
      <c r="F221" s="100"/>
      <c r="G221" s="100"/>
      <c r="H221" s="100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15.75" customHeight="1">
      <c r="A222" s="102"/>
      <c r="B222" s="113" t="s">
        <v>148</v>
      </c>
      <c r="C222" s="112" t="s">
        <v>149</v>
      </c>
      <c r="D222" s="97">
        <v>3.0</v>
      </c>
      <c r="E222" s="100"/>
      <c r="F222" s="100"/>
      <c r="G222" s="100"/>
      <c r="H222" s="100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ht="15.75" customHeight="1">
      <c r="A223" s="102"/>
      <c r="B223" s="113" t="s">
        <v>627</v>
      </c>
      <c r="C223" s="112" t="s">
        <v>628</v>
      </c>
      <c r="D223" s="97">
        <v>100.0</v>
      </c>
      <c r="E223" s="100"/>
      <c r="F223" s="100"/>
      <c r="G223" s="100"/>
      <c r="H223" s="100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ht="15.75" customHeight="1">
      <c r="A224" s="102"/>
      <c r="B224" s="204"/>
      <c r="C224" s="206"/>
      <c r="D224" s="102"/>
      <c r="E224" s="100"/>
      <c r="F224" s="100"/>
      <c r="G224" s="100"/>
      <c r="H224" s="100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ht="15.75" customHeight="1">
      <c r="A225" s="96">
        <v>45820.0</v>
      </c>
      <c r="B225" s="76" t="s">
        <v>16</v>
      </c>
      <c r="C225" s="112" t="s">
        <v>17</v>
      </c>
      <c r="D225" s="102">
        <f>11+6+6+2+8+5</f>
        <v>38</v>
      </c>
      <c r="E225" s="100"/>
      <c r="F225" s="100"/>
      <c r="G225" s="100"/>
      <c r="H225" s="100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ht="15.75" customHeight="1">
      <c r="A226" s="102"/>
      <c r="B226" s="76" t="s">
        <v>21</v>
      </c>
      <c r="C226" s="112" t="s">
        <v>22</v>
      </c>
      <c r="D226" s="102">
        <f>24+2+36+24</f>
        <v>86</v>
      </c>
      <c r="E226" s="100"/>
      <c r="F226" s="100"/>
      <c r="G226" s="100"/>
      <c r="H226" s="100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ht="15.75" customHeight="1">
      <c r="A227" s="102"/>
      <c r="B227" s="113" t="s">
        <v>627</v>
      </c>
      <c r="C227" s="112" t="s">
        <v>628</v>
      </c>
      <c r="D227" s="97">
        <f>50+100</f>
        <v>150</v>
      </c>
      <c r="E227" s="100"/>
      <c r="F227" s="100"/>
      <c r="G227" s="100"/>
      <c r="H227" s="100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ht="15.75" customHeight="1">
      <c r="A228" s="102"/>
      <c r="B228" s="113" t="s">
        <v>148</v>
      </c>
      <c r="C228" s="112" t="s">
        <v>149</v>
      </c>
      <c r="D228" s="97">
        <v>3.0</v>
      </c>
      <c r="E228" s="100"/>
      <c r="F228" s="100"/>
      <c r="G228" s="100"/>
      <c r="H228" s="100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ht="15.75" customHeight="1">
      <c r="A229" s="102"/>
      <c r="B229" s="204"/>
      <c r="C229" s="205"/>
      <c r="D229" s="102"/>
      <c r="E229" s="100"/>
      <c r="F229" s="100"/>
      <c r="G229" s="100"/>
      <c r="H229" s="100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ht="15.75" customHeight="1">
      <c r="A230" s="96">
        <v>45821.0</v>
      </c>
      <c r="B230" s="76" t="s">
        <v>16</v>
      </c>
      <c r="C230" s="112" t="s">
        <v>17</v>
      </c>
      <c r="D230" s="102">
        <f>6+2+6+6+5+5+19</f>
        <v>49</v>
      </c>
      <c r="E230" s="100"/>
      <c r="F230" s="100"/>
      <c r="G230" s="100"/>
      <c r="H230" s="100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ht="15.75" customHeight="1">
      <c r="A231" s="102"/>
      <c r="B231" s="76" t="s">
        <v>21</v>
      </c>
      <c r="C231" s="112" t="s">
        <v>22</v>
      </c>
      <c r="D231" s="102">
        <f>24+10</f>
        <v>34</v>
      </c>
      <c r="E231" s="100"/>
      <c r="F231" s="100"/>
      <c r="G231" s="100"/>
      <c r="H231" s="100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ht="15.75" customHeight="1">
      <c r="A232" s="102"/>
      <c r="B232" s="113" t="s">
        <v>627</v>
      </c>
      <c r="C232" s="112" t="s">
        <v>628</v>
      </c>
      <c r="D232" s="102">
        <f>50+10+15+40</f>
        <v>115</v>
      </c>
      <c r="E232" s="100"/>
      <c r="F232" s="100"/>
      <c r="G232" s="100"/>
      <c r="H232" s="100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ht="15.75" customHeight="1">
      <c r="A233" s="102"/>
      <c r="B233" s="113" t="s">
        <v>148</v>
      </c>
      <c r="C233" s="112" t="s">
        <v>149</v>
      </c>
      <c r="D233" s="97">
        <v>1.0</v>
      </c>
      <c r="E233" s="100"/>
      <c r="F233" s="100"/>
      <c r="G233" s="100"/>
      <c r="H233" s="100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ht="15.75" customHeight="1">
      <c r="A234" s="102"/>
      <c r="B234" s="204"/>
      <c r="C234" s="205"/>
      <c r="D234" s="102"/>
      <c r="E234" s="100"/>
      <c r="F234" s="100"/>
      <c r="G234" s="100"/>
      <c r="H234" s="100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ht="15.75" customHeight="1">
      <c r="A235" s="96">
        <v>45822.0</v>
      </c>
      <c r="B235" s="76" t="s">
        <v>16</v>
      </c>
      <c r="C235" s="112" t="s">
        <v>17</v>
      </c>
      <c r="D235" s="102">
        <f>12+6+16</f>
        <v>34</v>
      </c>
      <c r="E235" s="100"/>
      <c r="F235" s="100"/>
      <c r="G235" s="100"/>
      <c r="H235" s="100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ht="15.75" customHeight="1">
      <c r="A236" s="102"/>
      <c r="B236" s="76" t="s">
        <v>21</v>
      </c>
      <c r="C236" s="112" t="s">
        <v>22</v>
      </c>
      <c r="D236" s="102">
        <f>36+24+14</f>
        <v>74</v>
      </c>
      <c r="E236" s="100"/>
      <c r="F236" s="100"/>
      <c r="G236" s="100"/>
      <c r="H236" s="100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ht="15.75" customHeight="1">
      <c r="A237" s="102"/>
      <c r="B237" s="113" t="s">
        <v>627</v>
      </c>
      <c r="C237" s="112" t="s">
        <v>628</v>
      </c>
      <c r="D237" s="97">
        <v>150.0</v>
      </c>
      <c r="E237" s="100"/>
      <c r="F237" s="100"/>
      <c r="G237" s="100"/>
      <c r="H237" s="100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ht="15.75" customHeight="1">
      <c r="A238" s="102"/>
      <c r="B238" s="113" t="s">
        <v>148</v>
      </c>
      <c r="C238" s="112" t="s">
        <v>149</v>
      </c>
      <c r="D238" s="97">
        <v>2.0</v>
      </c>
      <c r="E238" s="100"/>
      <c r="F238" s="100"/>
      <c r="G238" s="100"/>
      <c r="H238" s="100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ht="15.75" customHeight="1">
      <c r="A239" s="102"/>
      <c r="B239" s="204"/>
      <c r="C239" s="205"/>
      <c r="D239" s="102"/>
      <c r="E239" s="100"/>
      <c r="F239" s="100"/>
      <c r="G239" s="100"/>
      <c r="H239" s="100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ht="15.75" customHeight="1">
      <c r="A240" s="96">
        <v>45824.0</v>
      </c>
      <c r="B240" s="76" t="s">
        <v>16</v>
      </c>
      <c r="C240" s="112" t="s">
        <v>17</v>
      </c>
      <c r="D240" s="102">
        <f>5+7+5+6+3+16</f>
        <v>42</v>
      </c>
      <c r="E240" s="100"/>
      <c r="F240" s="100"/>
      <c r="G240" s="100"/>
      <c r="H240" s="100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ht="15.75" customHeight="1">
      <c r="A241" s="102"/>
      <c r="B241" s="76" t="s">
        <v>21</v>
      </c>
      <c r="C241" s="112" t="s">
        <v>22</v>
      </c>
      <c r="D241" s="102">
        <f>48+24</f>
        <v>72</v>
      </c>
      <c r="E241" s="100"/>
      <c r="F241" s="100"/>
      <c r="G241" s="100"/>
      <c r="H241" s="100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ht="15.75" customHeight="1">
      <c r="A242" s="102"/>
      <c r="B242" s="113" t="s">
        <v>627</v>
      </c>
      <c r="C242" s="112" t="s">
        <v>628</v>
      </c>
      <c r="D242" s="102">
        <f>100+25+50+50+50</f>
        <v>275</v>
      </c>
      <c r="E242" s="100"/>
      <c r="F242" s="100"/>
      <c r="G242" s="100"/>
      <c r="H242" s="100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ht="15.75" customHeight="1">
      <c r="A243" s="102"/>
      <c r="B243" s="113" t="s">
        <v>148</v>
      </c>
      <c r="C243" s="112" t="s">
        <v>149</v>
      </c>
      <c r="D243" s="97">
        <v>2.0</v>
      </c>
      <c r="E243" s="100"/>
      <c r="F243" s="100"/>
      <c r="G243" s="100"/>
      <c r="H243" s="100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ht="15.75" customHeight="1">
      <c r="A244" s="102"/>
      <c r="B244" s="204"/>
      <c r="C244" s="205"/>
      <c r="D244" s="102"/>
      <c r="E244" s="100"/>
      <c r="F244" s="100"/>
      <c r="G244" s="100"/>
      <c r="H244" s="100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ht="15.75" customHeight="1">
      <c r="A245" s="96">
        <v>45825.0</v>
      </c>
      <c r="B245" s="76" t="s">
        <v>16</v>
      </c>
      <c r="C245" s="112" t="s">
        <v>17</v>
      </c>
      <c r="D245" s="102">
        <f>6+6+6+3+12+14</f>
        <v>47</v>
      </c>
      <c r="E245" s="100"/>
      <c r="F245" s="100"/>
      <c r="G245" s="100"/>
      <c r="H245" s="100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ht="15.75" customHeight="1">
      <c r="A246" s="102"/>
      <c r="B246" s="76" t="s">
        <v>21</v>
      </c>
      <c r="C246" s="112" t="s">
        <v>22</v>
      </c>
      <c r="D246" s="102">
        <f>24+10</f>
        <v>34</v>
      </c>
      <c r="E246" s="100"/>
      <c r="F246" s="100"/>
      <c r="G246" s="100"/>
      <c r="H246" s="100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ht="15.75" customHeight="1">
      <c r="A247" s="102"/>
      <c r="B247" s="113" t="s">
        <v>627</v>
      </c>
      <c r="C247" s="112" t="s">
        <v>628</v>
      </c>
      <c r="D247" s="97">
        <v>100.0</v>
      </c>
      <c r="E247" s="100"/>
      <c r="F247" s="100"/>
      <c r="G247" s="100"/>
      <c r="H247" s="100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ht="15.75" customHeight="1">
      <c r="A248" s="102"/>
      <c r="B248" s="113" t="s">
        <v>148</v>
      </c>
      <c r="C248" s="112" t="s">
        <v>149</v>
      </c>
      <c r="D248" s="97">
        <v>3.0</v>
      </c>
      <c r="E248" s="100"/>
      <c r="F248" s="100"/>
      <c r="G248" s="100"/>
      <c r="H248" s="100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ht="15.75" customHeight="1">
      <c r="A249" s="102"/>
      <c r="B249" s="72" t="s">
        <v>185</v>
      </c>
      <c r="C249" s="108" t="s">
        <v>186</v>
      </c>
      <c r="D249" s="97">
        <v>30.0</v>
      </c>
      <c r="E249" s="100"/>
      <c r="F249" s="100"/>
      <c r="G249" s="100"/>
      <c r="H249" s="100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ht="15.75" customHeight="1">
      <c r="A250" s="102"/>
      <c r="B250" s="204"/>
      <c r="C250" s="205"/>
      <c r="D250" s="102"/>
      <c r="E250" s="100"/>
      <c r="F250" s="100"/>
      <c r="G250" s="100"/>
      <c r="H250" s="100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ht="15.75" customHeight="1">
      <c r="A251" s="96">
        <v>45826.0</v>
      </c>
      <c r="B251" s="113" t="s">
        <v>627</v>
      </c>
      <c r="C251" s="112" t="s">
        <v>628</v>
      </c>
      <c r="D251" s="97">
        <v>50.0</v>
      </c>
      <c r="E251" s="100"/>
      <c r="F251" s="100"/>
      <c r="G251" s="100"/>
      <c r="H251" s="100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ht="15.75" customHeight="1">
      <c r="A252" s="102"/>
      <c r="B252" s="204"/>
      <c r="C252" s="205"/>
      <c r="D252" s="102"/>
      <c r="E252" s="100"/>
      <c r="F252" s="100"/>
      <c r="G252" s="100"/>
      <c r="H252" s="100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ht="15.75" customHeight="1">
      <c r="A253" s="96">
        <v>45827.0</v>
      </c>
      <c r="B253" s="76" t="s">
        <v>16</v>
      </c>
      <c r="C253" s="112" t="s">
        <v>17</v>
      </c>
      <c r="D253" s="102">
        <f>5+6+5+5+8+6</f>
        <v>35</v>
      </c>
      <c r="E253" s="100"/>
      <c r="F253" s="100"/>
      <c r="G253" s="100"/>
      <c r="H253" s="100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ht="15.75" customHeight="1">
      <c r="A254" s="102"/>
      <c r="B254" s="76" t="s">
        <v>21</v>
      </c>
      <c r="C254" s="112" t="s">
        <v>22</v>
      </c>
      <c r="D254" s="102">
        <f>24+24+14+2</f>
        <v>64</v>
      </c>
      <c r="E254" s="100"/>
      <c r="F254" s="100"/>
      <c r="G254" s="100"/>
      <c r="H254" s="100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ht="15.75" customHeight="1">
      <c r="A255" s="102"/>
      <c r="B255" s="113" t="s">
        <v>627</v>
      </c>
      <c r="C255" s="112" t="s">
        <v>628</v>
      </c>
      <c r="D255" s="97">
        <v>125.0</v>
      </c>
      <c r="E255" s="100"/>
      <c r="F255" s="100"/>
      <c r="G255" s="100"/>
      <c r="H255" s="100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ht="15.75" customHeight="1">
      <c r="A256" s="102"/>
      <c r="B256" s="113" t="s">
        <v>148</v>
      </c>
      <c r="C256" s="112" t="s">
        <v>149</v>
      </c>
      <c r="D256" s="97">
        <v>2.0</v>
      </c>
      <c r="E256" s="100"/>
      <c r="F256" s="100"/>
      <c r="G256" s="100"/>
      <c r="H256" s="100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ht="15.75" customHeight="1">
      <c r="A257" s="102"/>
      <c r="B257" s="204"/>
      <c r="C257" s="205"/>
      <c r="D257" s="102"/>
      <c r="E257" s="100"/>
      <c r="F257" s="100"/>
      <c r="G257" s="100"/>
      <c r="H257" s="100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ht="15.75" customHeight="1">
      <c r="A258" s="96">
        <v>45828.0</v>
      </c>
      <c r="B258" s="76" t="s">
        <v>16</v>
      </c>
      <c r="C258" s="112" t="s">
        <v>17</v>
      </c>
      <c r="D258" s="102">
        <f>6+4+9</f>
        <v>19</v>
      </c>
      <c r="E258" s="100"/>
      <c r="F258" s="100"/>
      <c r="G258" s="100"/>
      <c r="H258" s="100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ht="15.75" customHeight="1">
      <c r="A259" s="102"/>
      <c r="B259" s="76" t="s">
        <v>21</v>
      </c>
      <c r="C259" s="112" t="s">
        <v>22</v>
      </c>
      <c r="D259" s="102">
        <f>24+24+12</f>
        <v>60</v>
      </c>
      <c r="E259" s="100"/>
      <c r="F259" s="100"/>
      <c r="G259" s="100"/>
      <c r="H259" s="100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ht="15.75" customHeight="1">
      <c r="A260" s="102"/>
      <c r="B260" s="113" t="s">
        <v>627</v>
      </c>
      <c r="C260" s="112" t="s">
        <v>628</v>
      </c>
      <c r="D260" s="102">
        <f>100+50+25</f>
        <v>175</v>
      </c>
      <c r="E260" s="100"/>
      <c r="F260" s="100"/>
      <c r="G260" s="100"/>
      <c r="H260" s="100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ht="15.75" customHeight="1">
      <c r="A261" s="102"/>
      <c r="B261" s="113" t="s">
        <v>148</v>
      </c>
      <c r="C261" s="112" t="s">
        <v>149</v>
      </c>
      <c r="D261" s="97">
        <v>2.0</v>
      </c>
      <c r="E261" s="100"/>
      <c r="F261" s="100"/>
      <c r="G261" s="100"/>
      <c r="H261" s="100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ht="15.75" customHeight="1">
      <c r="A262" s="102"/>
      <c r="B262" s="204"/>
      <c r="C262" s="205"/>
      <c r="D262" s="102"/>
      <c r="E262" s="100"/>
      <c r="F262" s="100"/>
      <c r="G262" s="100"/>
      <c r="H262" s="100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ht="15.75" customHeight="1">
      <c r="A263" s="96">
        <v>45829.0</v>
      </c>
      <c r="B263" s="72" t="s">
        <v>185</v>
      </c>
      <c r="C263" s="108" t="s">
        <v>186</v>
      </c>
      <c r="D263" s="102">
        <f>15+20</f>
        <v>35</v>
      </c>
      <c r="E263" s="100"/>
      <c r="F263" s="100"/>
      <c r="G263" s="100"/>
      <c r="H263" s="100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ht="15.75" customHeight="1">
      <c r="A264" s="102"/>
      <c r="B264" s="76" t="s">
        <v>16</v>
      </c>
      <c r="C264" s="112" t="s">
        <v>17</v>
      </c>
      <c r="D264" s="102">
        <f>10+5+6+8+3+10+13</f>
        <v>55</v>
      </c>
      <c r="E264" s="100"/>
      <c r="F264" s="100"/>
      <c r="G264" s="100"/>
      <c r="H264" s="100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ht="15.75" customHeight="1">
      <c r="A265" s="102"/>
      <c r="B265" s="76" t="s">
        <v>21</v>
      </c>
      <c r="C265" s="112" t="s">
        <v>22</v>
      </c>
      <c r="D265" s="102">
        <f>48+6+25</f>
        <v>79</v>
      </c>
      <c r="E265" s="100"/>
      <c r="F265" s="100"/>
      <c r="G265" s="100"/>
      <c r="H265" s="100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ht="15.75" customHeight="1">
      <c r="A266" s="102"/>
      <c r="B266" s="113" t="s">
        <v>627</v>
      </c>
      <c r="C266" s="112" t="s">
        <v>628</v>
      </c>
      <c r="D266" s="97">
        <v>140.0</v>
      </c>
      <c r="E266" s="100"/>
      <c r="F266" s="100"/>
      <c r="G266" s="100"/>
      <c r="H266" s="100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ht="15.75" customHeight="1">
      <c r="A267" s="102"/>
      <c r="B267" s="113" t="s">
        <v>148</v>
      </c>
      <c r="C267" s="112" t="s">
        <v>149</v>
      </c>
      <c r="D267" s="97">
        <v>2.0</v>
      </c>
      <c r="E267" s="100"/>
      <c r="F267" s="100"/>
      <c r="G267" s="100"/>
      <c r="H267" s="100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ht="15.75" customHeight="1">
      <c r="A268" s="102"/>
      <c r="B268" s="72" t="s">
        <v>631</v>
      </c>
      <c r="C268" s="111" t="s">
        <v>632</v>
      </c>
      <c r="D268" s="97">
        <v>25.0</v>
      </c>
      <c r="E268" s="100"/>
      <c r="F268" s="100"/>
      <c r="G268" s="100"/>
      <c r="H268" s="100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ht="15.75" customHeight="1">
      <c r="A269" s="102"/>
      <c r="B269" s="204"/>
      <c r="C269" s="205"/>
      <c r="D269" s="102"/>
      <c r="E269" s="100"/>
      <c r="F269" s="100"/>
      <c r="G269" s="100"/>
      <c r="H269" s="100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ht="15.75" customHeight="1">
      <c r="A270" s="96">
        <v>45830.0</v>
      </c>
      <c r="B270" s="113" t="s">
        <v>627</v>
      </c>
      <c r="C270" s="112" t="s">
        <v>628</v>
      </c>
      <c r="D270" s="97">
        <v>100.0</v>
      </c>
      <c r="E270" s="100"/>
      <c r="F270" s="100"/>
      <c r="G270" s="100"/>
      <c r="H270" s="100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ht="15.75" customHeight="1">
      <c r="A271" s="102"/>
      <c r="B271" s="113" t="s">
        <v>148</v>
      </c>
      <c r="C271" s="112" t="s">
        <v>149</v>
      </c>
      <c r="D271" s="97">
        <v>2.0</v>
      </c>
      <c r="E271" s="100"/>
      <c r="F271" s="100"/>
      <c r="G271" s="100"/>
      <c r="H271" s="100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ht="15.75" customHeight="1">
      <c r="A272" s="102"/>
      <c r="B272" s="204"/>
      <c r="C272" s="205"/>
      <c r="D272" s="102"/>
      <c r="E272" s="100"/>
      <c r="F272" s="100"/>
      <c r="G272" s="100"/>
      <c r="H272" s="100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ht="15.75" customHeight="1">
      <c r="A273" s="102"/>
      <c r="B273" s="204"/>
      <c r="C273" s="206"/>
      <c r="D273" s="102"/>
      <c r="E273" s="100"/>
      <c r="F273" s="100"/>
      <c r="G273" s="100"/>
      <c r="H273" s="100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ht="15.75" customHeight="1">
      <c r="A274" s="93"/>
      <c r="B274" s="95"/>
      <c r="C274" s="24" t="s">
        <v>633</v>
      </c>
      <c r="D274" s="93"/>
      <c r="E274" s="95"/>
      <c r="F274" s="95"/>
      <c r="G274" s="95"/>
      <c r="H274" s="95"/>
    </row>
    <row r="275" ht="15.75" customHeight="1">
      <c r="A275" s="96">
        <v>45808.0</v>
      </c>
      <c r="B275" s="72" t="s">
        <v>109</v>
      </c>
      <c r="C275" s="116" t="s">
        <v>110</v>
      </c>
      <c r="D275" s="207">
        <v>20000.0</v>
      </c>
      <c r="E275" s="118"/>
      <c r="F275" s="118"/>
      <c r="G275" s="118"/>
      <c r="H275" s="118"/>
    </row>
    <row r="276" ht="15.75" customHeight="1">
      <c r="A276" s="118"/>
      <c r="B276" s="72" t="s">
        <v>634</v>
      </c>
      <c r="C276" s="108" t="s">
        <v>635</v>
      </c>
      <c r="D276" s="207">
        <v>48000.0</v>
      </c>
      <c r="E276" s="118"/>
      <c r="F276" s="118"/>
      <c r="G276" s="118"/>
      <c r="H276" s="118"/>
    </row>
    <row r="277" ht="15.75" customHeight="1">
      <c r="A277" s="118"/>
      <c r="B277" s="208"/>
      <c r="C277" s="209"/>
      <c r="D277" s="118"/>
      <c r="E277" s="118"/>
      <c r="F277" s="118"/>
      <c r="G277" s="118"/>
      <c r="H277" s="118"/>
    </row>
    <row r="278" ht="15.75" customHeight="1">
      <c r="A278" s="96">
        <v>45810.0</v>
      </c>
      <c r="B278" s="72" t="s">
        <v>109</v>
      </c>
      <c r="C278" s="116" t="s">
        <v>110</v>
      </c>
      <c r="D278" s="207">
        <v>40000.0</v>
      </c>
      <c r="E278" s="118"/>
      <c r="F278" s="118"/>
      <c r="G278" s="118"/>
      <c r="H278" s="118"/>
    </row>
    <row r="279" ht="15.75" customHeight="1">
      <c r="A279" s="118"/>
      <c r="B279" s="72" t="s">
        <v>636</v>
      </c>
      <c r="C279" s="108" t="s">
        <v>637</v>
      </c>
      <c r="D279" s="207">
        <v>39000.0</v>
      </c>
      <c r="E279" s="118"/>
      <c r="F279" s="118"/>
      <c r="G279" s="118"/>
      <c r="H279" s="118"/>
    </row>
    <row r="280" ht="15.75" customHeight="1">
      <c r="A280" s="118"/>
      <c r="B280" s="31" t="s">
        <v>244</v>
      </c>
      <c r="C280" s="31" t="s">
        <v>245</v>
      </c>
      <c r="D280" s="207">
        <v>200.0</v>
      </c>
      <c r="E280" s="118"/>
      <c r="F280" s="118"/>
      <c r="G280" s="118"/>
      <c r="H280" s="118"/>
    </row>
    <row r="281" ht="15.75" customHeight="1">
      <c r="A281" s="118"/>
      <c r="B281" s="208"/>
      <c r="C281" s="209"/>
      <c r="D281" s="118"/>
      <c r="E281" s="118"/>
      <c r="F281" s="118"/>
      <c r="G281" s="118"/>
      <c r="H281" s="118"/>
    </row>
    <row r="282" ht="15.75" customHeight="1">
      <c r="A282" s="96">
        <v>45811.0</v>
      </c>
      <c r="B282" s="72" t="s">
        <v>109</v>
      </c>
      <c r="C282" s="116" t="s">
        <v>110</v>
      </c>
      <c r="D282" s="207">
        <v>20000.0</v>
      </c>
      <c r="E282" s="118"/>
      <c r="F282" s="118"/>
      <c r="G282" s="118"/>
      <c r="H282" s="118"/>
    </row>
    <row r="283" ht="15.75" customHeight="1">
      <c r="A283" s="118"/>
      <c r="B283" s="72" t="s">
        <v>636</v>
      </c>
      <c r="C283" s="108" t="s">
        <v>637</v>
      </c>
      <c r="D283" s="207">
        <v>15000.0</v>
      </c>
      <c r="E283" s="118"/>
      <c r="F283" s="118"/>
      <c r="G283" s="118"/>
      <c r="H283" s="118"/>
    </row>
    <row r="284" ht="15.75" customHeight="1">
      <c r="A284" s="118"/>
      <c r="B284" s="210"/>
      <c r="C284" s="211"/>
      <c r="D284" s="118"/>
      <c r="E284" s="118"/>
      <c r="F284" s="118"/>
      <c r="G284" s="118"/>
      <c r="H284" s="118"/>
    </row>
    <row r="285" ht="15.75" customHeight="1">
      <c r="A285" s="96">
        <v>45812.0</v>
      </c>
      <c r="B285" s="72" t="s">
        <v>638</v>
      </c>
      <c r="C285" s="116" t="s">
        <v>639</v>
      </c>
      <c r="D285" s="207">
        <v>15000.0</v>
      </c>
      <c r="E285" s="118"/>
      <c r="F285" s="118"/>
      <c r="G285" s="118"/>
      <c r="H285" s="118"/>
    </row>
    <row r="286" ht="15.75" customHeight="1">
      <c r="A286" s="118"/>
      <c r="B286" s="72" t="s">
        <v>636</v>
      </c>
      <c r="C286" s="108" t="s">
        <v>637</v>
      </c>
      <c r="D286" s="207">
        <v>30000.0</v>
      </c>
      <c r="E286" s="118"/>
      <c r="F286" s="118"/>
      <c r="G286" s="118"/>
      <c r="H286" s="118"/>
    </row>
    <row r="287" ht="15.75" customHeight="1">
      <c r="A287" s="118"/>
      <c r="B287" s="210"/>
      <c r="C287" s="211"/>
      <c r="D287" s="118"/>
      <c r="E287" s="118"/>
      <c r="F287" s="118"/>
      <c r="G287" s="118"/>
      <c r="H287" s="118"/>
    </row>
    <row r="288" ht="15.75" customHeight="1">
      <c r="A288" s="96">
        <v>45813.0</v>
      </c>
      <c r="B288" s="31" t="s">
        <v>260</v>
      </c>
      <c r="C288" s="31" t="s">
        <v>261</v>
      </c>
      <c r="D288" s="118">
        <f>25+300</f>
        <v>325</v>
      </c>
      <c r="E288" s="118"/>
      <c r="F288" s="118"/>
      <c r="G288" s="118"/>
      <c r="H288" s="118"/>
    </row>
    <row r="289" ht="15.75" customHeight="1">
      <c r="A289" s="118"/>
      <c r="B289" s="208"/>
      <c r="C289" s="209"/>
      <c r="D289" s="118"/>
      <c r="E289" s="118"/>
      <c r="F289" s="118"/>
      <c r="G289" s="118"/>
      <c r="H289" s="118"/>
    </row>
    <row r="290" ht="15.75" customHeight="1">
      <c r="A290" s="96">
        <v>45827.0</v>
      </c>
      <c r="B290" s="72" t="s">
        <v>109</v>
      </c>
      <c r="C290" s="116" t="s">
        <v>110</v>
      </c>
      <c r="D290" s="207">
        <v>30000.0</v>
      </c>
      <c r="E290" s="118"/>
      <c r="F290" s="118"/>
      <c r="G290" s="118"/>
      <c r="H290" s="118"/>
    </row>
    <row r="291" ht="15.75" customHeight="1">
      <c r="A291" s="118"/>
      <c r="B291" s="72" t="s">
        <v>636</v>
      </c>
      <c r="C291" s="108" t="s">
        <v>637</v>
      </c>
      <c r="D291" s="118">
        <f>12000</f>
        <v>12000</v>
      </c>
      <c r="E291" s="118"/>
      <c r="F291" s="118"/>
      <c r="G291" s="118"/>
      <c r="H291" s="118"/>
    </row>
    <row r="292" ht="15.75" customHeight="1">
      <c r="A292" s="118"/>
      <c r="B292" s="72" t="s">
        <v>16</v>
      </c>
      <c r="C292" s="108" t="s">
        <v>17</v>
      </c>
      <c r="D292" s="118">
        <f>3+14</f>
        <v>17</v>
      </c>
      <c r="E292" s="118"/>
      <c r="F292" s="118"/>
      <c r="G292" s="118"/>
      <c r="H292" s="118"/>
    </row>
    <row r="293" ht="15.75" customHeight="1">
      <c r="A293" s="118"/>
      <c r="B293" s="31" t="s">
        <v>262</v>
      </c>
      <c r="C293" s="31" t="s">
        <v>263</v>
      </c>
      <c r="D293" s="207">
        <v>200.0</v>
      </c>
      <c r="E293" s="118"/>
      <c r="F293" s="118"/>
      <c r="G293" s="118"/>
      <c r="H293" s="118"/>
    </row>
    <row r="294" ht="15.75" customHeight="1">
      <c r="A294" s="118"/>
      <c r="B294" s="208"/>
      <c r="C294" s="209"/>
      <c r="D294" s="118"/>
      <c r="E294" s="118"/>
      <c r="F294" s="118"/>
      <c r="G294" s="118"/>
      <c r="H294" s="118"/>
    </row>
    <row r="295" ht="15.75" customHeight="1">
      <c r="A295" s="96">
        <v>45828.0</v>
      </c>
      <c r="B295" s="31" t="s">
        <v>260</v>
      </c>
      <c r="C295" s="31" t="s">
        <v>261</v>
      </c>
      <c r="D295" s="118">
        <f>100</f>
        <v>100</v>
      </c>
      <c r="E295" s="118"/>
      <c r="F295" s="118"/>
      <c r="G295" s="118"/>
      <c r="H295" s="118"/>
    </row>
    <row r="296" ht="15.75" customHeight="1">
      <c r="A296" s="118"/>
      <c r="B296" s="72" t="s">
        <v>109</v>
      </c>
      <c r="C296" s="116" t="s">
        <v>110</v>
      </c>
      <c r="D296" s="207">
        <v>25000.0</v>
      </c>
      <c r="E296" s="118"/>
      <c r="F296" s="118"/>
      <c r="G296" s="118"/>
      <c r="H296" s="118"/>
    </row>
    <row r="297" ht="15.75" customHeight="1">
      <c r="A297" s="118"/>
      <c r="B297" s="72" t="s">
        <v>636</v>
      </c>
      <c r="C297" s="108" t="s">
        <v>637</v>
      </c>
      <c r="D297" s="118">
        <f>60000</f>
        <v>60000</v>
      </c>
      <c r="E297" s="118"/>
      <c r="F297" s="118"/>
      <c r="G297" s="118"/>
      <c r="H297" s="118"/>
    </row>
    <row r="298" ht="15.75" customHeight="1">
      <c r="A298" s="118"/>
      <c r="B298" s="31" t="s">
        <v>272</v>
      </c>
      <c r="C298" s="31" t="s">
        <v>273</v>
      </c>
      <c r="D298" s="207">
        <v>100.0</v>
      </c>
      <c r="E298" s="118"/>
      <c r="F298" s="118"/>
      <c r="G298" s="118"/>
      <c r="H298" s="118"/>
    </row>
    <row r="299" ht="15.75" customHeight="1">
      <c r="A299" s="118"/>
      <c r="B299" s="210"/>
      <c r="C299" s="209"/>
      <c r="D299" s="118"/>
      <c r="E299" s="118"/>
      <c r="F299" s="118"/>
      <c r="G299" s="118"/>
      <c r="H299" s="118"/>
    </row>
    <row r="300" ht="15.75" customHeight="1">
      <c r="A300" s="96">
        <v>45829.0</v>
      </c>
      <c r="B300" s="31" t="s">
        <v>272</v>
      </c>
      <c r="C300" s="31" t="s">
        <v>273</v>
      </c>
      <c r="D300" s="207">
        <v>50.0</v>
      </c>
      <c r="E300" s="118"/>
      <c r="F300" s="118"/>
      <c r="G300" s="118"/>
      <c r="H300" s="118"/>
    </row>
    <row r="301" ht="15.75" customHeight="1">
      <c r="A301" s="118"/>
      <c r="B301" s="31" t="s">
        <v>260</v>
      </c>
      <c r="C301" s="31" t="s">
        <v>261</v>
      </c>
      <c r="D301" s="207">
        <v>50.0</v>
      </c>
      <c r="E301" s="118"/>
      <c r="F301" s="118"/>
      <c r="G301" s="118"/>
      <c r="H301" s="118"/>
    </row>
    <row r="302" ht="15.75" customHeight="1">
      <c r="A302" s="118"/>
      <c r="B302" s="72" t="s">
        <v>636</v>
      </c>
      <c r="C302" s="108" t="s">
        <v>637</v>
      </c>
      <c r="D302" s="207">
        <v>6000.0</v>
      </c>
      <c r="E302" s="118"/>
      <c r="F302" s="118"/>
      <c r="G302" s="118"/>
      <c r="H302" s="118"/>
    </row>
    <row r="303" ht="15.75" customHeight="1">
      <c r="A303" s="118"/>
      <c r="B303" s="210"/>
      <c r="C303" s="209"/>
      <c r="D303" s="118"/>
      <c r="E303" s="118"/>
      <c r="F303" s="118"/>
      <c r="G303" s="118"/>
      <c r="H303" s="118"/>
    </row>
    <row r="304" ht="15.75" customHeight="1">
      <c r="A304" s="118"/>
      <c r="B304" s="210"/>
      <c r="C304" s="209"/>
      <c r="D304" s="118"/>
      <c r="E304" s="118"/>
      <c r="F304" s="118"/>
      <c r="G304" s="118"/>
      <c r="H304" s="118"/>
    </row>
    <row r="305" ht="15.75" customHeight="1">
      <c r="A305" s="118"/>
      <c r="B305" s="210"/>
      <c r="C305" s="209"/>
      <c r="D305" s="118"/>
      <c r="E305" s="118"/>
      <c r="F305" s="118"/>
      <c r="G305" s="118"/>
      <c r="H305" s="118"/>
    </row>
    <row r="306" ht="15.75" customHeight="1">
      <c r="A306" s="118"/>
      <c r="B306" s="210"/>
      <c r="C306" s="209"/>
      <c r="D306" s="118"/>
      <c r="E306" s="118"/>
      <c r="F306" s="118"/>
      <c r="G306" s="118"/>
      <c r="H306" s="118"/>
    </row>
    <row r="307" ht="15.75" customHeight="1">
      <c r="A307" s="118"/>
      <c r="B307" s="210"/>
      <c r="C307" s="209"/>
      <c r="D307" s="118"/>
      <c r="E307" s="118"/>
      <c r="F307" s="118"/>
      <c r="G307" s="118"/>
      <c r="H307" s="118"/>
    </row>
    <row r="308" ht="15.75" customHeight="1">
      <c r="A308" s="118"/>
      <c r="B308" s="210"/>
      <c r="C308" s="211"/>
      <c r="D308" s="118"/>
      <c r="E308" s="118"/>
      <c r="F308" s="118"/>
      <c r="G308" s="118"/>
      <c r="H308" s="118"/>
    </row>
    <row r="309" ht="15.75" customHeight="1">
      <c r="A309" s="118"/>
      <c r="B309" s="210"/>
      <c r="C309" s="211"/>
      <c r="D309" s="118"/>
      <c r="E309" s="118"/>
      <c r="F309" s="118"/>
      <c r="G309" s="118"/>
      <c r="H309" s="118"/>
    </row>
    <row r="310" ht="15.75" customHeight="1">
      <c r="A310" s="118"/>
      <c r="B310" s="175"/>
      <c r="C310" s="175"/>
      <c r="D310" s="118"/>
      <c r="E310" s="118"/>
      <c r="F310" s="118"/>
      <c r="G310" s="118"/>
      <c r="H310" s="118"/>
    </row>
    <row r="311" ht="15.75" customHeight="1">
      <c r="A311" s="93"/>
      <c r="B311" s="95"/>
      <c r="C311" s="24" t="s">
        <v>213</v>
      </c>
      <c r="D311" s="93"/>
      <c r="E311" s="95"/>
      <c r="F311" s="95"/>
      <c r="G311" s="95"/>
      <c r="H311" s="95"/>
    </row>
    <row r="312" ht="15.75" customHeight="1">
      <c r="A312" s="96">
        <v>45810.0</v>
      </c>
      <c r="B312" s="72" t="s">
        <v>640</v>
      </c>
      <c r="C312" s="212" t="s">
        <v>641</v>
      </c>
      <c r="D312" s="207">
        <v>125.0</v>
      </c>
      <c r="E312" s="118"/>
      <c r="F312" s="118"/>
      <c r="G312" s="118"/>
      <c r="H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</row>
    <row r="314" ht="15.75" customHeight="1">
      <c r="A314" s="96">
        <v>45811.0</v>
      </c>
      <c r="B314" s="72" t="s">
        <v>640</v>
      </c>
      <c r="C314" s="212" t="s">
        <v>641</v>
      </c>
      <c r="D314" s="207">
        <v>200.0</v>
      </c>
      <c r="E314" s="118"/>
      <c r="F314" s="118"/>
      <c r="G314" s="118"/>
      <c r="H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</row>
    <row r="316" ht="15.75" customHeight="1">
      <c r="A316" s="96">
        <v>45812.0</v>
      </c>
      <c r="B316" s="72" t="s">
        <v>640</v>
      </c>
      <c r="C316" s="212" t="s">
        <v>641</v>
      </c>
      <c r="D316" s="207">
        <v>375.0</v>
      </c>
      <c r="E316" s="118"/>
      <c r="F316" s="118"/>
      <c r="G316" s="118"/>
      <c r="H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</row>
    <row r="318" ht="15.75" customHeight="1">
      <c r="A318" s="96">
        <v>45815.0</v>
      </c>
      <c r="B318" s="72" t="s">
        <v>640</v>
      </c>
      <c r="C318" s="212" t="s">
        <v>641</v>
      </c>
      <c r="D318" s="207">
        <v>250.0</v>
      </c>
      <c r="E318" s="118"/>
      <c r="F318" s="118"/>
      <c r="G318" s="118"/>
      <c r="H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</row>
    <row r="320" ht="15.75" customHeight="1">
      <c r="A320" s="96">
        <v>45817.0</v>
      </c>
      <c r="B320" s="72" t="s">
        <v>640</v>
      </c>
      <c r="C320" s="212" t="s">
        <v>641</v>
      </c>
      <c r="D320" s="118">
        <f>75+75+125</f>
        <v>275</v>
      </c>
      <c r="E320" s="118"/>
      <c r="F320" s="118"/>
      <c r="G320" s="118"/>
      <c r="H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</row>
    <row r="322" ht="15.75" customHeight="1">
      <c r="A322" s="96">
        <v>45819.0</v>
      </c>
      <c r="B322" s="72" t="s">
        <v>640</v>
      </c>
      <c r="C322" s="212" t="s">
        <v>641</v>
      </c>
      <c r="D322" s="207">
        <f>125+100</f>
        <v>225</v>
      </c>
      <c r="E322" s="118"/>
      <c r="F322" s="118"/>
      <c r="G322" s="118"/>
      <c r="H322" s="118"/>
    </row>
    <row r="323" ht="15.75" customHeight="1">
      <c r="A323" s="118"/>
      <c r="B323" s="119"/>
      <c r="C323" s="120"/>
      <c r="D323" s="118"/>
      <c r="E323" s="118"/>
      <c r="F323" s="118"/>
      <c r="G323" s="118"/>
      <c r="H323" s="118"/>
    </row>
    <row r="324" ht="15.75" customHeight="1">
      <c r="A324" s="96">
        <v>45820.0</v>
      </c>
      <c r="B324" s="72" t="s">
        <v>640</v>
      </c>
      <c r="C324" s="212" t="s">
        <v>641</v>
      </c>
      <c r="D324" s="207">
        <f>125+100</f>
        <v>225</v>
      </c>
      <c r="E324" s="118"/>
      <c r="F324" s="118"/>
      <c r="G324" s="118"/>
      <c r="H324" s="118"/>
    </row>
    <row r="325" ht="15.75" customHeight="1">
      <c r="A325" s="118"/>
      <c r="B325" s="72" t="s">
        <v>88</v>
      </c>
      <c r="C325" s="116" t="s">
        <v>89</v>
      </c>
      <c r="D325" s="207">
        <v>5.0</v>
      </c>
      <c r="E325" s="118"/>
      <c r="F325" s="118"/>
      <c r="G325" s="118"/>
      <c r="H325" s="118"/>
    </row>
    <row r="326" ht="15.75" customHeight="1">
      <c r="A326" s="118"/>
      <c r="B326" s="119"/>
      <c r="C326" s="120"/>
      <c r="D326" s="118"/>
      <c r="E326" s="118"/>
      <c r="F326" s="118"/>
      <c r="G326" s="118"/>
      <c r="H326" s="118"/>
    </row>
    <row r="327" ht="15.75" customHeight="1">
      <c r="A327" s="96">
        <v>45821.0</v>
      </c>
      <c r="B327" s="72" t="s">
        <v>640</v>
      </c>
      <c r="C327" s="212" t="s">
        <v>641</v>
      </c>
      <c r="D327" s="118">
        <f>275</f>
        <v>275</v>
      </c>
      <c r="E327" s="118"/>
      <c r="F327" s="118"/>
      <c r="G327" s="118"/>
      <c r="H327" s="118"/>
    </row>
    <row r="328" ht="15.75" customHeight="1">
      <c r="A328" s="118"/>
      <c r="B328" s="119"/>
      <c r="C328" s="120"/>
      <c r="D328" s="118"/>
      <c r="E328" s="118"/>
      <c r="F328" s="118"/>
      <c r="G328" s="118"/>
      <c r="H328" s="118"/>
    </row>
    <row r="329" ht="15.75" customHeight="1">
      <c r="A329" s="96">
        <v>45825.0</v>
      </c>
      <c r="B329" s="72" t="s">
        <v>640</v>
      </c>
      <c r="C329" s="212" t="s">
        <v>641</v>
      </c>
      <c r="D329" s="207">
        <v>100.0</v>
      </c>
      <c r="E329" s="118"/>
      <c r="F329" s="118"/>
      <c r="G329" s="118"/>
      <c r="H329" s="118"/>
    </row>
    <row r="330" ht="15.75" customHeight="1">
      <c r="A330" s="118"/>
      <c r="B330" s="119"/>
      <c r="C330" s="120"/>
      <c r="D330" s="118"/>
      <c r="E330" s="118"/>
      <c r="F330" s="118"/>
      <c r="G330" s="118"/>
      <c r="H330" s="118"/>
    </row>
    <row r="331" ht="15.75" customHeight="1">
      <c r="A331" s="96">
        <v>45827.0</v>
      </c>
      <c r="B331" s="72" t="s">
        <v>640</v>
      </c>
      <c r="C331" s="212" t="s">
        <v>641</v>
      </c>
      <c r="D331" s="118">
        <f>200</f>
        <v>200</v>
      </c>
      <c r="E331" s="118"/>
      <c r="F331" s="118"/>
      <c r="G331" s="118"/>
      <c r="H331" s="118"/>
    </row>
    <row r="332" ht="15.75" customHeight="1">
      <c r="A332" s="118"/>
      <c r="B332" s="72" t="s">
        <v>88</v>
      </c>
      <c r="C332" s="116" t="s">
        <v>89</v>
      </c>
      <c r="D332" s="207">
        <v>5.0</v>
      </c>
      <c r="E332" s="118"/>
      <c r="F332" s="118"/>
      <c r="G332" s="118"/>
      <c r="H332" s="118"/>
    </row>
    <row r="333" ht="15.75" customHeight="1">
      <c r="A333" s="118"/>
      <c r="B333" s="119"/>
      <c r="C333" s="120"/>
      <c r="D333" s="118"/>
      <c r="E333" s="118"/>
      <c r="F333" s="118"/>
      <c r="G333" s="118"/>
      <c r="H333" s="118"/>
    </row>
    <row r="334" ht="15.75" customHeight="1">
      <c r="A334" s="118"/>
      <c r="B334" s="119"/>
      <c r="C334" s="120"/>
      <c r="D334" s="118"/>
      <c r="E334" s="118"/>
      <c r="F334" s="118"/>
      <c r="G334" s="118"/>
      <c r="H334" s="118"/>
    </row>
    <row r="335" ht="15.75" customHeight="1">
      <c r="A335" s="118"/>
      <c r="B335" s="119"/>
      <c r="C335" s="120"/>
      <c r="D335" s="118"/>
      <c r="E335" s="118"/>
      <c r="F335" s="118"/>
      <c r="G335" s="118"/>
      <c r="H335" s="118"/>
    </row>
    <row r="336" ht="15.75" customHeight="1">
      <c r="A336" s="118"/>
      <c r="B336" s="119"/>
      <c r="C336" s="120"/>
      <c r="D336" s="118"/>
      <c r="E336" s="118"/>
      <c r="F336" s="118"/>
      <c r="G336" s="118"/>
      <c r="H336" s="118"/>
    </row>
    <row r="337" ht="15.75" customHeight="1">
      <c r="A337" s="118"/>
      <c r="B337" s="119"/>
      <c r="C337" s="120"/>
      <c r="D337" s="118"/>
      <c r="E337" s="118"/>
      <c r="F337" s="118"/>
      <c r="G337" s="118"/>
      <c r="H337" s="118"/>
    </row>
    <row r="338" ht="15.75" customHeight="1">
      <c r="A338" s="118"/>
      <c r="B338" s="119"/>
      <c r="C338" s="120"/>
      <c r="D338" s="118"/>
      <c r="E338" s="118"/>
      <c r="F338" s="118"/>
      <c r="G338" s="118"/>
      <c r="H338" s="118"/>
    </row>
    <row r="339" ht="15.75" customHeight="1">
      <c r="A339" s="118"/>
      <c r="B339" s="119"/>
      <c r="C339" s="120"/>
      <c r="D339" s="118"/>
      <c r="E339" s="118"/>
      <c r="F339" s="118"/>
      <c r="G339" s="118"/>
      <c r="H339" s="118"/>
    </row>
    <row r="340" ht="15.75" customHeight="1">
      <c r="A340" s="118"/>
      <c r="B340" s="119"/>
      <c r="C340" s="120"/>
      <c r="D340" s="118"/>
      <c r="E340" s="118"/>
      <c r="F340" s="118"/>
      <c r="G340" s="118"/>
      <c r="H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</row>
    <row r="343" ht="15.75" customHeight="1">
      <c r="A343" s="213"/>
      <c r="B343" s="214"/>
      <c r="C343" s="215" t="s">
        <v>642</v>
      </c>
      <c r="D343" s="213"/>
      <c r="E343" s="95"/>
      <c r="F343" s="95"/>
      <c r="G343" s="95"/>
      <c r="H343" s="95"/>
    </row>
    <row r="344" ht="15.75" customHeight="1">
      <c r="A344" s="96">
        <v>45808.0</v>
      </c>
      <c r="B344" s="106" t="s">
        <v>39</v>
      </c>
      <c r="C344" s="107" t="s">
        <v>40</v>
      </c>
      <c r="D344" s="102">
        <f>750+1620+575</f>
        <v>2945</v>
      </c>
      <c r="E344" s="100"/>
      <c r="F344" s="100"/>
      <c r="G344" s="100"/>
      <c r="H344" s="100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ht="15.75" customHeight="1">
      <c r="A345" s="102"/>
      <c r="B345" s="40" t="s">
        <v>31</v>
      </c>
      <c r="C345" s="64" t="s">
        <v>32</v>
      </c>
      <c r="D345" s="97">
        <v>250.0</v>
      </c>
      <c r="E345" s="100"/>
      <c r="F345" s="100"/>
      <c r="G345" s="100"/>
      <c r="H345" s="100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ht="15.75" customHeight="1">
      <c r="A346" s="102"/>
      <c r="B346" s="40" t="s">
        <v>124</v>
      </c>
      <c r="C346" s="64" t="s">
        <v>125</v>
      </c>
      <c r="D346" s="102">
        <f>150+630+240</f>
        <v>1020</v>
      </c>
      <c r="E346" s="100"/>
      <c r="F346" s="100"/>
      <c r="G346" s="100"/>
      <c r="H346" s="100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ht="15.75" customHeight="1">
      <c r="A347" s="102"/>
      <c r="B347" s="40" t="s">
        <v>126</v>
      </c>
      <c r="C347" s="64" t="s">
        <v>127</v>
      </c>
      <c r="D347" s="102">
        <f>330+1080</f>
        <v>1410</v>
      </c>
      <c r="E347" s="100"/>
      <c r="F347" s="100"/>
      <c r="G347" s="100"/>
      <c r="H347" s="100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ht="15.75" customHeight="1">
      <c r="A348" s="102"/>
      <c r="B348" s="106" t="s">
        <v>25</v>
      </c>
      <c r="C348" s="107" t="s">
        <v>26</v>
      </c>
      <c r="D348" s="97">
        <f>475+75</f>
        <v>550</v>
      </c>
      <c r="E348" s="100"/>
      <c r="F348" s="100"/>
      <c r="G348" s="100"/>
      <c r="H348" s="100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ht="15.75" customHeight="1">
      <c r="A349" s="102"/>
      <c r="B349" s="40" t="s">
        <v>41</v>
      </c>
      <c r="C349" s="64" t="s">
        <v>42</v>
      </c>
      <c r="D349" s="97">
        <v>375.0</v>
      </c>
      <c r="E349" s="100"/>
      <c r="F349" s="100"/>
      <c r="G349" s="100"/>
      <c r="H349" s="100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ht="15.75" customHeight="1">
      <c r="A350" s="102"/>
      <c r="B350" s="40" t="s">
        <v>53</v>
      </c>
      <c r="C350" s="64" t="s">
        <v>54</v>
      </c>
      <c r="D350" s="97">
        <v>175.0</v>
      </c>
      <c r="E350" s="100"/>
      <c r="F350" s="100"/>
      <c r="G350" s="100"/>
      <c r="H350" s="100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ht="15.75" customHeight="1">
      <c r="A351" s="102"/>
      <c r="B351" s="72" t="s">
        <v>84</v>
      </c>
      <c r="C351" s="111" t="s">
        <v>85</v>
      </c>
      <c r="D351" s="97">
        <f>25+50</f>
        <v>75</v>
      </c>
      <c r="E351" s="100"/>
      <c r="F351" s="100"/>
      <c r="G351" s="100"/>
      <c r="H351" s="100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ht="15.75" customHeight="1">
      <c r="A352" s="102"/>
      <c r="B352" s="106" t="s">
        <v>199</v>
      </c>
      <c r="C352" s="107" t="s">
        <v>200</v>
      </c>
      <c r="D352" s="97">
        <v>75.0</v>
      </c>
      <c r="E352" s="100"/>
      <c r="F352" s="100"/>
      <c r="G352" s="100"/>
      <c r="H352" s="100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ht="15.75" customHeight="1">
      <c r="A353" s="102"/>
      <c r="B353" s="106" t="s">
        <v>643</v>
      </c>
      <c r="C353" s="107" t="s">
        <v>644</v>
      </c>
      <c r="D353" s="97">
        <v>150.0</v>
      </c>
      <c r="E353" s="100"/>
      <c r="F353" s="100"/>
      <c r="G353" s="100"/>
      <c r="H353" s="100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ht="15.75" customHeight="1">
      <c r="A354" s="102"/>
      <c r="B354" s="72" t="s">
        <v>88</v>
      </c>
      <c r="C354" s="116" t="s">
        <v>89</v>
      </c>
      <c r="D354" s="97">
        <f>75+15</f>
        <v>90</v>
      </c>
      <c r="E354" s="100"/>
      <c r="F354" s="100"/>
      <c r="G354" s="100"/>
      <c r="H354" s="100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ht="15.75" customHeight="1">
      <c r="A355" s="102"/>
      <c r="B355" s="109"/>
      <c r="C355" s="205"/>
      <c r="D355" s="102"/>
      <c r="E355" s="100"/>
      <c r="F355" s="100"/>
      <c r="G355" s="100"/>
      <c r="H355" s="100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ht="15.75" customHeight="1">
      <c r="A356" s="96">
        <v>45809.0</v>
      </c>
      <c r="B356" s="40" t="s">
        <v>124</v>
      </c>
      <c r="C356" s="64" t="s">
        <v>125</v>
      </c>
      <c r="D356" s="97">
        <f>1170+850</f>
        <v>2020</v>
      </c>
      <c r="E356" s="100"/>
      <c r="F356" s="100"/>
      <c r="G356" s="100"/>
      <c r="H356" s="100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ht="15.75" customHeight="1">
      <c r="A357" s="102"/>
      <c r="B357" s="106" t="s">
        <v>25</v>
      </c>
      <c r="C357" s="107" t="s">
        <v>26</v>
      </c>
      <c r="D357" s="97">
        <f>100+500</f>
        <v>600</v>
      </c>
      <c r="E357" s="100"/>
      <c r="F357" s="100"/>
      <c r="G357" s="100"/>
      <c r="H357" s="100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5.75" customHeight="1">
      <c r="A358" s="102"/>
      <c r="B358" s="106" t="s">
        <v>199</v>
      </c>
      <c r="C358" s="107" t="s">
        <v>200</v>
      </c>
      <c r="D358" s="97">
        <f>450+625</f>
        <v>1075</v>
      </c>
      <c r="E358" s="100"/>
      <c r="F358" s="100"/>
      <c r="G358" s="100"/>
      <c r="H358" s="100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ht="15.75" customHeight="1">
      <c r="A359" s="102"/>
      <c r="B359" s="40" t="s">
        <v>126</v>
      </c>
      <c r="C359" s="64" t="s">
        <v>127</v>
      </c>
      <c r="D359" s="97">
        <f>400+275</f>
        <v>675</v>
      </c>
      <c r="E359" s="100"/>
      <c r="F359" s="100"/>
      <c r="G359" s="100"/>
      <c r="H359" s="100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ht="15.75" customHeight="1">
      <c r="A360" s="102"/>
      <c r="B360" s="106" t="s">
        <v>643</v>
      </c>
      <c r="C360" s="107" t="s">
        <v>644</v>
      </c>
      <c r="D360" s="97">
        <f>125+125</f>
        <v>250</v>
      </c>
      <c r="E360" s="100"/>
      <c r="F360" s="100"/>
      <c r="G360" s="100"/>
      <c r="H360" s="100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ht="15.75" customHeight="1">
      <c r="A361" s="102"/>
      <c r="B361" s="40" t="s">
        <v>41</v>
      </c>
      <c r="C361" s="64" t="s">
        <v>42</v>
      </c>
      <c r="D361" s="97">
        <f>1050+1575</f>
        <v>2625</v>
      </c>
      <c r="E361" s="100"/>
      <c r="F361" s="100"/>
      <c r="G361" s="100"/>
      <c r="H361" s="100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ht="15.75" customHeight="1">
      <c r="A362" s="102"/>
      <c r="B362" s="106" t="s">
        <v>203</v>
      </c>
      <c r="C362" s="108" t="s">
        <v>204</v>
      </c>
      <c r="D362" s="97">
        <f>75+150</f>
        <v>225</v>
      </c>
      <c r="E362" s="100"/>
      <c r="F362" s="100"/>
      <c r="G362" s="100"/>
      <c r="H362" s="100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ht="15.75" customHeight="1">
      <c r="A363" s="102"/>
      <c r="B363" s="72" t="s">
        <v>88</v>
      </c>
      <c r="C363" s="116" t="s">
        <v>89</v>
      </c>
      <c r="D363" s="97">
        <f>50+75</f>
        <v>125</v>
      </c>
      <c r="E363" s="100"/>
      <c r="F363" s="100"/>
      <c r="G363" s="100"/>
      <c r="H363" s="100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ht="15.75" customHeight="1">
      <c r="A364" s="102"/>
      <c r="B364" s="106" t="s">
        <v>645</v>
      </c>
      <c r="C364" s="107" t="s">
        <v>646</v>
      </c>
      <c r="D364" s="97">
        <f>25+25</f>
        <v>50</v>
      </c>
      <c r="E364" s="100"/>
      <c r="F364" s="100"/>
      <c r="G364" s="100"/>
      <c r="H364" s="100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ht="15.75" customHeight="1">
      <c r="A365" s="102"/>
      <c r="B365" s="72" t="s">
        <v>84</v>
      </c>
      <c r="C365" s="111" t="s">
        <v>85</v>
      </c>
      <c r="D365" s="97">
        <v>50.0</v>
      </c>
      <c r="E365" s="100"/>
      <c r="F365" s="100"/>
      <c r="G365" s="100"/>
      <c r="H365" s="100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ht="15.75" customHeight="1">
      <c r="A366" s="102"/>
      <c r="B366" s="109"/>
      <c r="C366" s="205"/>
      <c r="D366" s="102"/>
      <c r="E366" s="100"/>
      <c r="F366" s="100"/>
      <c r="G366" s="100"/>
      <c r="H366" s="100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ht="15.75" customHeight="1">
      <c r="A367" s="96">
        <v>45810.0</v>
      </c>
      <c r="B367" s="106" t="s">
        <v>101</v>
      </c>
      <c r="C367" s="107" t="s">
        <v>102</v>
      </c>
      <c r="D367" s="97">
        <v>550.0</v>
      </c>
      <c r="E367" s="100"/>
      <c r="F367" s="100"/>
      <c r="G367" s="100"/>
      <c r="H367" s="100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ht="15.75" customHeight="1">
      <c r="A368" s="102"/>
      <c r="B368" s="40" t="s">
        <v>124</v>
      </c>
      <c r="C368" s="64" t="s">
        <v>125</v>
      </c>
      <c r="D368" s="97">
        <f>930+240</f>
        <v>1170</v>
      </c>
      <c r="E368" s="100"/>
      <c r="F368" s="100"/>
      <c r="G368" s="100"/>
      <c r="H368" s="100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ht="15.75" customHeight="1">
      <c r="A369" s="102"/>
      <c r="B369" s="40" t="s">
        <v>126</v>
      </c>
      <c r="C369" s="64" t="s">
        <v>127</v>
      </c>
      <c r="D369" s="97">
        <f>1200+690</f>
        <v>1890</v>
      </c>
      <c r="E369" s="100"/>
      <c r="F369" s="100"/>
      <c r="G369" s="100"/>
      <c r="H369" s="100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ht="15.75" customHeight="1">
      <c r="A370" s="102"/>
      <c r="B370" s="106" t="s">
        <v>39</v>
      </c>
      <c r="C370" s="107" t="s">
        <v>40</v>
      </c>
      <c r="D370" s="97">
        <v>120.0</v>
      </c>
      <c r="E370" s="100"/>
      <c r="F370" s="100"/>
      <c r="G370" s="100"/>
      <c r="H370" s="100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ht="15.75" customHeight="1">
      <c r="A371" s="102"/>
      <c r="B371" s="106" t="s">
        <v>41</v>
      </c>
      <c r="C371" s="107" t="s">
        <v>42</v>
      </c>
      <c r="D371" s="97">
        <f>1650+500</f>
        <v>2150</v>
      </c>
      <c r="E371" s="100"/>
      <c r="F371" s="100"/>
      <c r="G371" s="100"/>
      <c r="H371" s="100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ht="15.75" customHeight="1">
      <c r="A372" s="102"/>
      <c r="B372" s="106" t="s">
        <v>203</v>
      </c>
      <c r="C372" s="108" t="s">
        <v>204</v>
      </c>
      <c r="D372" s="97">
        <v>100.0</v>
      </c>
      <c r="E372" s="100"/>
      <c r="F372" s="100"/>
      <c r="G372" s="100"/>
      <c r="H372" s="100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ht="15.75" customHeight="1">
      <c r="A373" s="102"/>
      <c r="B373" s="106" t="s">
        <v>643</v>
      </c>
      <c r="C373" s="107" t="s">
        <v>644</v>
      </c>
      <c r="D373" s="97">
        <f>150+125</f>
        <v>275</v>
      </c>
      <c r="E373" s="100"/>
      <c r="F373" s="100"/>
      <c r="G373" s="100"/>
      <c r="H373" s="100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ht="15.75" customHeight="1">
      <c r="A374" s="102"/>
      <c r="B374" s="76" t="s">
        <v>84</v>
      </c>
      <c r="C374" s="54" t="s">
        <v>85</v>
      </c>
      <c r="D374" s="97">
        <v>50.0</v>
      </c>
      <c r="E374" s="100"/>
      <c r="F374" s="100"/>
      <c r="G374" s="100"/>
      <c r="H374" s="100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ht="15.75" customHeight="1">
      <c r="A375" s="102"/>
      <c r="B375" s="76" t="s">
        <v>88</v>
      </c>
      <c r="C375" s="77" t="s">
        <v>89</v>
      </c>
      <c r="D375" s="97">
        <f>75+50</f>
        <v>125</v>
      </c>
      <c r="E375" s="100"/>
      <c r="F375" s="100"/>
      <c r="G375" s="100"/>
      <c r="H375" s="100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ht="15.75" customHeight="1">
      <c r="A376" s="102"/>
      <c r="B376" s="106" t="s">
        <v>645</v>
      </c>
      <c r="C376" s="107" t="s">
        <v>646</v>
      </c>
      <c r="D376" s="97">
        <f>25+75+25</f>
        <v>125</v>
      </c>
      <c r="E376" s="100"/>
      <c r="F376" s="100"/>
      <c r="G376" s="100"/>
      <c r="H376" s="100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ht="15.75" customHeight="1">
      <c r="A377" s="102"/>
      <c r="B377" s="106" t="s">
        <v>199</v>
      </c>
      <c r="C377" s="107" t="s">
        <v>200</v>
      </c>
      <c r="D377" s="97">
        <v>725.0</v>
      </c>
      <c r="E377" s="100"/>
      <c r="F377" s="100"/>
      <c r="G377" s="100"/>
      <c r="H377" s="100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ht="15.75" customHeight="1">
      <c r="A378" s="102"/>
      <c r="B378" s="72" t="s">
        <v>201</v>
      </c>
      <c r="C378" s="108" t="s">
        <v>202</v>
      </c>
      <c r="D378" s="97">
        <v>50.0</v>
      </c>
      <c r="E378" s="100"/>
      <c r="F378" s="100"/>
      <c r="G378" s="100"/>
      <c r="H378" s="100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ht="15.75" customHeight="1">
      <c r="A379" s="102"/>
      <c r="B379" s="109"/>
      <c r="C379" s="205"/>
      <c r="D379" s="102"/>
      <c r="E379" s="100"/>
      <c r="F379" s="100"/>
      <c r="G379" s="100"/>
      <c r="H379" s="100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ht="15.75" customHeight="1">
      <c r="A380" s="96">
        <v>45811.0</v>
      </c>
      <c r="B380" s="106" t="s">
        <v>41</v>
      </c>
      <c r="C380" s="107" t="s">
        <v>42</v>
      </c>
      <c r="D380" s="102">
        <f>2625</f>
        <v>2625</v>
      </c>
      <c r="E380" s="100"/>
      <c r="F380" s="100"/>
      <c r="G380" s="100"/>
      <c r="H380" s="100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ht="15.75" customHeight="1">
      <c r="A381" s="102"/>
      <c r="B381" s="106" t="s">
        <v>203</v>
      </c>
      <c r="C381" s="108" t="s">
        <v>204</v>
      </c>
      <c r="D381" s="102">
        <f>575</f>
        <v>575</v>
      </c>
      <c r="E381" s="100"/>
      <c r="F381" s="100"/>
      <c r="G381" s="100"/>
      <c r="H381" s="100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ht="15.75" customHeight="1">
      <c r="A382" s="102"/>
      <c r="B382" s="106" t="s">
        <v>101</v>
      </c>
      <c r="C382" s="107" t="s">
        <v>102</v>
      </c>
      <c r="D382" s="97">
        <v>1575.0</v>
      </c>
      <c r="E382" s="100"/>
      <c r="F382" s="100"/>
      <c r="G382" s="100"/>
      <c r="H382" s="100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ht="15.75" customHeight="1">
      <c r="A383" s="102"/>
      <c r="B383" s="106" t="s">
        <v>124</v>
      </c>
      <c r="C383" s="107" t="s">
        <v>125</v>
      </c>
      <c r="D383" s="97">
        <v>300.0</v>
      </c>
      <c r="E383" s="100"/>
      <c r="F383" s="100"/>
      <c r="G383" s="100"/>
      <c r="H383" s="100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ht="15.75" customHeight="1">
      <c r="A384" s="102"/>
      <c r="B384" s="106" t="s">
        <v>643</v>
      </c>
      <c r="C384" s="107" t="s">
        <v>644</v>
      </c>
      <c r="D384" s="97">
        <v>200.0</v>
      </c>
      <c r="E384" s="100"/>
      <c r="F384" s="100"/>
      <c r="G384" s="100"/>
      <c r="H384" s="100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ht="15.75" customHeight="1">
      <c r="A385" s="102"/>
      <c r="B385" s="106" t="s">
        <v>39</v>
      </c>
      <c r="C385" s="107" t="s">
        <v>40</v>
      </c>
      <c r="D385" s="97">
        <v>375.0</v>
      </c>
      <c r="E385" s="100"/>
      <c r="F385" s="100"/>
      <c r="G385" s="100"/>
      <c r="H385" s="100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ht="15.75" customHeight="1">
      <c r="A386" s="102"/>
      <c r="B386" s="106" t="s">
        <v>645</v>
      </c>
      <c r="C386" s="107" t="s">
        <v>646</v>
      </c>
      <c r="D386" s="97">
        <v>50.0</v>
      </c>
      <c r="E386" s="100"/>
      <c r="F386" s="100"/>
      <c r="G386" s="100"/>
      <c r="H386" s="100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ht="15.75" customHeight="1">
      <c r="A387" s="102"/>
      <c r="B387" s="106" t="s">
        <v>39</v>
      </c>
      <c r="C387" s="107" t="s">
        <v>40</v>
      </c>
      <c r="D387" s="97">
        <v>120.0</v>
      </c>
      <c r="E387" s="100"/>
      <c r="F387" s="100"/>
      <c r="G387" s="100"/>
      <c r="H387" s="100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ht="15.75" customHeight="1">
      <c r="A388" s="102"/>
      <c r="B388" s="72" t="s">
        <v>167</v>
      </c>
      <c r="C388" s="116" t="s">
        <v>168</v>
      </c>
      <c r="D388" s="97">
        <v>25.0</v>
      </c>
      <c r="E388" s="100"/>
      <c r="F388" s="100"/>
      <c r="G388" s="100"/>
      <c r="H388" s="100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ht="15.75" customHeight="1">
      <c r="A389" s="102"/>
      <c r="B389" s="106" t="s">
        <v>126</v>
      </c>
      <c r="C389" s="107" t="s">
        <v>127</v>
      </c>
      <c r="D389" s="102">
        <f>720</f>
        <v>720</v>
      </c>
      <c r="E389" s="100"/>
      <c r="F389" s="100"/>
      <c r="G389" s="100"/>
      <c r="H389" s="100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ht="15.75" customHeight="1">
      <c r="A390" s="102"/>
      <c r="B390" s="76" t="s">
        <v>88</v>
      </c>
      <c r="C390" s="77" t="s">
        <v>89</v>
      </c>
      <c r="D390" s="97">
        <v>75.0</v>
      </c>
      <c r="E390" s="100"/>
      <c r="F390" s="100"/>
      <c r="G390" s="100"/>
      <c r="H390" s="100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ht="15.75" customHeight="1">
      <c r="A391" s="102"/>
      <c r="B391" s="106" t="s">
        <v>31</v>
      </c>
      <c r="C391" s="107" t="s">
        <v>32</v>
      </c>
      <c r="D391" s="97">
        <v>325.0</v>
      </c>
      <c r="E391" s="100"/>
      <c r="F391" s="100"/>
      <c r="G391" s="100"/>
      <c r="H391" s="100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ht="15.75" customHeight="1">
      <c r="A392" s="102"/>
      <c r="B392" s="106" t="s">
        <v>25</v>
      </c>
      <c r="C392" s="107" t="s">
        <v>26</v>
      </c>
      <c r="D392" s="97">
        <v>150.0</v>
      </c>
      <c r="E392" s="100"/>
      <c r="F392" s="100"/>
      <c r="G392" s="100"/>
      <c r="H392" s="100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ht="15.75" customHeight="1">
      <c r="A393" s="102"/>
      <c r="B393" s="100"/>
      <c r="C393" s="115"/>
      <c r="D393" s="102"/>
      <c r="E393" s="100"/>
      <c r="F393" s="100"/>
      <c r="G393" s="100"/>
      <c r="H393" s="100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ht="15.75" customHeight="1">
      <c r="A394" s="96">
        <v>45812.0</v>
      </c>
      <c r="B394" s="106" t="s">
        <v>31</v>
      </c>
      <c r="C394" s="107" t="s">
        <v>32</v>
      </c>
      <c r="D394" s="102">
        <f>300+1440</f>
        <v>1740</v>
      </c>
      <c r="E394" s="100"/>
      <c r="F394" s="100"/>
      <c r="G394" s="100"/>
      <c r="H394" s="100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ht="15.75" customHeight="1">
      <c r="A395" s="102"/>
      <c r="B395" s="106" t="s">
        <v>25</v>
      </c>
      <c r="C395" s="107" t="s">
        <v>26</v>
      </c>
      <c r="D395" s="102">
        <f>1050</f>
        <v>1050</v>
      </c>
      <c r="E395" s="100"/>
      <c r="F395" s="100"/>
      <c r="G395" s="100"/>
      <c r="H395" s="100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ht="15.75" customHeight="1">
      <c r="A396" s="102"/>
      <c r="B396" s="106" t="s">
        <v>126</v>
      </c>
      <c r="C396" s="107" t="s">
        <v>127</v>
      </c>
      <c r="D396" s="102">
        <f>720</f>
        <v>720</v>
      </c>
      <c r="E396" s="100"/>
      <c r="F396" s="100"/>
      <c r="G396" s="100"/>
      <c r="H396" s="100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ht="15.75" customHeight="1">
      <c r="A397" s="102"/>
      <c r="B397" s="106" t="s">
        <v>39</v>
      </c>
      <c r="C397" s="107" t="s">
        <v>40</v>
      </c>
      <c r="D397" s="102">
        <f>480</f>
        <v>480</v>
      </c>
      <c r="E397" s="100"/>
      <c r="F397" s="100"/>
      <c r="G397" s="100"/>
      <c r="H397" s="100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ht="15.75" customHeight="1">
      <c r="A398" s="102"/>
      <c r="B398" s="106" t="s">
        <v>643</v>
      </c>
      <c r="C398" s="107" t="s">
        <v>644</v>
      </c>
      <c r="D398" s="97">
        <v>225.0</v>
      </c>
      <c r="E398" s="100"/>
      <c r="F398" s="100"/>
      <c r="G398" s="100"/>
      <c r="H398" s="100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ht="15.75" customHeight="1">
      <c r="A399" s="102"/>
      <c r="B399" s="106" t="s">
        <v>41</v>
      </c>
      <c r="C399" s="107" t="s">
        <v>42</v>
      </c>
      <c r="D399" s="97">
        <v>2100.0</v>
      </c>
      <c r="E399" s="100"/>
      <c r="F399" s="100"/>
      <c r="G399" s="100"/>
      <c r="H399" s="100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ht="15.75" customHeight="1">
      <c r="A400" s="102"/>
      <c r="B400" s="106" t="s">
        <v>203</v>
      </c>
      <c r="C400" s="108" t="s">
        <v>204</v>
      </c>
      <c r="D400" s="97">
        <v>450.0</v>
      </c>
      <c r="E400" s="100"/>
      <c r="F400" s="100"/>
      <c r="G400" s="100"/>
      <c r="H400" s="100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ht="15.75" customHeight="1">
      <c r="A401" s="102"/>
      <c r="B401" s="72" t="s">
        <v>201</v>
      </c>
      <c r="C401" s="108" t="s">
        <v>202</v>
      </c>
      <c r="D401" s="97">
        <v>25.0</v>
      </c>
      <c r="E401" s="100"/>
      <c r="F401" s="100"/>
      <c r="G401" s="100"/>
      <c r="H401" s="100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ht="15.75" customHeight="1">
      <c r="A402" s="102"/>
      <c r="B402" s="76" t="s">
        <v>157</v>
      </c>
      <c r="C402" s="54" t="s">
        <v>158</v>
      </c>
      <c r="D402" s="97">
        <v>50.0</v>
      </c>
      <c r="E402" s="100"/>
      <c r="F402" s="100"/>
      <c r="G402" s="100"/>
      <c r="H402" s="100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ht="15.75" customHeight="1">
      <c r="A403" s="102"/>
      <c r="B403" s="76" t="s">
        <v>162</v>
      </c>
      <c r="C403" s="112" t="s">
        <v>163</v>
      </c>
      <c r="D403" s="97">
        <v>25.0</v>
      </c>
      <c r="E403" s="100"/>
      <c r="F403" s="100"/>
      <c r="G403" s="100"/>
      <c r="H403" s="100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ht="15.75" customHeight="1">
      <c r="A404" s="102"/>
      <c r="B404" s="76" t="s">
        <v>165</v>
      </c>
      <c r="C404" s="54" t="s">
        <v>166</v>
      </c>
      <c r="D404" s="97">
        <v>75.0</v>
      </c>
      <c r="E404" s="100"/>
      <c r="F404" s="100"/>
      <c r="G404" s="100"/>
      <c r="H404" s="100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ht="15.75" customHeight="1">
      <c r="A405" s="102"/>
      <c r="B405" s="76" t="s">
        <v>84</v>
      </c>
      <c r="C405" s="54" t="s">
        <v>85</v>
      </c>
      <c r="D405" s="97">
        <v>25.0</v>
      </c>
      <c r="E405" s="100"/>
      <c r="F405" s="100"/>
      <c r="G405" s="100"/>
      <c r="H405" s="100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ht="15.75" customHeight="1">
      <c r="A406" s="102"/>
      <c r="B406" s="76" t="s">
        <v>167</v>
      </c>
      <c r="C406" s="77" t="s">
        <v>168</v>
      </c>
      <c r="D406" s="97">
        <v>25.0</v>
      </c>
      <c r="E406" s="100"/>
      <c r="F406" s="100"/>
      <c r="G406" s="100"/>
      <c r="H406" s="100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ht="15.75" customHeight="1">
      <c r="A407" s="102"/>
      <c r="B407" s="76" t="s">
        <v>88</v>
      </c>
      <c r="C407" s="77" t="s">
        <v>89</v>
      </c>
      <c r="D407" s="97">
        <v>25.0</v>
      </c>
      <c r="E407" s="100"/>
      <c r="F407" s="100"/>
      <c r="G407" s="100"/>
      <c r="H407" s="100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ht="15.75" customHeight="1">
      <c r="A408" s="102"/>
      <c r="B408" s="106" t="s">
        <v>645</v>
      </c>
      <c r="C408" s="107" t="s">
        <v>646</v>
      </c>
      <c r="D408" s="97">
        <v>50.0</v>
      </c>
      <c r="E408" s="100"/>
      <c r="F408" s="100"/>
      <c r="G408" s="100"/>
      <c r="H408" s="100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ht="15.75" customHeight="1">
      <c r="A409" s="102"/>
      <c r="B409" s="109"/>
      <c r="C409" s="205"/>
      <c r="D409" s="102"/>
      <c r="E409" s="100"/>
      <c r="F409" s="100"/>
      <c r="G409" s="100"/>
      <c r="H409" s="100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ht="15.75" customHeight="1">
      <c r="A410" s="96">
        <v>45813.0</v>
      </c>
      <c r="B410" s="106" t="s">
        <v>41</v>
      </c>
      <c r="C410" s="107" t="s">
        <v>42</v>
      </c>
      <c r="D410" s="102">
        <f>1550+1250</f>
        <v>2800</v>
      </c>
      <c r="E410" s="100"/>
      <c r="F410" s="100"/>
      <c r="G410" s="100"/>
      <c r="H410" s="100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ht="15.75" customHeight="1">
      <c r="A411" s="102"/>
      <c r="B411" s="40" t="s">
        <v>25</v>
      </c>
      <c r="C411" s="64" t="s">
        <v>26</v>
      </c>
      <c r="D411" s="97">
        <f>960+200</f>
        <v>1160</v>
      </c>
      <c r="E411" s="100"/>
      <c r="F411" s="100"/>
      <c r="G411" s="100"/>
      <c r="H411" s="100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ht="15.75" customHeight="1">
      <c r="A412" s="102"/>
      <c r="B412" s="40" t="s">
        <v>31</v>
      </c>
      <c r="C412" s="64" t="s">
        <v>32</v>
      </c>
      <c r="D412" s="97">
        <f>480+325+425</f>
        <v>1230</v>
      </c>
      <c r="E412" s="100"/>
      <c r="F412" s="100"/>
      <c r="G412" s="100"/>
      <c r="H412" s="100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ht="15.75" customHeight="1">
      <c r="A413" s="102"/>
      <c r="B413" s="40" t="s">
        <v>39</v>
      </c>
      <c r="C413" s="64" t="s">
        <v>40</v>
      </c>
      <c r="D413" s="97">
        <f>480+600</f>
        <v>1080</v>
      </c>
      <c r="E413" s="100"/>
      <c r="F413" s="100"/>
      <c r="G413" s="100"/>
      <c r="H413" s="100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ht="15.75" customHeight="1">
      <c r="A414" s="102"/>
      <c r="B414" s="106" t="s">
        <v>124</v>
      </c>
      <c r="C414" s="107" t="s">
        <v>125</v>
      </c>
      <c r="D414" s="97">
        <v>425.0</v>
      </c>
      <c r="E414" s="100"/>
      <c r="F414" s="100"/>
      <c r="G414" s="100"/>
      <c r="H414" s="100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ht="15.75" customHeight="1">
      <c r="A415" s="102"/>
      <c r="B415" s="106" t="s">
        <v>643</v>
      </c>
      <c r="C415" s="107" t="s">
        <v>644</v>
      </c>
      <c r="D415" s="97">
        <f>150+100</f>
        <v>250</v>
      </c>
      <c r="E415" s="100"/>
      <c r="F415" s="100"/>
      <c r="G415" s="100"/>
      <c r="H415" s="100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ht="15.75" customHeight="1">
      <c r="A416" s="102"/>
      <c r="B416" s="106" t="s">
        <v>203</v>
      </c>
      <c r="C416" s="108" t="s">
        <v>204</v>
      </c>
      <c r="D416" s="97">
        <v>325.0</v>
      </c>
      <c r="E416" s="100"/>
      <c r="F416" s="100"/>
      <c r="G416" s="100"/>
      <c r="H416" s="100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ht="15.75" customHeight="1">
      <c r="A417" s="102"/>
      <c r="B417" s="113" t="s">
        <v>157</v>
      </c>
      <c r="C417" s="112" t="s">
        <v>158</v>
      </c>
      <c r="D417" s="102">
        <f>25+10</f>
        <v>35</v>
      </c>
      <c r="E417" s="100"/>
      <c r="F417" s="100"/>
      <c r="G417" s="100"/>
      <c r="H417" s="100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ht="15.75" customHeight="1">
      <c r="A418" s="102"/>
      <c r="B418" s="113" t="s">
        <v>165</v>
      </c>
      <c r="C418" s="112" t="s">
        <v>166</v>
      </c>
      <c r="D418" s="97">
        <v>25.0</v>
      </c>
      <c r="E418" s="100"/>
      <c r="F418" s="100"/>
      <c r="G418" s="100"/>
      <c r="H418" s="100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ht="15.75" customHeight="1">
      <c r="A419" s="102"/>
      <c r="B419" s="113" t="s">
        <v>84</v>
      </c>
      <c r="C419" s="112" t="s">
        <v>85</v>
      </c>
      <c r="D419" s="97">
        <v>25.0</v>
      </c>
      <c r="E419" s="100"/>
      <c r="F419" s="100"/>
      <c r="G419" s="100"/>
      <c r="H419" s="100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ht="15.75" customHeight="1">
      <c r="A420" s="102"/>
      <c r="B420" s="106" t="s">
        <v>645</v>
      </c>
      <c r="C420" s="107" t="s">
        <v>646</v>
      </c>
      <c r="D420" s="97">
        <v>50.0</v>
      </c>
      <c r="E420" s="100"/>
      <c r="F420" s="100"/>
      <c r="G420" s="100"/>
      <c r="H420" s="100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ht="15.75" customHeight="1">
      <c r="A421" s="102"/>
      <c r="B421" s="100"/>
      <c r="C421" s="115"/>
      <c r="D421" s="102"/>
      <c r="E421" s="100"/>
      <c r="F421" s="100"/>
      <c r="G421" s="100"/>
      <c r="H421" s="100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ht="15.75" customHeight="1">
      <c r="A422" s="96">
        <v>45814.0</v>
      </c>
      <c r="B422" s="106" t="s">
        <v>124</v>
      </c>
      <c r="C422" s="107" t="s">
        <v>125</v>
      </c>
      <c r="D422" s="97">
        <v>210.0</v>
      </c>
      <c r="E422" s="100"/>
      <c r="F422" s="100"/>
      <c r="G422" s="100"/>
      <c r="H422" s="100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ht="15.75" customHeight="1">
      <c r="A423" s="102"/>
      <c r="B423" s="40" t="s">
        <v>39</v>
      </c>
      <c r="C423" s="64" t="s">
        <v>40</v>
      </c>
      <c r="D423" s="97">
        <f>2430+960</f>
        <v>3390</v>
      </c>
      <c r="E423" s="100"/>
      <c r="F423" s="100"/>
      <c r="G423" s="100"/>
      <c r="H423" s="100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ht="15.75" customHeight="1">
      <c r="A424" s="102"/>
      <c r="B424" s="40" t="s">
        <v>25</v>
      </c>
      <c r="C424" s="64" t="s">
        <v>26</v>
      </c>
      <c r="D424" s="97">
        <f>300+125+480</f>
        <v>905</v>
      </c>
      <c r="E424" s="100"/>
      <c r="F424" s="100"/>
      <c r="G424" s="100"/>
      <c r="H424" s="100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ht="15.75" customHeight="1">
      <c r="A425" s="102"/>
      <c r="B425" s="106" t="s">
        <v>41</v>
      </c>
      <c r="C425" s="107" t="s">
        <v>42</v>
      </c>
      <c r="D425" s="97">
        <f>925+1850</f>
        <v>2775</v>
      </c>
      <c r="E425" s="100"/>
      <c r="F425" s="100"/>
      <c r="G425" s="100"/>
      <c r="H425" s="100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ht="15.75" customHeight="1">
      <c r="A426" s="102"/>
      <c r="B426" s="106" t="s">
        <v>643</v>
      </c>
      <c r="C426" s="107" t="s">
        <v>644</v>
      </c>
      <c r="D426" s="97">
        <f>200+75</f>
        <v>275</v>
      </c>
      <c r="E426" s="100"/>
      <c r="F426" s="100"/>
      <c r="G426" s="100"/>
      <c r="H426" s="100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ht="15.75" customHeight="1">
      <c r="A427" s="102"/>
      <c r="B427" s="72" t="s">
        <v>201</v>
      </c>
      <c r="C427" s="108" t="s">
        <v>202</v>
      </c>
      <c r="D427" s="97">
        <v>200.0</v>
      </c>
      <c r="E427" s="100"/>
      <c r="F427" s="100"/>
      <c r="G427" s="100"/>
      <c r="H427" s="100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ht="15.75" customHeight="1">
      <c r="A428" s="102"/>
      <c r="B428" s="113" t="s">
        <v>84</v>
      </c>
      <c r="C428" s="112" t="s">
        <v>85</v>
      </c>
      <c r="D428" s="97">
        <f>25+50</f>
        <v>75</v>
      </c>
      <c r="E428" s="100"/>
      <c r="F428" s="100"/>
      <c r="G428" s="100"/>
      <c r="H428" s="100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ht="15.75" customHeight="1">
      <c r="A429" s="102"/>
      <c r="B429" s="113" t="s">
        <v>157</v>
      </c>
      <c r="C429" s="112" t="s">
        <v>158</v>
      </c>
      <c r="D429" s="97">
        <v>50.0</v>
      </c>
      <c r="E429" s="100"/>
      <c r="F429" s="100"/>
      <c r="G429" s="100"/>
      <c r="H429" s="100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ht="15.75" customHeight="1">
      <c r="A430" s="102"/>
      <c r="B430" s="40" t="s">
        <v>645</v>
      </c>
      <c r="C430" s="64" t="s">
        <v>646</v>
      </c>
      <c r="D430" s="97">
        <v>50.0</v>
      </c>
      <c r="E430" s="100"/>
      <c r="F430" s="100"/>
      <c r="G430" s="100"/>
      <c r="H430" s="100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ht="15.75" customHeight="1">
      <c r="A431" s="102"/>
      <c r="B431" s="31"/>
      <c r="C431" s="31" t="s">
        <v>261</v>
      </c>
      <c r="D431" s="97">
        <v>150.0</v>
      </c>
      <c r="E431" s="100"/>
      <c r="F431" s="100"/>
      <c r="G431" s="100"/>
      <c r="H431" s="100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ht="15.75" customHeight="1">
      <c r="A432" s="102"/>
      <c r="B432" s="106" t="s">
        <v>203</v>
      </c>
      <c r="C432" s="108" t="s">
        <v>204</v>
      </c>
      <c r="D432" s="97">
        <v>150.0</v>
      </c>
      <c r="E432" s="100"/>
      <c r="F432" s="100"/>
      <c r="G432" s="100"/>
      <c r="H432" s="100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ht="15.75" customHeight="1">
      <c r="A433" s="102"/>
      <c r="B433" s="72" t="s">
        <v>160</v>
      </c>
      <c r="C433" s="108" t="s">
        <v>161</v>
      </c>
      <c r="D433" s="97">
        <v>25.0</v>
      </c>
      <c r="E433" s="100"/>
      <c r="F433" s="100"/>
      <c r="G433" s="100"/>
      <c r="H433" s="100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ht="15.75" customHeight="1">
      <c r="A434" s="102"/>
      <c r="B434" s="100"/>
      <c r="C434" s="205"/>
      <c r="D434" s="102"/>
      <c r="E434" s="100"/>
      <c r="F434" s="100"/>
      <c r="G434" s="100"/>
      <c r="H434" s="100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ht="15.75" customHeight="1">
      <c r="A435" s="96">
        <v>45815.0</v>
      </c>
      <c r="B435" s="40" t="s">
        <v>39</v>
      </c>
      <c r="C435" s="64" t="s">
        <v>40</v>
      </c>
      <c r="D435" s="102">
        <f>1200+480</f>
        <v>1680</v>
      </c>
      <c r="E435" s="100"/>
      <c r="F435" s="100"/>
      <c r="G435" s="100"/>
      <c r="H435" s="100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ht="15.75" customHeight="1">
      <c r="A436" s="102"/>
      <c r="B436" s="106" t="s">
        <v>643</v>
      </c>
      <c r="C436" s="107" t="s">
        <v>644</v>
      </c>
      <c r="D436" s="97">
        <f>125+75</f>
        <v>200</v>
      </c>
      <c r="E436" s="100"/>
      <c r="F436" s="100"/>
      <c r="G436" s="100"/>
      <c r="H436" s="100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ht="15.75" customHeight="1">
      <c r="A437" s="102"/>
      <c r="B437" s="106" t="s">
        <v>41</v>
      </c>
      <c r="C437" s="107" t="s">
        <v>42</v>
      </c>
      <c r="D437" s="102">
        <f>850+900</f>
        <v>1750</v>
      </c>
      <c r="E437" s="100"/>
      <c r="F437" s="100"/>
      <c r="G437" s="100"/>
      <c r="H437" s="100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ht="15.75" customHeight="1">
      <c r="A438" s="102"/>
      <c r="B438" s="106" t="s">
        <v>203</v>
      </c>
      <c r="C438" s="108" t="s">
        <v>204</v>
      </c>
      <c r="D438" s="97">
        <v>150.0</v>
      </c>
      <c r="E438" s="100"/>
      <c r="F438" s="100"/>
      <c r="G438" s="100"/>
      <c r="H438" s="100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ht="15.75" customHeight="1">
      <c r="A439" s="102"/>
      <c r="B439" s="40" t="s">
        <v>25</v>
      </c>
      <c r="C439" s="64" t="s">
        <v>26</v>
      </c>
      <c r="D439" s="97">
        <f>480+350+550</f>
        <v>1380</v>
      </c>
      <c r="E439" s="100"/>
      <c r="F439" s="100"/>
      <c r="G439" s="100"/>
      <c r="H439" s="100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ht="15.75" customHeight="1">
      <c r="A440" s="102"/>
      <c r="B440" s="106" t="s">
        <v>124</v>
      </c>
      <c r="C440" s="107" t="s">
        <v>125</v>
      </c>
      <c r="D440" s="97">
        <f>425+250</f>
        <v>675</v>
      </c>
      <c r="E440" s="100"/>
      <c r="F440" s="100"/>
      <c r="G440" s="100"/>
      <c r="H440" s="100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ht="15.75" customHeight="1">
      <c r="A441" s="102"/>
      <c r="B441" s="100"/>
      <c r="C441" s="31" t="s">
        <v>261</v>
      </c>
      <c r="D441" s="97">
        <v>50.0</v>
      </c>
      <c r="E441" s="100"/>
      <c r="F441" s="100"/>
      <c r="G441" s="100"/>
      <c r="H441" s="100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ht="15.75" customHeight="1">
      <c r="A442" s="102"/>
      <c r="B442" s="40" t="s">
        <v>645</v>
      </c>
      <c r="C442" s="64" t="s">
        <v>646</v>
      </c>
      <c r="D442" s="97">
        <v>25.0</v>
      </c>
      <c r="E442" s="100"/>
      <c r="F442" s="100"/>
      <c r="G442" s="100"/>
      <c r="H442" s="100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ht="15.75" customHeight="1">
      <c r="A443" s="102"/>
      <c r="B443" s="113" t="s">
        <v>84</v>
      </c>
      <c r="C443" s="112" t="s">
        <v>85</v>
      </c>
      <c r="D443" s="97">
        <v>25.0</v>
      </c>
      <c r="E443" s="100"/>
      <c r="F443" s="100"/>
      <c r="G443" s="100"/>
      <c r="H443" s="100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ht="15.75" customHeight="1">
      <c r="A444" s="102"/>
      <c r="B444" s="113" t="s">
        <v>157</v>
      </c>
      <c r="C444" s="112" t="s">
        <v>158</v>
      </c>
      <c r="D444" s="97">
        <v>25.0</v>
      </c>
      <c r="E444" s="100"/>
      <c r="F444" s="100"/>
      <c r="G444" s="100"/>
      <c r="H444" s="100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ht="15.75" customHeight="1">
      <c r="A445" s="102"/>
      <c r="B445" s="76" t="s">
        <v>160</v>
      </c>
      <c r="C445" s="112" t="s">
        <v>161</v>
      </c>
      <c r="D445" s="97">
        <v>50.0</v>
      </c>
      <c r="E445" s="100"/>
      <c r="F445" s="100"/>
      <c r="G445" s="100"/>
      <c r="H445" s="100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ht="15.75" customHeight="1">
      <c r="A446" s="102"/>
      <c r="B446" s="106" t="s">
        <v>31</v>
      </c>
      <c r="C446" s="107" t="s">
        <v>32</v>
      </c>
      <c r="D446" s="97">
        <v>475.0</v>
      </c>
      <c r="E446" s="100"/>
      <c r="F446" s="100"/>
      <c r="G446" s="100"/>
      <c r="H446" s="100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ht="15.75" customHeight="1">
      <c r="A447" s="102"/>
      <c r="B447" s="72" t="s">
        <v>165</v>
      </c>
      <c r="C447" s="212" t="s">
        <v>166</v>
      </c>
      <c r="D447" s="97">
        <v>25.0</v>
      </c>
      <c r="E447" s="100"/>
      <c r="F447" s="100"/>
      <c r="G447" s="100"/>
      <c r="H447" s="100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ht="15.75" customHeight="1">
      <c r="A448" s="102"/>
      <c r="B448" s="109"/>
      <c r="C448" s="205"/>
      <c r="D448" s="102"/>
      <c r="E448" s="100"/>
      <c r="F448" s="100"/>
      <c r="G448" s="100"/>
      <c r="H448" s="100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ht="15.75" customHeight="1">
      <c r="A449" s="96">
        <v>45817.0</v>
      </c>
      <c r="B449" s="40" t="s">
        <v>39</v>
      </c>
      <c r="C449" s="64" t="s">
        <v>40</v>
      </c>
      <c r="D449" s="97">
        <f>1440+1000+480+75</f>
        <v>2995</v>
      </c>
      <c r="E449" s="100"/>
      <c r="F449" s="100"/>
      <c r="G449" s="100"/>
      <c r="H449" s="100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ht="15.75" customHeight="1">
      <c r="A450" s="102"/>
      <c r="B450" s="106" t="s">
        <v>643</v>
      </c>
      <c r="C450" s="107" t="s">
        <v>644</v>
      </c>
      <c r="D450" s="102">
        <f>25+50+25+50+25</f>
        <v>175</v>
      </c>
      <c r="E450" s="100"/>
      <c r="F450" s="100"/>
      <c r="G450" s="100"/>
      <c r="H450" s="100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ht="15.75" customHeight="1">
      <c r="A451" s="102"/>
      <c r="B451" s="40" t="s">
        <v>25</v>
      </c>
      <c r="C451" s="64" t="s">
        <v>26</v>
      </c>
      <c r="D451" s="102">
        <f>325+180</f>
        <v>505</v>
      </c>
      <c r="E451" s="100"/>
      <c r="F451" s="100"/>
      <c r="G451" s="100"/>
      <c r="H451" s="100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ht="15.75" customHeight="1">
      <c r="A452" s="102"/>
      <c r="B452" s="40" t="s">
        <v>645</v>
      </c>
      <c r="C452" s="64" t="s">
        <v>646</v>
      </c>
      <c r="D452" s="97">
        <v>25.0</v>
      </c>
      <c r="E452" s="100"/>
      <c r="F452" s="100"/>
      <c r="G452" s="100"/>
      <c r="H452" s="100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ht="15.75" customHeight="1">
      <c r="A453" s="102"/>
      <c r="B453" s="106" t="s">
        <v>41</v>
      </c>
      <c r="C453" s="107" t="s">
        <v>42</v>
      </c>
      <c r="D453" s="97">
        <v>2700.0</v>
      </c>
      <c r="E453" s="100"/>
      <c r="F453" s="100"/>
      <c r="G453" s="100"/>
      <c r="H453" s="100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ht="15.75" customHeight="1">
      <c r="A454" s="102"/>
      <c r="B454" s="72" t="s">
        <v>205</v>
      </c>
      <c r="C454" s="111" t="s">
        <v>206</v>
      </c>
      <c r="D454" s="97">
        <v>75.0</v>
      </c>
      <c r="E454" s="100"/>
      <c r="F454" s="100"/>
      <c r="G454" s="100"/>
      <c r="H454" s="100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ht="15.75" customHeight="1">
      <c r="A455" s="102"/>
      <c r="B455" s="106" t="s">
        <v>203</v>
      </c>
      <c r="C455" s="108" t="s">
        <v>204</v>
      </c>
      <c r="D455" s="97">
        <v>25.0</v>
      </c>
      <c r="E455" s="100"/>
      <c r="F455" s="100"/>
      <c r="G455" s="100"/>
      <c r="H455" s="100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ht="15.75" customHeight="1">
      <c r="A456" s="102"/>
      <c r="B456" s="72" t="s">
        <v>201</v>
      </c>
      <c r="C456" s="108" t="s">
        <v>202</v>
      </c>
      <c r="D456" s="97">
        <v>75.0</v>
      </c>
      <c r="E456" s="100"/>
      <c r="F456" s="100"/>
      <c r="G456" s="100"/>
      <c r="H456" s="100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ht="15.75" customHeight="1">
      <c r="A457" s="102"/>
      <c r="B457" s="113" t="s">
        <v>84</v>
      </c>
      <c r="C457" s="112" t="s">
        <v>85</v>
      </c>
      <c r="D457" s="97">
        <v>75.0</v>
      </c>
      <c r="E457" s="100"/>
      <c r="F457" s="100"/>
      <c r="G457" s="100"/>
      <c r="H457" s="100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ht="15.75" customHeight="1">
      <c r="A458" s="102"/>
      <c r="B458" s="113" t="s">
        <v>157</v>
      </c>
      <c r="C458" s="112" t="s">
        <v>158</v>
      </c>
      <c r="D458" s="97">
        <v>25.0</v>
      </c>
      <c r="E458" s="100"/>
      <c r="F458" s="100"/>
      <c r="G458" s="100"/>
      <c r="H458" s="100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ht="15.75" customHeight="1">
      <c r="A459" s="102"/>
      <c r="B459" s="72" t="s">
        <v>162</v>
      </c>
      <c r="C459" s="108" t="s">
        <v>163</v>
      </c>
      <c r="D459" s="97">
        <v>25.0</v>
      </c>
      <c r="E459" s="100"/>
      <c r="F459" s="100"/>
      <c r="G459" s="100"/>
      <c r="H459" s="100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ht="15.75" customHeight="1">
      <c r="A460" s="102"/>
      <c r="B460" s="109"/>
      <c r="C460" s="205"/>
      <c r="D460" s="102"/>
      <c r="E460" s="100"/>
      <c r="F460" s="100"/>
      <c r="G460" s="100"/>
      <c r="H460" s="100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ht="15.75" customHeight="1">
      <c r="A461" s="96">
        <v>45818.0</v>
      </c>
      <c r="B461" s="106" t="s">
        <v>39</v>
      </c>
      <c r="C461" s="107" t="s">
        <v>40</v>
      </c>
      <c r="D461" s="102">
        <f>300+650+480</f>
        <v>1430</v>
      </c>
      <c r="E461" s="100"/>
      <c r="F461" s="100"/>
      <c r="G461" s="100"/>
      <c r="H461" s="100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ht="15.75" customHeight="1">
      <c r="A462" s="102"/>
      <c r="B462" s="72" t="s">
        <v>205</v>
      </c>
      <c r="C462" s="111" t="s">
        <v>206</v>
      </c>
      <c r="D462" s="97">
        <f>75+500</f>
        <v>575</v>
      </c>
      <c r="E462" s="100"/>
      <c r="F462" s="100"/>
      <c r="G462" s="100"/>
      <c r="H462" s="100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ht="15.75" customHeight="1">
      <c r="A463" s="102"/>
      <c r="B463" s="106" t="s">
        <v>203</v>
      </c>
      <c r="C463" s="108" t="s">
        <v>204</v>
      </c>
      <c r="D463" s="97">
        <f>200+150</f>
        <v>350</v>
      </c>
      <c r="E463" s="100"/>
      <c r="F463" s="100"/>
      <c r="G463" s="100"/>
      <c r="H463" s="100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ht="15.75" customHeight="1">
      <c r="A464" s="102"/>
      <c r="B464" s="106" t="s">
        <v>41</v>
      </c>
      <c r="C464" s="107" t="s">
        <v>42</v>
      </c>
      <c r="D464" s="102">
        <f>1225+1750</f>
        <v>2975</v>
      </c>
      <c r="E464" s="100"/>
      <c r="F464" s="100"/>
      <c r="G464" s="100"/>
      <c r="H464" s="100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ht="15.75" customHeight="1">
      <c r="A465" s="102"/>
      <c r="B465" s="106" t="s">
        <v>643</v>
      </c>
      <c r="C465" s="107" t="s">
        <v>644</v>
      </c>
      <c r="D465" s="97">
        <f>50+75</f>
        <v>125</v>
      </c>
      <c r="E465" s="100"/>
      <c r="F465" s="100"/>
      <c r="G465" s="100"/>
      <c r="H465" s="100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ht="15.75" customHeight="1">
      <c r="A466" s="102"/>
      <c r="B466" s="113" t="s">
        <v>84</v>
      </c>
      <c r="C466" s="112" t="s">
        <v>85</v>
      </c>
      <c r="D466" s="97">
        <v>50.0</v>
      </c>
      <c r="E466" s="100"/>
      <c r="F466" s="100"/>
      <c r="G466" s="100"/>
      <c r="H466" s="100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ht="15.75" customHeight="1">
      <c r="A467" s="102"/>
      <c r="B467" s="113" t="s">
        <v>157</v>
      </c>
      <c r="C467" s="112" t="s">
        <v>158</v>
      </c>
      <c r="D467" s="97">
        <f t="shared" ref="D467:D468" si="1">25+25</f>
        <v>50</v>
      </c>
      <c r="E467" s="100"/>
      <c r="F467" s="100"/>
      <c r="G467" s="100"/>
      <c r="H467" s="100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ht="15.75" customHeight="1">
      <c r="A468" s="102"/>
      <c r="B468" s="40" t="s">
        <v>645</v>
      </c>
      <c r="C468" s="64" t="s">
        <v>646</v>
      </c>
      <c r="D468" s="97">
        <f t="shared" si="1"/>
        <v>50</v>
      </c>
      <c r="E468" s="100"/>
      <c r="F468" s="100"/>
      <c r="G468" s="100"/>
      <c r="H468" s="100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ht="15.75" customHeight="1">
      <c r="A469" s="102"/>
      <c r="B469" s="106" t="s">
        <v>31</v>
      </c>
      <c r="C469" s="107" t="s">
        <v>32</v>
      </c>
      <c r="D469" s="102">
        <f>475</f>
        <v>475</v>
      </c>
      <c r="E469" s="100"/>
      <c r="F469" s="100"/>
      <c r="G469" s="100"/>
      <c r="H469" s="100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ht="15.75" customHeight="1">
      <c r="A470" s="102"/>
      <c r="B470" s="106" t="s">
        <v>25</v>
      </c>
      <c r="C470" s="107" t="s">
        <v>26</v>
      </c>
      <c r="D470" s="97">
        <v>480.0</v>
      </c>
      <c r="E470" s="100"/>
      <c r="F470" s="100"/>
      <c r="G470" s="100"/>
      <c r="H470" s="100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ht="15.75" customHeight="1">
      <c r="A471" s="102"/>
      <c r="B471" s="72" t="s">
        <v>647</v>
      </c>
      <c r="C471" s="116" t="s">
        <v>648</v>
      </c>
      <c r="D471" s="97">
        <v>25.0</v>
      </c>
      <c r="E471" s="100"/>
      <c r="F471" s="100"/>
      <c r="G471" s="100"/>
      <c r="H471" s="100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ht="15.75" customHeight="1">
      <c r="A472" s="102"/>
      <c r="B472" s="109"/>
      <c r="C472" s="205"/>
      <c r="D472" s="102"/>
      <c r="E472" s="100"/>
      <c r="F472" s="100"/>
      <c r="G472" s="100"/>
      <c r="H472" s="100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ht="15.75" customHeight="1">
      <c r="A473" s="96">
        <v>45819.0</v>
      </c>
      <c r="B473" s="40" t="s">
        <v>25</v>
      </c>
      <c r="C473" s="64" t="s">
        <v>26</v>
      </c>
      <c r="D473" s="97">
        <f>475+240+660</f>
        <v>1375</v>
      </c>
      <c r="E473" s="100"/>
      <c r="F473" s="100"/>
      <c r="G473" s="100"/>
      <c r="H473" s="100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ht="15.75" customHeight="1">
      <c r="A474" s="102"/>
      <c r="B474" s="40" t="s">
        <v>31</v>
      </c>
      <c r="C474" s="64" t="s">
        <v>32</v>
      </c>
      <c r="D474" s="97">
        <f>275+30+200</f>
        <v>505</v>
      </c>
      <c r="E474" s="100"/>
      <c r="F474" s="100"/>
      <c r="G474" s="100"/>
      <c r="H474" s="100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ht="15.75" customHeight="1">
      <c r="A475" s="102"/>
      <c r="B475" s="40" t="s">
        <v>124</v>
      </c>
      <c r="C475" s="64" t="s">
        <v>125</v>
      </c>
      <c r="D475" s="97">
        <f>225+350</f>
        <v>575</v>
      </c>
      <c r="E475" s="100"/>
      <c r="F475" s="100"/>
      <c r="G475" s="100"/>
      <c r="H475" s="100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ht="15.75" customHeight="1">
      <c r="A476" s="102"/>
      <c r="B476" s="40" t="s">
        <v>39</v>
      </c>
      <c r="C476" s="64" t="s">
        <v>40</v>
      </c>
      <c r="D476" s="97">
        <f>125+300+175</f>
        <v>600</v>
      </c>
      <c r="E476" s="100"/>
      <c r="F476" s="100"/>
      <c r="G476" s="100"/>
      <c r="H476" s="100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ht="15.75" customHeight="1">
      <c r="A477" s="102"/>
      <c r="B477" s="106" t="s">
        <v>643</v>
      </c>
      <c r="C477" s="107" t="s">
        <v>644</v>
      </c>
      <c r="D477" s="97">
        <v>125.0</v>
      </c>
      <c r="E477" s="100"/>
      <c r="F477" s="100"/>
      <c r="G477" s="100"/>
      <c r="H477" s="100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ht="15.75" customHeight="1">
      <c r="A478" s="102"/>
      <c r="B478" s="106" t="s">
        <v>41</v>
      </c>
      <c r="C478" s="107" t="s">
        <v>42</v>
      </c>
      <c r="D478" s="102">
        <f>1500+3000</f>
        <v>4500</v>
      </c>
      <c r="E478" s="100"/>
      <c r="F478" s="100"/>
      <c r="G478" s="100"/>
      <c r="H478" s="100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ht="15.75" customHeight="1">
      <c r="A479" s="102"/>
      <c r="B479" s="113" t="s">
        <v>157</v>
      </c>
      <c r="C479" s="112" t="s">
        <v>158</v>
      </c>
      <c r="D479" s="97">
        <f t="shared" ref="D479:D480" si="2">25+25</f>
        <v>50</v>
      </c>
      <c r="E479" s="100"/>
      <c r="F479" s="100"/>
      <c r="G479" s="100"/>
      <c r="H479" s="100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ht="15.75" customHeight="1">
      <c r="A480" s="102"/>
      <c r="B480" s="40" t="s">
        <v>645</v>
      </c>
      <c r="C480" s="64" t="s">
        <v>646</v>
      </c>
      <c r="D480" s="97">
        <f t="shared" si="2"/>
        <v>50</v>
      </c>
      <c r="E480" s="100"/>
      <c r="F480" s="100"/>
      <c r="G480" s="100"/>
      <c r="H480" s="100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ht="15.75" customHeight="1">
      <c r="A481" s="102"/>
      <c r="B481" s="106" t="s">
        <v>203</v>
      </c>
      <c r="C481" s="108" t="s">
        <v>204</v>
      </c>
      <c r="D481" s="97">
        <v>50.0</v>
      </c>
      <c r="E481" s="100"/>
      <c r="F481" s="100"/>
      <c r="G481" s="100"/>
      <c r="H481" s="100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ht="15.75" customHeight="1">
      <c r="A482" s="102"/>
      <c r="B482" s="72" t="s">
        <v>201</v>
      </c>
      <c r="C482" s="108" t="s">
        <v>202</v>
      </c>
      <c r="D482" s="97">
        <v>75.0</v>
      </c>
      <c r="E482" s="100"/>
      <c r="F482" s="100"/>
      <c r="G482" s="100"/>
      <c r="H482" s="100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ht="15.75" customHeight="1">
      <c r="A483" s="102"/>
      <c r="B483" s="72" t="s">
        <v>205</v>
      </c>
      <c r="C483" s="111" t="s">
        <v>206</v>
      </c>
      <c r="D483" s="97">
        <v>250.0</v>
      </c>
      <c r="E483" s="100"/>
      <c r="F483" s="100"/>
      <c r="G483" s="100"/>
      <c r="H483" s="100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ht="15.75" customHeight="1">
      <c r="A484" s="102"/>
      <c r="B484" s="72" t="s">
        <v>84</v>
      </c>
      <c r="C484" s="111" t="s">
        <v>85</v>
      </c>
      <c r="D484" s="97">
        <v>25.0</v>
      </c>
      <c r="E484" s="100"/>
      <c r="F484" s="100"/>
      <c r="G484" s="100"/>
      <c r="H484" s="100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ht="15.75" customHeight="1">
      <c r="A485" s="102"/>
      <c r="B485" s="72" t="s">
        <v>167</v>
      </c>
      <c r="C485" s="116" t="s">
        <v>168</v>
      </c>
      <c r="D485" s="97">
        <v>25.0</v>
      </c>
      <c r="E485" s="100"/>
      <c r="F485" s="100"/>
      <c r="G485" s="100"/>
      <c r="H485" s="100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ht="15.75" customHeight="1">
      <c r="A486" s="102"/>
      <c r="B486" s="109"/>
      <c r="C486" s="205"/>
      <c r="D486" s="102"/>
      <c r="E486" s="100"/>
      <c r="F486" s="100"/>
      <c r="G486" s="100"/>
      <c r="H486" s="100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ht="15.75" customHeight="1">
      <c r="A487" s="96">
        <v>45820.0</v>
      </c>
      <c r="B487" s="106" t="s">
        <v>41</v>
      </c>
      <c r="C487" s="107" t="s">
        <v>42</v>
      </c>
      <c r="D487" s="102">
        <f>2275+1300</f>
        <v>3575</v>
      </c>
      <c r="E487" s="100"/>
      <c r="F487" s="100"/>
      <c r="G487" s="100"/>
      <c r="H487" s="100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ht="15.75" customHeight="1">
      <c r="A488" s="102"/>
      <c r="B488" s="72" t="s">
        <v>205</v>
      </c>
      <c r="C488" s="111" t="s">
        <v>206</v>
      </c>
      <c r="D488" s="97">
        <f>75+150</f>
        <v>225</v>
      </c>
      <c r="E488" s="100"/>
      <c r="F488" s="100"/>
      <c r="G488" s="100"/>
      <c r="H488" s="100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ht="15.75" customHeight="1">
      <c r="A489" s="102"/>
      <c r="B489" s="106" t="s">
        <v>203</v>
      </c>
      <c r="C489" s="108" t="s">
        <v>204</v>
      </c>
      <c r="D489" s="97">
        <v>150.0</v>
      </c>
      <c r="E489" s="100"/>
      <c r="F489" s="100"/>
      <c r="G489" s="100"/>
      <c r="H489" s="100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ht="15.75" customHeight="1">
      <c r="A490" s="102"/>
      <c r="B490" s="106" t="s">
        <v>126</v>
      </c>
      <c r="C490" s="107" t="s">
        <v>127</v>
      </c>
      <c r="D490" s="97">
        <v>450.0</v>
      </c>
      <c r="E490" s="100"/>
      <c r="F490" s="100"/>
      <c r="G490" s="100"/>
      <c r="H490" s="100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ht="15.75" customHeight="1">
      <c r="A491" s="102"/>
      <c r="B491" s="40" t="s">
        <v>25</v>
      </c>
      <c r="C491" s="64" t="s">
        <v>26</v>
      </c>
      <c r="D491" s="102">
        <f>390+275+500+30+570</f>
        <v>1765</v>
      </c>
      <c r="E491" s="100"/>
      <c r="F491" s="100"/>
      <c r="G491" s="100"/>
      <c r="H491" s="100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ht="15.75" customHeight="1">
      <c r="A492" s="102"/>
      <c r="B492" s="106" t="s">
        <v>643</v>
      </c>
      <c r="C492" s="107" t="s">
        <v>644</v>
      </c>
      <c r="D492" s="97">
        <f>75+50+50+25</f>
        <v>200</v>
      </c>
      <c r="E492" s="100"/>
      <c r="F492" s="100"/>
      <c r="G492" s="100"/>
      <c r="H492" s="100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ht="15.75" customHeight="1">
      <c r="A493" s="102"/>
      <c r="B493" s="113" t="s">
        <v>157</v>
      </c>
      <c r="C493" s="112" t="s">
        <v>158</v>
      </c>
      <c r="D493" s="97">
        <v>25.0</v>
      </c>
      <c r="E493" s="100"/>
      <c r="F493" s="100"/>
      <c r="G493" s="100"/>
      <c r="H493" s="100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ht="15.75" customHeight="1">
      <c r="A494" s="102"/>
      <c r="B494" s="72" t="s">
        <v>649</v>
      </c>
      <c r="C494" s="116" t="s">
        <v>650</v>
      </c>
      <c r="D494" s="97">
        <v>25.0</v>
      </c>
      <c r="E494" s="100"/>
      <c r="F494" s="100"/>
      <c r="G494" s="100"/>
      <c r="H494" s="100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ht="15.75" customHeight="1">
      <c r="A495" s="102"/>
      <c r="B495" s="72" t="s">
        <v>167</v>
      </c>
      <c r="C495" s="116" t="s">
        <v>168</v>
      </c>
      <c r="D495" s="97">
        <f>50+25</f>
        <v>75</v>
      </c>
      <c r="E495" s="100"/>
      <c r="F495" s="100"/>
      <c r="G495" s="100"/>
      <c r="H495" s="100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ht="15.75" customHeight="1">
      <c r="A496" s="102"/>
      <c r="B496" s="106" t="s">
        <v>124</v>
      </c>
      <c r="C496" s="107" t="s">
        <v>125</v>
      </c>
      <c r="D496" s="97">
        <v>225.0</v>
      </c>
      <c r="E496" s="100"/>
      <c r="F496" s="100"/>
      <c r="G496" s="100"/>
      <c r="H496" s="100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ht="15.75" customHeight="1">
      <c r="A497" s="102"/>
      <c r="B497" s="106" t="s">
        <v>31</v>
      </c>
      <c r="C497" s="107" t="s">
        <v>32</v>
      </c>
      <c r="D497" s="97">
        <v>325.0</v>
      </c>
      <c r="E497" s="100"/>
      <c r="F497" s="100"/>
      <c r="G497" s="100"/>
      <c r="H497" s="100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ht="15.75" customHeight="1">
      <c r="A498" s="102"/>
      <c r="B498" s="72" t="s">
        <v>201</v>
      </c>
      <c r="C498" s="108" t="s">
        <v>202</v>
      </c>
      <c r="D498" s="97">
        <v>75.0</v>
      </c>
      <c r="E498" s="100"/>
      <c r="F498" s="100"/>
      <c r="G498" s="100"/>
      <c r="H498" s="100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ht="15.75" customHeight="1">
      <c r="A499" s="102"/>
      <c r="B499" s="106" t="s">
        <v>199</v>
      </c>
      <c r="C499" s="107" t="s">
        <v>200</v>
      </c>
      <c r="D499" s="97">
        <v>375.0</v>
      </c>
      <c r="E499" s="100"/>
      <c r="F499" s="100"/>
      <c r="G499" s="100"/>
      <c r="H499" s="100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ht="15.75" customHeight="1">
      <c r="A500" s="102"/>
      <c r="B500" s="72" t="s">
        <v>84</v>
      </c>
      <c r="C500" s="111" t="s">
        <v>85</v>
      </c>
      <c r="D500" s="97">
        <v>25.0</v>
      </c>
      <c r="E500" s="100"/>
      <c r="F500" s="100"/>
      <c r="G500" s="100"/>
      <c r="H500" s="100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ht="15.75" customHeight="1">
      <c r="A501" s="102"/>
      <c r="B501" s="40" t="s">
        <v>645</v>
      </c>
      <c r="C501" s="64" t="s">
        <v>646</v>
      </c>
      <c r="D501" s="97">
        <v>25.0</v>
      </c>
      <c r="E501" s="100"/>
      <c r="F501" s="100"/>
      <c r="G501" s="100"/>
      <c r="H501" s="100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ht="15.75" customHeight="1">
      <c r="A502" s="102"/>
      <c r="B502" s="106" t="s">
        <v>39</v>
      </c>
      <c r="C502" s="107" t="s">
        <v>40</v>
      </c>
      <c r="D502" s="97">
        <v>870.0</v>
      </c>
      <c r="E502" s="100"/>
      <c r="F502" s="100"/>
      <c r="G502" s="100"/>
      <c r="H502" s="100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ht="15.75" customHeight="1">
      <c r="A503" s="102"/>
      <c r="B503" s="106" t="s">
        <v>126</v>
      </c>
      <c r="C503" s="107" t="s">
        <v>127</v>
      </c>
      <c r="D503" s="97">
        <v>235.0</v>
      </c>
      <c r="E503" s="100"/>
      <c r="F503" s="100"/>
      <c r="G503" s="100"/>
      <c r="H503" s="100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ht="15.75" customHeight="1">
      <c r="A504" s="102"/>
      <c r="B504" s="100"/>
      <c r="C504" s="115"/>
      <c r="D504" s="102"/>
      <c r="E504" s="100"/>
      <c r="F504" s="100"/>
      <c r="G504" s="100"/>
      <c r="H504" s="100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ht="15.75" customHeight="1">
      <c r="A505" s="96">
        <v>45821.0</v>
      </c>
      <c r="B505" s="106" t="s">
        <v>41</v>
      </c>
      <c r="C505" s="107" t="s">
        <v>42</v>
      </c>
      <c r="D505" s="102">
        <f>3300+1650</f>
        <v>4950</v>
      </c>
      <c r="E505" s="100"/>
      <c r="F505" s="100"/>
      <c r="G505" s="100"/>
      <c r="H505" s="100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ht="15.75" customHeight="1">
      <c r="A506" s="102"/>
      <c r="B506" s="40" t="s">
        <v>25</v>
      </c>
      <c r="C506" s="64" t="s">
        <v>26</v>
      </c>
      <c r="D506" s="102">
        <f>1080+600+840</f>
        <v>2520</v>
      </c>
      <c r="E506" s="100"/>
      <c r="F506" s="100"/>
      <c r="G506" s="100"/>
      <c r="H506" s="100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ht="15.75" customHeight="1">
      <c r="A507" s="102"/>
      <c r="B507" s="106" t="s">
        <v>643</v>
      </c>
      <c r="C507" s="107" t="s">
        <v>644</v>
      </c>
      <c r="D507" s="97">
        <f>125+50</f>
        <v>175</v>
      </c>
      <c r="E507" s="100"/>
      <c r="F507" s="100"/>
      <c r="G507" s="100"/>
      <c r="H507" s="100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ht="15.75" customHeight="1">
      <c r="A508" s="102"/>
      <c r="B508" s="40" t="s">
        <v>31</v>
      </c>
      <c r="C508" s="64" t="s">
        <v>32</v>
      </c>
      <c r="D508" s="97">
        <v>225.0</v>
      </c>
      <c r="E508" s="100"/>
      <c r="F508" s="100"/>
      <c r="G508" s="100"/>
      <c r="H508" s="100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ht="15.75" customHeight="1">
      <c r="A509" s="102"/>
      <c r="B509" s="40" t="s">
        <v>124</v>
      </c>
      <c r="C509" s="64" t="s">
        <v>125</v>
      </c>
      <c r="D509" s="97">
        <f>175+125</f>
        <v>300</v>
      </c>
      <c r="E509" s="100"/>
      <c r="F509" s="100"/>
      <c r="G509" s="100"/>
      <c r="H509" s="100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ht="15.75" customHeight="1">
      <c r="A510" s="102"/>
      <c r="B510" s="40" t="s">
        <v>39</v>
      </c>
      <c r="C510" s="64" t="s">
        <v>40</v>
      </c>
      <c r="D510" s="97">
        <v>75.0</v>
      </c>
      <c r="E510" s="100"/>
      <c r="F510" s="100"/>
      <c r="G510" s="100"/>
      <c r="H510" s="100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ht="15.75" customHeight="1">
      <c r="A511" s="102"/>
      <c r="B511" s="106" t="s">
        <v>203</v>
      </c>
      <c r="C511" s="108" t="s">
        <v>204</v>
      </c>
      <c r="D511" s="97">
        <v>25.0</v>
      </c>
      <c r="E511" s="100"/>
      <c r="F511" s="100"/>
      <c r="G511" s="100"/>
      <c r="H511" s="100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ht="15.75" customHeight="1">
      <c r="A512" s="102"/>
      <c r="B512" s="76" t="s">
        <v>157</v>
      </c>
      <c r="C512" s="54" t="s">
        <v>158</v>
      </c>
      <c r="D512" s="97">
        <f>25+25</f>
        <v>50</v>
      </c>
      <c r="E512" s="100"/>
      <c r="F512" s="100"/>
      <c r="G512" s="100"/>
      <c r="H512" s="100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ht="15.75" customHeight="1">
      <c r="A513" s="102"/>
      <c r="B513" s="76" t="s">
        <v>160</v>
      </c>
      <c r="C513" s="112" t="s">
        <v>161</v>
      </c>
      <c r="D513" s="97">
        <v>25.0</v>
      </c>
      <c r="E513" s="100"/>
      <c r="F513" s="100"/>
      <c r="G513" s="100"/>
      <c r="H513" s="100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ht="15.75" customHeight="1">
      <c r="A514" s="102"/>
      <c r="B514" s="76" t="s">
        <v>84</v>
      </c>
      <c r="C514" s="54" t="s">
        <v>85</v>
      </c>
      <c r="D514" s="97">
        <v>25.0</v>
      </c>
      <c r="E514" s="100"/>
      <c r="F514" s="100"/>
      <c r="G514" s="100"/>
      <c r="H514" s="100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ht="15.75" customHeight="1">
      <c r="A515" s="102"/>
      <c r="B515" s="40" t="s">
        <v>645</v>
      </c>
      <c r="C515" s="64" t="s">
        <v>646</v>
      </c>
      <c r="D515" s="97">
        <v>50.0</v>
      </c>
      <c r="E515" s="100"/>
      <c r="F515" s="100"/>
      <c r="G515" s="100"/>
      <c r="H515" s="100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ht="15.75" customHeight="1">
      <c r="A516" s="102"/>
      <c r="B516" s="76" t="s">
        <v>201</v>
      </c>
      <c r="C516" s="112" t="s">
        <v>202</v>
      </c>
      <c r="D516" s="97">
        <v>125.0</v>
      </c>
      <c r="E516" s="100"/>
      <c r="F516" s="100"/>
      <c r="G516" s="100"/>
      <c r="H516" s="100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ht="15.75" customHeight="1">
      <c r="A517" s="102"/>
      <c r="B517" s="76" t="s">
        <v>211</v>
      </c>
      <c r="C517" s="54" t="s">
        <v>212</v>
      </c>
      <c r="D517" s="97">
        <v>50.0</v>
      </c>
      <c r="E517" s="100"/>
      <c r="F517" s="100"/>
      <c r="G517" s="100"/>
      <c r="H517" s="100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ht="15.75" customHeight="1">
      <c r="A518" s="102"/>
      <c r="B518" s="106" t="s">
        <v>126</v>
      </c>
      <c r="C518" s="107" t="s">
        <v>127</v>
      </c>
      <c r="D518" s="97">
        <v>100.0</v>
      </c>
      <c r="E518" s="100"/>
      <c r="F518" s="100"/>
      <c r="G518" s="100"/>
      <c r="H518" s="100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ht="15.75" customHeight="1">
      <c r="A519" s="102"/>
      <c r="B519" s="72" t="s">
        <v>162</v>
      </c>
      <c r="C519" s="108" t="s">
        <v>163</v>
      </c>
      <c r="D519" s="97">
        <v>25.0</v>
      </c>
      <c r="E519" s="100"/>
      <c r="F519" s="100"/>
      <c r="G519" s="100"/>
      <c r="H519" s="100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ht="15.75" customHeight="1">
      <c r="A520" s="102"/>
      <c r="B520" s="72" t="s">
        <v>649</v>
      </c>
      <c r="C520" s="116" t="s">
        <v>650</v>
      </c>
      <c r="D520" s="97">
        <v>25.0</v>
      </c>
      <c r="E520" s="100"/>
      <c r="F520" s="100"/>
      <c r="G520" s="100"/>
      <c r="H520" s="100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ht="15.75" customHeight="1">
      <c r="A521" s="102"/>
      <c r="B521" s="100"/>
      <c r="C521" s="115"/>
      <c r="D521" s="102"/>
      <c r="E521" s="100"/>
      <c r="F521" s="100"/>
      <c r="G521" s="100"/>
      <c r="H521" s="100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ht="15.75" customHeight="1">
      <c r="A522" s="96">
        <v>45822.0</v>
      </c>
      <c r="B522" s="106" t="s">
        <v>41</v>
      </c>
      <c r="C522" s="107" t="s">
        <v>42</v>
      </c>
      <c r="D522" s="102">
        <f>4175</f>
        <v>4175</v>
      </c>
      <c r="E522" s="100"/>
      <c r="F522" s="100"/>
      <c r="G522" s="100"/>
      <c r="H522" s="100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ht="15.75" customHeight="1">
      <c r="A523" s="102"/>
      <c r="B523" s="40" t="s">
        <v>31</v>
      </c>
      <c r="C523" s="64" t="s">
        <v>32</v>
      </c>
      <c r="D523" s="97">
        <f>480+30</f>
        <v>510</v>
      </c>
      <c r="E523" s="100"/>
      <c r="F523" s="100"/>
      <c r="G523" s="100"/>
      <c r="H523" s="100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ht="15.75" customHeight="1">
      <c r="A524" s="102"/>
      <c r="B524" s="40" t="s">
        <v>124</v>
      </c>
      <c r="C524" s="64" t="s">
        <v>125</v>
      </c>
      <c r="D524" s="97">
        <v>300.0</v>
      </c>
      <c r="E524" s="100"/>
      <c r="F524" s="100"/>
      <c r="G524" s="100"/>
      <c r="H524" s="100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ht="15.75" customHeight="1">
      <c r="A525" s="102"/>
      <c r="B525" s="40" t="s">
        <v>39</v>
      </c>
      <c r="C525" s="64" t="s">
        <v>40</v>
      </c>
      <c r="D525" s="97">
        <v>630.0</v>
      </c>
      <c r="E525" s="100"/>
      <c r="F525" s="100"/>
      <c r="G525" s="100"/>
      <c r="H525" s="100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ht="15.75" customHeight="1">
      <c r="A526" s="102"/>
      <c r="B526" s="106" t="s">
        <v>643</v>
      </c>
      <c r="C526" s="107" t="s">
        <v>644</v>
      </c>
      <c r="D526" s="97">
        <f>75+25</f>
        <v>100</v>
      </c>
      <c r="E526" s="100"/>
      <c r="F526" s="100"/>
      <c r="G526" s="100"/>
      <c r="H526" s="100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ht="15.75" customHeight="1">
      <c r="A527" s="102"/>
      <c r="B527" s="72" t="s">
        <v>157</v>
      </c>
      <c r="C527" s="111" t="s">
        <v>158</v>
      </c>
      <c r="D527" s="97">
        <f t="shared" ref="D527:D528" si="3">25+25</f>
        <v>50</v>
      </c>
      <c r="E527" s="100"/>
      <c r="F527" s="100"/>
      <c r="G527" s="100"/>
      <c r="H527" s="100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ht="15.75" customHeight="1">
      <c r="A528" s="102"/>
      <c r="B528" s="72" t="s">
        <v>160</v>
      </c>
      <c r="C528" s="108" t="s">
        <v>161</v>
      </c>
      <c r="D528" s="97">
        <f t="shared" si="3"/>
        <v>50</v>
      </c>
      <c r="E528" s="100"/>
      <c r="F528" s="100"/>
      <c r="G528" s="100"/>
      <c r="H528" s="100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ht="15.75" customHeight="1">
      <c r="A529" s="102"/>
      <c r="B529" s="72" t="s">
        <v>162</v>
      </c>
      <c r="C529" s="108" t="s">
        <v>163</v>
      </c>
      <c r="D529" s="97">
        <v>25.0</v>
      </c>
      <c r="E529" s="100"/>
      <c r="F529" s="100"/>
      <c r="G529" s="100"/>
      <c r="H529" s="100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ht="15.75" customHeight="1">
      <c r="A530" s="102"/>
      <c r="B530" s="72" t="s">
        <v>165</v>
      </c>
      <c r="C530" s="212" t="s">
        <v>166</v>
      </c>
      <c r="D530" s="97">
        <v>25.0</v>
      </c>
      <c r="E530" s="100"/>
      <c r="F530" s="100"/>
      <c r="G530" s="100"/>
      <c r="H530" s="100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ht="15.75" customHeight="1">
      <c r="A531" s="102"/>
      <c r="B531" s="40" t="s">
        <v>645</v>
      </c>
      <c r="C531" s="64" t="s">
        <v>646</v>
      </c>
      <c r="D531" s="97">
        <v>25.0</v>
      </c>
      <c r="E531" s="100"/>
      <c r="F531" s="100"/>
      <c r="G531" s="100"/>
      <c r="H531" s="100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ht="15.75" customHeight="1">
      <c r="A532" s="102"/>
      <c r="B532" s="106" t="s">
        <v>203</v>
      </c>
      <c r="C532" s="108" t="s">
        <v>204</v>
      </c>
      <c r="D532" s="97">
        <v>175.0</v>
      </c>
      <c r="E532" s="100"/>
      <c r="F532" s="100"/>
      <c r="G532" s="100"/>
      <c r="H532" s="100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ht="15.75" customHeight="1">
      <c r="A533" s="102"/>
      <c r="B533" s="76" t="s">
        <v>201</v>
      </c>
      <c r="C533" s="112" t="s">
        <v>202</v>
      </c>
      <c r="D533" s="97">
        <v>25.0</v>
      </c>
      <c r="E533" s="100"/>
      <c r="F533" s="100"/>
      <c r="G533" s="100"/>
      <c r="H533" s="100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ht="15.75" customHeight="1">
      <c r="A534" s="102"/>
      <c r="B534" s="72" t="s">
        <v>88</v>
      </c>
      <c r="C534" s="116" t="s">
        <v>89</v>
      </c>
      <c r="D534" s="97">
        <v>25.0</v>
      </c>
      <c r="E534" s="100"/>
      <c r="F534" s="100"/>
      <c r="G534" s="100"/>
      <c r="H534" s="100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ht="15.75" customHeight="1">
      <c r="A535" s="102"/>
      <c r="B535" s="109"/>
      <c r="C535" s="205"/>
      <c r="D535" s="102"/>
      <c r="E535" s="100"/>
      <c r="F535" s="100"/>
      <c r="G535" s="100"/>
      <c r="H535" s="100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ht="15.75" customHeight="1">
      <c r="A536" s="96">
        <v>45823.0</v>
      </c>
      <c r="B536" s="106" t="s">
        <v>41</v>
      </c>
      <c r="C536" s="107" t="s">
        <v>42</v>
      </c>
      <c r="D536" s="102">
        <f>3875</f>
        <v>3875</v>
      </c>
      <c r="E536" s="100"/>
      <c r="F536" s="100"/>
      <c r="G536" s="100"/>
      <c r="H536" s="100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ht="15.75" customHeight="1">
      <c r="A537" s="102"/>
      <c r="B537" s="106" t="s">
        <v>203</v>
      </c>
      <c r="C537" s="108" t="s">
        <v>204</v>
      </c>
      <c r="D537" s="97">
        <f>325+150</f>
        <v>475</v>
      </c>
      <c r="E537" s="100"/>
      <c r="F537" s="100"/>
      <c r="G537" s="100"/>
      <c r="H537" s="100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ht="15.75" customHeight="1">
      <c r="A538" s="102"/>
      <c r="B538" s="106" t="s">
        <v>25</v>
      </c>
      <c r="C538" s="107" t="s">
        <v>26</v>
      </c>
      <c r="D538" s="97">
        <v>400.0</v>
      </c>
      <c r="E538" s="100"/>
      <c r="F538" s="100"/>
      <c r="G538" s="100"/>
      <c r="H538" s="100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ht="15.75" customHeight="1">
      <c r="A539" s="102"/>
      <c r="B539" s="106" t="s">
        <v>643</v>
      </c>
      <c r="C539" s="107" t="s">
        <v>644</v>
      </c>
      <c r="D539" s="102">
        <f>25+75+25+25</f>
        <v>150</v>
      </c>
      <c r="E539" s="100"/>
      <c r="F539" s="100"/>
      <c r="G539" s="100"/>
      <c r="H539" s="100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ht="15.75" customHeight="1">
      <c r="A540" s="102"/>
      <c r="B540" s="40" t="s">
        <v>31</v>
      </c>
      <c r="C540" s="64" t="s">
        <v>32</v>
      </c>
      <c r="D540" s="97">
        <v>480.0</v>
      </c>
      <c r="E540" s="100"/>
      <c r="F540" s="100"/>
      <c r="G540" s="100"/>
      <c r="H540" s="100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ht="15.75" customHeight="1">
      <c r="A541" s="102"/>
      <c r="B541" s="40" t="s">
        <v>124</v>
      </c>
      <c r="C541" s="64" t="s">
        <v>125</v>
      </c>
      <c r="D541" s="97">
        <v>150.0</v>
      </c>
      <c r="E541" s="100"/>
      <c r="F541" s="100"/>
      <c r="G541" s="100"/>
      <c r="H541" s="100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ht="15.75" customHeight="1">
      <c r="A542" s="102"/>
      <c r="B542" s="40" t="s">
        <v>39</v>
      </c>
      <c r="C542" s="64" t="s">
        <v>40</v>
      </c>
      <c r="D542" s="97">
        <f>90+240</f>
        <v>330</v>
      </c>
      <c r="E542" s="100"/>
      <c r="F542" s="100"/>
      <c r="G542" s="100"/>
      <c r="H542" s="100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ht="15.75" customHeight="1">
      <c r="A543" s="102"/>
      <c r="B543" s="76" t="s">
        <v>162</v>
      </c>
      <c r="C543" s="112" t="s">
        <v>163</v>
      </c>
      <c r="D543" s="97">
        <v>25.0</v>
      </c>
      <c r="E543" s="100"/>
      <c r="F543" s="100"/>
      <c r="G543" s="100"/>
      <c r="H543" s="100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ht="15.75" customHeight="1">
      <c r="A544" s="102"/>
      <c r="B544" s="125" t="s">
        <v>645</v>
      </c>
      <c r="C544" s="64" t="s">
        <v>646</v>
      </c>
      <c r="D544" s="97">
        <v>25.0</v>
      </c>
      <c r="E544" s="100"/>
      <c r="F544" s="100"/>
      <c r="G544" s="100"/>
      <c r="H544" s="100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ht="15.75" customHeight="1">
      <c r="A545" s="102"/>
      <c r="B545" s="100"/>
      <c r="C545" s="115"/>
      <c r="D545" s="102"/>
      <c r="E545" s="100"/>
      <c r="F545" s="100"/>
      <c r="G545" s="100"/>
      <c r="H545" s="100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ht="15.75" customHeight="1">
      <c r="A546" s="96">
        <v>45824.0</v>
      </c>
      <c r="B546" s="40" t="s">
        <v>124</v>
      </c>
      <c r="C546" s="64" t="s">
        <v>125</v>
      </c>
      <c r="D546" s="97">
        <v>350.0</v>
      </c>
      <c r="E546" s="100"/>
      <c r="F546" s="100"/>
      <c r="G546" s="100"/>
      <c r="H546" s="100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ht="15.75" customHeight="1">
      <c r="A547" s="102"/>
      <c r="B547" s="40" t="s">
        <v>39</v>
      </c>
      <c r="C547" s="64" t="s">
        <v>40</v>
      </c>
      <c r="D547" s="97">
        <f>1230+1920</f>
        <v>3150</v>
      </c>
      <c r="E547" s="100"/>
      <c r="F547" s="100"/>
      <c r="G547" s="100"/>
      <c r="H547" s="100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ht="15.75" customHeight="1">
      <c r="A548" s="102"/>
      <c r="B548" s="40" t="s">
        <v>126</v>
      </c>
      <c r="C548" s="64" t="s">
        <v>127</v>
      </c>
      <c r="D548" s="97">
        <v>360.0</v>
      </c>
      <c r="E548" s="100"/>
      <c r="F548" s="100"/>
      <c r="G548" s="100"/>
      <c r="H548" s="100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ht="15.75" customHeight="1">
      <c r="A549" s="102"/>
      <c r="B549" s="106" t="s">
        <v>643</v>
      </c>
      <c r="C549" s="107" t="s">
        <v>644</v>
      </c>
      <c r="D549" s="97">
        <f>100+150</f>
        <v>250</v>
      </c>
      <c r="E549" s="100"/>
      <c r="F549" s="100"/>
      <c r="G549" s="100"/>
      <c r="H549" s="100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ht="15.75" customHeight="1">
      <c r="A550" s="102"/>
      <c r="B550" s="106" t="s">
        <v>203</v>
      </c>
      <c r="C550" s="108" t="s">
        <v>204</v>
      </c>
      <c r="D550" s="97">
        <v>75.0</v>
      </c>
      <c r="E550" s="100"/>
      <c r="F550" s="100"/>
      <c r="G550" s="100"/>
      <c r="H550" s="100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ht="15.75" customHeight="1">
      <c r="A551" s="102"/>
      <c r="B551" s="106" t="s">
        <v>41</v>
      </c>
      <c r="C551" s="107" t="s">
        <v>42</v>
      </c>
      <c r="D551" s="97">
        <v>2050.0</v>
      </c>
      <c r="E551" s="100"/>
      <c r="F551" s="100"/>
      <c r="G551" s="100"/>
      <c r="H551" s="100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ht="15.75" customHeight="1">
      <c r="A552" s="102"/>
      <c r="B552" s="72" t="s">
        <v>167</v>
      </c>
      <c r="C552" s="116" t="s">
        <v>168</v>
      </c>
      <c r="D552" s="97">
        <v>25.0</v>
      </c>
      <c r="E552" s="100"/>
      <c r="F552" s="100"/>
      <c r="G552" s="100"/>
      <c r="H552" s="100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ht="15.75" customHeight="1">
      <c r="A553" s="102"/>
      <c r="B553" s="72" t="s">
        <v>157</v>
      </c>
      <c r="C553" s="111" t="s">
        <v>158</v>
      </c>
      <c r="D553" s="97">
        <v>25.0</v>
      </c>
      <c r="E553" s="100"/>
      <c r="F553" s="100"/>
      <c r="G553" s="100"/>
      <c r="H553" s="100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ht="15.75" customHeight="1">
      <c r="A554" s="102"/>
      <c r="B554" s="125" t="s">
        <v>645</v>
      </c>
      <c r="C554" s="64" t="s">
        <v>646</v>
      </c>
      <c r="D554" s="97">
        <v>25.0</v>
      </c>
      <c r="E554" s="100"/>
      <c r="F554" s="100"/>
      <c r="G554" s="100"/>
      <c r="H554" s="100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ht="15.75" customHeight="1">
      <c r="A555" s="102"/>
      <c r="B555" s="106" t="s">
        <v>25</v>
      </c>
      <c r="C555" s="107" t="s">
        <v>26</v>
      </c>
      <c r="D555" s="97">
        <v>980.0</v>
      </c>
      <c r="E555" s="100"/>
      <c r="F555" s="100"/>
      <c r="G555" s="100"/>
      <c r="H555" s="100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ht="15.75" customHeight="1">
      <c r="A556" s="102"/>
      <c r="B556" s="100"/>
      <c r="C556" s="115"/>
      <c r="D556" s="102"/>
      <c r="E556" s="100"/>
      <c r="F556" s="100"/>
      <c r="G556" s="100"/>
      <c r="H556" s="100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ht="15.75" customHeight="1">
      <c r="A557" s="96">
        <v>45825.0</v>
      </c>
      <c r="B557" s="106" t="s">
        <v>25</v>
      </c>
      <c r="C557" s="107" t="s">
        <v>26</v>
      </c>
      <c r="D557" s="102">
        <f>240+1425+960+475</f>
        <v>3100</v>
      </c>
      <c r="E557" s="100"/>
      <c r="F557" s="100"/>
      <c r="G557" s="100"/>
      <c r="H557" s="100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ht="15.75" customHeight="1">
      <c r="A558" s="102"/>
      <c r="B558" s="40" t="s">
        <v>126</v>
      </c>
      <c r="C558" s="64" t="s">
        <v>127</v>
      </c>
      <c r="D558" s="97">
        <v>240.0</v>
      </c>
      <c r="E558" s="100"/>
      <c r="F558" s="100"/>
      <c r="G558" s="100"/>
      <c r="H558" s="100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ht="15.75" customHeight="1">
      <c r="A559" s="102"/>
      <c r="B559" s="40" t="s">
        <v>39</v>
      </c>
      <c r="C559" s="64" t="s">
        <v>40</v>
      </c>
      <c r="D559" s="97">
        <v>300.0</v>
      </c>
      <c r="E559" s="100"/>
      <c r="F559" s="100"/>
      <c r="G559" s="100"/>
      <c r="H559" s="100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ht="15.75" customHeight="1">
      <c r="A560" s="102"/>
      <c r="B560" s="106" t="s">
        <v>643</v>
      </c>
      <c r="C560" s="107" t="s">
        <v>644</v>
      </c>
      <c r="D560" s="97">
        <f>100+200</f>
        <v>300</v>
      </c>
      <c r="E560" s="100"/>
      <c r="F560" s="100"/>
      <c r="G560" s="100"/>
      <c r="H560" s="100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ht="15.75" customHeight="1">
      <c r="A561" s="102"/>
      <c r="B561" s="125" t="s">
        <v>645</v>
      </c>
      <c r="C561" s="64" t="s">
        <v>646</v>
      </c>
      <c r="D561" s="97">
        <f>25+25</f>
        <v>50</v>
      </c>
      <c r="E561" s="100"/>
      <c r="F561" s="100"/>
      <c r="G561" s="100"/>
      <c r="H561" s="100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ht="15.75" customHeight="1">
      <c r="A562" s="102"/>
      <c r="B562" s="40" t="s">
        <v>31</v>
      </c>
      <c r="C562" s="64" t="s">
        <v>32</v>
      </c>
      <c r="D562" s="102">
        <f>1740</f>
        <v>1740</v>
      </c>
      <c r="E562" s="100"/>
      <c r="F562" s="100"/>
      <c r="G562" s="100"/>
      <c r="H562" s="100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ht="15.75" customHeight="1">
      <c r="A563" s="102"/>
      <c r="B563" s="106" t="s">
        <v>39</v>
      </c>
      <c r="C563" s="107" t="s">
        <v>40</v>
      </c>
      <c r="D563" s="97">
        <v>25.0</v>
      </c>
      <c r="E563" s="100"/>
      <c r="F563" s="100"/>
      <c r="G563" s="100"/>
      <c r="H563" s="100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ht="15.75" customHeight="1">
      <c r="A564" s="102"/>
      <c r="B564" s="76" t="s">
        <v>157</v>
      </c>
      <c r="C564" s="54" t="s">
        <v>158</v>
      </c>
      <c r="D564" s="97">
        <v>25.0</v>
      </c>
      <c r="E564" s="100"/>
      <c r="F564" s="100"/>
      <c r="G564" s="100"/>
      <c r="H564" s="100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ht="15.75" customHeight="1">
      <c r="A565" s="102"/>
      <c r="B565" s="76" t="s">
        <v>165</v>
      </c>
      <c r="C565" s="54" t="s">
        <v>166</v>
      </c>
      <c r="D565" s="97">
        <v>25.0</v>
      </c>
      <c r="E565" s="100"/>
      <c r="F565" s="100"/>
      <c r="G565" s="100"/>
      <c r="H565" s="100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ht="15.75" customHeight="1">
      <c r="A566" s="102"/>
      <c r="B566" s="100"/>
      <c r="C566" s="115"/>
      <c r="D566" s="102"/>
      <c r="E566" s="100"/>
      <c r="F566" s="100"/>
      <c r="G566" s="100"/>
      <c r="H566" s="100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ht="15.75" customHeight="1">
      <c r="A567" s="96">
        <v>45826.0</v>
      </c>
      <c r="B567" s="40" t="s">
        <v>31</v>
      </c>
      <c r="C567" s="64" t="s">
        <v>32</v>
      </c>
      <c r="D567" s="102">
        <f>1920+1140</f>
        <v>3060</v>
      </c>
      <c r="E567" s="100"/>
      <c r="F567" s="100"/>
      <c r="G567" s="100"/>
      <c r="H567" s="100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ht="15.75" customHeight="1">
      <c r="A568" s="102"/>
      <c r="B568" s="106" t="s">
        <v>25</v>
      </c>
      <c r="C568" s="107" t="s">
        <v>26</v>
      </c>
      <c r="D568" s="102">
        <f>475+960+1380</f>
        <v>2815</v>
      </c>
      <c r="E568" s="100"/>
      <c r="F568" s="100"/>
      <c r="G568" s="100"/>
      <c r="H568" s="100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ht="15.75" customHeight="1">
      <c r="A569" s="102"/>
      <c r="B569" s="106" t="s">
        <v>643</v>
      </c>
      <c r="C569" s="107" t="s">
        <v>644</v>
      </c>
      <c r="D569" s="97">
        <f>175+200</f>
        <v>375</v>
      </c>
      <c r="E569" s="100"/>
      <c r="F569" s="100"/>
      <c r="G569" s="100"/>
      <c r="H569" s="100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ht="15.75" customHeight="1">
      <c r="A570" s="102"/>
      <c r="B570" s="76" t="s">
        <v>157</v>
      </c>
      <c r="C570" s="54" t="s">
        <v>158</v>
      </c>
      <c r="D570" s="97">
        <v>25.0</v>
      </c>
      <c r="E570" s="100"/>
      <c r="F570" s="100"/>
      <c r="G570" s="100"/>
      <c r="H570" s="100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ht="15.75" customHeight="1">
      <c r="A571" s="102"/>
      <c r="B571" s="76" t="s">
        <v>165</v>
      </c>
      <c r="C571" s="54" t="s">
        <v>166</v>
      </c>
      <c r="D571" s="97">
        <v>25.0</v>
      </c>
      <c r="E571" s="100"/>
      <c r="F571" s="100"/>
      <c r="G571" s="100"/>
      <c r="H571" s="100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ht="15.75" customHeight="1">
      <c r="A572" s="102"/>
      <c r="B572" s="125" t="s">
        <v>645</v>
      </c>
      <c r="C572" s="64" t="s">
        <v>646</v>
      </c>
      <c r="D572" s="97">
        <f>25+50</f>
        <v>75</v>
      </c>
      <c r="E572" s="100"/>
      <c r="F572" s="100"/>
      <c r="G572" s="100"/>
      <c r="H572" s="100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ht="15.75" customHeight="1">
      <c r="A573" s="102"/>
      <c r="B573" s="40" t="s">
        <v>39</v>
      </c>
      <c r="C573" s="64" t="s">
        <v>40</v>
      </c>
      <c r="D573" s="97">
        <v>960.0</v>
      </c>
      <c r="E573" s="100"/>
      <c r="F573" s="100"/>
      <c r="G573" s="100"/>
      <c r="H573" s="100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ht="15.75" customHeight="1">
      <c r="A574" s="102"/>
      <c r="B574" s="100"/>
      <c r="C574" s="115"/>
      <c r="D574" s="102"/>
      <c r="E574" s="100"/>
      <c r="F574" s="100"/>
      <c r="G574" s="100"/>
      <c r="H574" s="100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ht="15.75" customHeight="1">
      <c r="A575" s="96">
        <v>45827.0</v>
      </c>
      <c r="B575" s="40" t="s">
        <v>25</v>
      </c>
      <c r="C575" s="64" t="s">
        <v>26</v>
      </c>
      <c r="D575" s="97">
        <f>480+960+475</f>
        <v>1915</v>
      </c>
      <c r="E575" s="100"/>
      <c r="F575" s="100"/>
      <c r="G575" s="100"/>
      <c r="H575" s="100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ht="15.75" customHeight="1">
      <c r="A576" s="102"/>
      <c r="B576" s="40" t="s">
        <v>31</v>
      </c>
      <c r="C576" s="64" t="s">
        <v>32</v>
      </c>
      <c r="D576" s="97">
        <f>960+950</f>
        <v>1910</v>
      </c>
      <c r="E576" s="100"/>
      <c r="F576" s="100"/>
      <c r="G576" s="100"/>
      <c r="H576" s="100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ht="15.75" customHeight="1">
      <c r="A577" s="102"/>
      <c r="B577" s="40" t="s">
        <v>39</v>
      </c>
      <c r="C577" s="64" t="s">
        <v>40</v>
      </c>
      <c r="D577" s="97">
        <v>780.0</v>
      </c>
      <c r="E577" s="100"/>
      <c r="F577" s="100"/>
      <c r="G577" s="100"/>
      <c r="H577" s="100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ht="15.75" customHeight="1">
      <c r="A578" s="102"/>
      <c r="B578" s="40" t="s">
        <v>126</v>
      </c>
      <c r="C578" s="64" t="s">
        <v>127</v>
      </c>
      <c r="D578" s="97">
        <f>360+1440</f>
        <v>1800</v>
      </c>
      <c r="E578" s="100"/>
      <c r="F578" s="100"/>
      <c r="G578" s="100"/>
      <c r="H578" s="100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ht="15.75" customHeight="1">
      <c r="A579" s="102"/>
      <c r="B579" s="106" t="s">
        <v>643</v>
      </c>
      <c r="C579" s="107" t="s">
        <v>644</v>
      </c>
      <c r="D579" s="97">
        <f>150+200</f>
        <v>350</v>
      </c>
      <c r="E579" s="100"/>
      <c r="F579" s="100"/>
      <c r="G579" s="100"/>
      <c r="H579" s="100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ht="15.75" customHeight="1">
      <c r="A580" s="102"/>
      <c r="B580" s="76" t="s">
        <v>157</v>
      </c>
      <c r="C580" s="54" t="s">
        <v>158</v>
      </c>
      <c r="D580" s="97">
        <v>25.0</v>
      </c>
      <c r="E580" s="100"/>
      <c r="F580" s="100"/>
      <c r="G580" s="100"/>
      <c r="H580" s="100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ht="15.75" customHeight="1">
      <c r="A581" s="102"/>
      <c r="B581" s="76" t="s">
        <v>160</v>
      </c>
      <c r="C581" s="112" t="s">
        <v>161</v>
      </c>
      <c r="D581" s="97">
        <v>25.0</v>
      </c>
      <c r="E581" s="100"/>
      <c r="F581" s="100"/>
      <c r="G581" s="100"/>
      <c r="H581" s="100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ht="15.75" customHeight="1">
      <c r="A582" s="102"/>
      <c r="B582" s="76" t="s">
        <v>165</v>
      </c>
      <c r="C582" s="54" t="s">
        <v>166</v>
      </c>
      <c r="D582" s="97">
        <v>25.0</v>
      </c>
      <c r="E582" s="100"/>
      <c r="F582" s="100"/>
      <c r="G582" s="100"/>
      <c r="H582" s="100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ht="15.75" customHeight="1">
      <c r="A583" s="102"/>
      <c r="B583" s="125" t="s">
        <v>645</v>
      </c>
      <c r="C583" s="64" t="s">
        <v>646</v>
      </c>
      <c r="D583" s="97">
        <f>75+50</f>
        <v>125</v>
      </c>
      <c r="E583" s="100"/>
      <c r="F583" s="100"/>
      <c r="G583" s="100"/>
      <c r="H583" s="100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ht="15.75" customHeight="1">
      <c r="A584" s="102"/>
      <c r="B584" s="100"/>
      <c r="C584" s="115"/>
      <c r="D584" s="102"/>
      <c r="E584" s="100"/>
      <c r="F584" s="100"/>
      <c r="G584" s="100"/>
      <c r="H584" s="100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ht="15.75" customHeight="1">
      <c r="A585" s="96">
        <v>45828.0</v>
      </c>
      <c r="B585" s="106" t="s">
        <v>643</v>
      </c>
      <c r="C585" s="107" t="s">
        <v>644</v>
      </c>
      <c r="D585" s="102">
        <f>175+150</f>
        <v>325</v>
      </c>
      <c r="E585" s="100"/>
      <c r="F585" s="100"/>
      <c r="G585" s="100"/>
      <c r="H585" s="100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ht="15.75" customHeight="1">
      <c r="A586" s="102"/>
      <c r="B586" s="40" t="s">
        <v>31</v>
      </c>
      <c r="C586" s="64" t="s">
        <v>32</v>
      </c>
      <c r="D586" s="97">
        <f>950+950+600</f>
        <v>2500</v>
      </c>
      <c r="E586" s="100"/>
      <c r="F586" s="100"/>
      <c r="G586" s="100"/>
      <c r="H586" s="100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ht="15.75" customHeight="1">
      <c r="A587" s="102"/>
      <c r="B587" s="40" t="s">
        <v>25</v>
      </c>
      <c r="C587" s="64" t="s">
        <v>26</v>
      </c>
      <c r="D587" s="102">
        <f>480+475+950</f>
        <v>1905</v>
      </c>
      <c r="E587" s="100"/>
      <c r="F587" s="100"/>
      <c r="G587" s="100"/>
      <c r="H587" s="100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ht="15.75" customHeight="1">
      <c r="A588" s="102"/>
      <c r="B588" s="113" t="s">
        <v>157</v>
      </c>
      <c r="C588" s="112" t="s">
        <v>158</v>
      </c>
      <c r="D588" s="97">
        <v>25.0</v>
      </c>
      <c r="E588" s="100"/>
      <c r="F588" s="100"/>
      <c r="G588" s="100"/>
      <c r="H588" s="100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ht="15.75" customHeight="1">
      <c r="A589" s="102"/>
      <c r="B589" s="125" t="s">
        <v>645</v>
      </c>
      <c r="C589" s="64" t="s">
        <v>646</v>
      </c>
      <c r="D589" s="97">
        <v>50.0</v>
      </c>
      <c r="E589" s="100"/>
      <c r="F589" s="100"/>
      <c r="G589" s="100"/>
      <c r="H589" s="100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ht="15.75" customHeight="1">
      <c r="A590" s="102"/>
      <c r="B590" s="106" t="s">
        <v>39</v>
      </c>
      <c r="C590" s="107" t="s">
        <v>40</v>
      </c>
      <c r="D590" s="97">
        <v>960.0</v>
      </c>
      <c r="E590" s="100"/>
      <c r="F590" s="100"/>
      <c r="G590" s="100"/>
      <c r="H590" s="100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ht="15.75" customHeight="1">
      <c r="A591" s="102"/>
      <c r="B591" s="76" t="s">
        <v>165</v>
      </c>
      <c r="C591" s="54" t="s">
        <v>166</v>
      </c>
      <c r="D591" s="97">
        <v>25.0</v>
      </c>
      <c r="E591" s="100"/>
      <c r="F591" s="100"/>
      <c r="G591" s="100"/>
      <c r="H591" s="100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ht="15.75" customHeight="1">
      <c r="A592" s="102"/>
      <c r="B592" s="100"/>
      <c r="C592" s="115"/>
      <c r="D592" s="102"/>
      <c r="E592" s="100"/>
      <c r="F592" s="100"/>
      <c r="G592" s="100"/>
      <c r="H592" s="100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ht="15.75" customHeight="1">
      <c r="A593" s="96">
        <v>45829.0</v>
      </c>
      <c r="B593" s="106" t="s">
        <v>39</v>
      </c>
      <c r="C593" s="107" t="s">
        <v>40</v>
      </c>
      <c r="D593" s="102">
        <f>960+1440</f>
        <v>2400</v>
      </c>
      <c r="E593" s="100"/>
      <c r="F593" s="100"/>
      <c r="G593" s="100"/>
      <c r="H593" s="100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ht="15.75" customHeight="1">
      <c r="A594" s="102"/>
      <c r="B594" s="40" t="s">
        <v>25</v>
      </c>
      <c r="C594" s="64" t="s">
        <v>26</v>
      </c>
      <c r="D594" s="102">
        <f>1425+570+300+950</f>
        <v>3245</v>
      </c>
      <c r="E594" s="100"/>
      <c r="F594" s="100"/>
      <c r="G594" s="100"/>
      <c r="H594" s="100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ht="15.75" customHeight="1">
      <c r="A595" s="102"/>
      <c r="B595" s="40" t="s">
        <v>31</v>
      </c>
      <c r="C595" s="64" t="s">
        <v>32</v>
      </c>
      <c r="D595" s="97">
        <f>475+480+950</f>
        <v>1905</v>
      </c>
      <c r="E595" s="100"/>
      <c r="F595" s="100"/>
      <c r="G595" s="100"/>
      <c r="H595" s="100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ht="15.75" customHeight="1">
      <c r="A596" s="102"/>
      <c r="B596" s="106" t="s">
        <v>643</v>
      </c>
      <c r="C596" s="107" t="s">
        <v>644</v>
      </c>
      <c r="D596" s="97">
        <f>175+200</f>
        <v>375</v>
      </c>
      <c r="E596" s="100"/>
      <c r="F596" s="100"/>
      <c r="G596" s="100"/>
      <c r="H596" s="100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ht="15.75" customHeight="1">
      <c r="A597" s="102"/>
      <c r="B597" s="113" t="s">
        <v>157</v>
      </c>
      <c r="C597" s="112" t="s">
        <v>158</v>
      </c>
      <c r="D597" s="97">
        <v>50.0</v>
      </c>
      <c r="E597" s="100"/>
      <c r="F597" s="100"/>
      <c r="G597" s="100"/>
      <c r="H597" s="100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ht="15.75" customHeight="1">
      <c r="A598" s="102"/>
      <c r="B598" s="76" t="s">
        <v>165</v>
      </c>
      <c r="C598" s="54" t="s">
        <v>166</v>
      </c>
      <c r="D598" s="97">
        <v>50.0</v>
      </c>
      <c r="E598" s="100"/>
      <c r="F598" s="100"/>
      <c r="G598" s="100"/>
      <c r="H598" s="100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ht="15.75" customHeight="1">
      <c r="A599" s="102"/>
      <c r="B599" s="125" t="s">
        <v>645</v>
      </c>
      <c r="C599" s="64" t="s">
        <v>646</v>
      </c>
      <c r="D599" s="97">
        <v>100.0</v>
      </c>
      <c r="E599" s="100"/>
      <c r="F599" s="100"/>
      <c r="G599" s="100"/>
      <c r="H599" s="100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ht="15.75" customHeight="1">
      <c r="A600" s="102"/>
      <c r="B600" s="100"/>
      <c r="C600" s="115"/>
      <c r="D600" s="102"/>
      <c r="E600" s="100"/>
      <c r="F600" s="100"/>
      <c r="G600" s="100"/>
      <c r="H600" s="100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ht="15.75" customHeight="1">
      <c r="A601" s="96">
        <v>45830.0</v>
      </c>
      <c r="B601" s="40" t="s">
        <v>25</v>
      </c>
      <c r="C601" s="64" t="s">
        <v>26</v>
      </c>
      <c r="D601" s="102">
        <f>950+480+475</f>
        <v>1905</v>
      </c>
      <c r="E601" s="100"/>
      <c r="F601" s="100"/>
      <c r="G601" s="100"/>
      <c r="H601" s="100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ht="15.75" customHeight="1">
      <c r="A602" s="102"/>
      <c r="B602" s="40" t="s">
        <v>31</v>
      </c>
      <c r="C602" s="64" t="s">
        <v>32</v>
      </c>
      <c r="D602" s="102">
        <f>475+240+950</f>
        <v>1665</v>
      </c>
      <c r="E602" s="100"/>
      <c r="F602" s="100"/>
      <c r="G602" s="100"/>
      <c r="H602" s="100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ht="15.75" customHeight="1">
      <c r="A603" s="102"/>
      <c r="B603" s="106" t="s">
        <v>39</v>
      </c>
      <c r="C603" s="107" t="s">
        <v>40</v>
      </c>
      <c r="D603" s="102">
        <f>960+960</f>
        <v>1920</v>
      </c>
      <c r="E603" s="100"/>
      <c r="F603" s="100"/>
      <c r="G603" s="100"/>
      <c r="H603" s="100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ht="15.75" customHeight="1">
      <c r="A604" s="102"/>
      <c r="B604" s="106" t="s">
        <v>643</v>
      </c>
      <c r="C604" s="107" t="s">
        <v>644</v>
      </c>
      <c r="D604" s="97">
        <f>175+125</f>
        <v>300</v>
      </c>
      <c r="E604" s="100"/>
      <c r="F604" s="100"/>
      <c r="G604" s="100"/>
      <c r="H604" s="100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ht="15.75" customHeight="1">
      <c r="A605" s="102"/>
      <c r="B605" s="125" t="s">
        <v>645</v>
      </c>
      <c r="C605" s="64" t="s">
        <v>646</v>
      </c>
      <c r="D605" s="97">
        <f>50+25</f>
        <v>75</v>
      </c>
      <c r="E605" s="100"/>
      <c r="F605" s="100"/>
      <c r="G605" s="100"/>
      <c r="H605" s="100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ht="15.75" customHeight="1">
      <c r="A606" s="102"/>
      <c r="B606" s="76" t="s">
        <v>165</v>
      </c>
      <c r="C606" s="54" t="s">
        <v>166</v>
      </c>
      <c r="D606" s="97">
        <v>25.0</v>
      </c>
      <c r="E606" s="100"/>
      <c r="F606" s="100"/>
      <c r="G606" s="100"/>
      <c r="H606" s="100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ht="15.75" customHeight="1">
      <c r="A607" s="102"/>
      <c r="B607" s="100"/>
      <c r="C607" s="115"/>
      <c r="D607" s="102"/>
      <c r="E607" s="100"/>
      <c r="F607" s="100"/>
      <c r="G607" s="100"/>
      <c r="H607" s="100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ht="15.75" customHeight="1">
      <c r="A608" s="102"/>
      <c r="B608" s="100"/>
      <c r="C608" s="115"/>
      <c r="D608" s="102"/>
      <c r="E608" s="100"/>
      <c r="F608" s="100"/>
      <c r="G608" s="100"/>
      <c r="H608" s="100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ht="15.75" customHeight="1">
      <c r="A609" s="102"/>
      <c r="B609" s="100"/>
      <c r="C609" s="115"/>
      <c r="D609" s="102"/>
      <c r="E609" s="100"/>
      <c r="F609" s="100"/>
      <c r="G609" s="100"/>
      <c r="H609" s="100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ht="15.75" customHeight="1">
      <c r="A610" s="102"/>
      <c r="B610" s="100"/>
      <c r="C610" s="115"/>
      <c r="D610" s="102"/>
      <c r="E610" s="100"/>
      <c r="F610" s="100"/>
      <c r="G610" s="100"/>
      <c r="H610" s="100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ht="15.75" customHeight="1">
      <c r="A611" s="102"/>
      <c r="B611" s="100"/>
      <c r="C611" s="115"/>
      <c r="D611" s="102"/>
      <c r="E611" s="100"/>
      <c r="F611" s="100"/>
      <c r="G611" s="100"/>
      <c r="H611" s="100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ht="15.75" customHeight="1">
      <c r="A612" s="102"/>
      <c r="B612" s="100"/>
      <c r="C612" s="115"/>
      <c r="D612" s="102"/>
      <c r="E612" s="100"/>
      <c r="F612" s="100"/>
      <c r="G612" s="100"/>
      <c r="H612" s="100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ht="15.75" customHeight="1">
      <c r="A613" s="102"/>
      <c r="B613" s="100"/>
      <c r="C613" s="115"/>
      <c r="D613" s="102"/>
      <c r="E613" s="100"/>
      <c r="F613" s="100"/>
      <c r="G613" s="100"/>
      <c r="H613" s="100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ht="15.75" customHeight="1">
      <c r="A614" s="93"/>
      <c r="B614" s="95"/>
      <c r="C614" s="24" t="s">
        <v>651</v>
      </c>
      <c r="D614" s="93"/>
      <c r="E614" s="95"/>
      <c r="F614" s="95"/>
      <c r="G614" s="95"/>
      <c r="H614" s="95"/>
    </row>
    <row r="615" ht="15.75" customHeight="1">
      <c r="A615" s="216">
        <v>45808.0</v>
      </c>
      <c r="B615" s="40" t="s">
        <v>41</v>
      </c>
      <c r="C615" s="64" t="s">
        <v>42</v>
      </c>
      <c r="D615" s="97">
        <v>500.0</v>
      </c>
      <c r="E615" s="100"/>
      <c r="F615" s="100"/>
      <c r="G615" s="100"/>
      <c r="H615" s="100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ht="15.75" customHeight="1">
      <c r="A616" s="102"/>
      <c r="B616" s="100"/>
      <c r="C616" s="115"/>
      <c r="D616" s="102"/>
      <c r="E616" s="100"/>
      <c r="F616" s="100"/>
      <c r="G616" s="100"/>
      <c r="H616" s="100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ht="15.75" customHeight="1">
      <c r="A617" s="216">
        <v>45809.0</v>
      </c>
      <c r="B617" s="40" t="s">
        <v>41</v>
      </c>
      <c r="C617" s="64" t="s">
        <v>42</v>
      </c>
      <c r="D617" s="97">
        <f>250+350</f>
        <v>600</v>
      </c>
      <c r="E617" s="100"/>
      <c r="F617" s="100"/>
      <c r="G617" s="100"/>
      <c r="H617" s="100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ht="15.75" customHeight="1">
      <c r="A618" s="102"/>
      <c r="B618" s="100"/>
      <c r="C618" s="115"/>
      <c r="D618" s="102"/>
      <c r="E618" s="100"/>
      <c r="F618" s="100"/>
      <c r="G618" s="100"/>
      <c r="H618" s="100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ht="15.75" customHeight="1">
      <c r="A619" s="216">
        <v>45810.0</v>
      </c>
      <c r="B619" s="40" t="s">
        <v>41</v>
      </c>
      <c r="C619" s="64" t="s">
        <v>42</v>
      </c>
      <c r="D619" s="102">
        <f>275+100</f>
        <v>375</v>
      </c>
      <c r="E619" s="100"/>
      <c r="F619" s="100"/>
      <c r="G619" s="100"/>
      <c r="H619" s="100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ht="15.75" customHeight="1">
      <c r="A620" s="102"/>
      <c r="B620" s="100"/>
      <c r="C620" s="115"/>
      <c r="D620" s="102"/>
      <c r="E620" s="100"/>
      <c r="F620" s="100"/>
      <c r="G620" s="100"/>
      <c r="H620" s="100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ht="15.75" customHeight="1">
      <c r="A621" s="216">
        <v>45811.0</v>
      </c>
      <c r="B621" s="40" t="s">
        <v>41</v>
      </c>
      <c r="C621" s="64" t="s">
        <v>42</v>
      </c>
      <c r="D621" s="97">
        <v>775.0</v>
      </c>
      <c r="E621" s="100"/>
      <c r="F621" s="100"/>
      <c r="G621" s="100"/>
      <c r="H621" s="100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ht="15.75" customHeight="1">
      <c r="A622" s="102"/>
      <c r="B622" s="100"/>
      <c r="C622" s="115"/>
      <c r="D622" s="102"/>
      <c r="E622" s="100"/>
      <c r="F622" s="100"/>
      <c r="G622" s="100"/>
      <c r="H622" s="100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ht="15.75" customHeight="1">
      <c r="A623" s="216">
        <v>45812.0</v>
      </c>
      <c r="B623" s="40" t="s">
        <v>41</v>
      </c>
      <c r="C623" s="64" t="s">
        <v>42</v>
      </c>
      <c r="D623" s="97">
        <v>1025.0</v>
      </c>
      <c r="E623" s="100"/>
      <c r="F623" s="100"/>
      <c r="G623" s="100"/>
      <c r="H623" s="100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ht="15.75" customHeight="1">
      <c r="A624" s="102"/>
      <c r="B624" s="100"/>
      <c r="C624" s="115"/>
      <c r="D624" s="102"/>
      <c r="E624" s="100"/>
      <c r="F624" s="100"/>
      <c r="G624" s="100"/>
      <c r="H624" s="100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ht="15.75" customHeight="1">
      <c r="A625" s="216">
        <v>45813.0</v>
      </c>
      <c r="B625" s="40" t="s">
        <v>41</v>
      </c>
      <c r="C625" s="64" t="s">
        <v>42</v>
      </c>
      <c r="D625" s="102">
        <f>375</f>
        <v>375</v>
      </c>
      <c r="E625" s="100"/>
      <c r="F625" s="100"/>
      <c r="G625" s="100"/>
      <c r="H625" s="100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ht="15.75" customHeight="1">
      <c r="A626" s="102"/>
      <c r="B626" s="100"/>
      <c r="C626" s="115"/>
      <c r="D626" s="102"/>
      <c r="E626" s="100"/>
      <c r="F626" s="100"/>
      <c r="G626" s="100"/>
      <c r="H626" s="100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ht="15.75" customHeight="1">
      <c r="A627" s="216">
        <v>45814.0</v>
      </c>
      <c r="B627" s="40" t="s">
        <v>41</v>
      </c>
      <c r="C627" s="64" t="s">
        <v>42</v>
      </c>
      <c r="D627" s="97">
        <v>250.0</v>
      </c>
      <c r="E627" s="100"/>
      <c r="F627" s="100"/>
      <c r="G627" s="100"/>
      <c r="H627" s="100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ht="15.75" customHeight="1">
      <c r="A628" s="102"/>
      <c r="B628" s="100"/>
      <c r="C628" s="115"/>
      <c r="D628" s="102"/>
      <c r="E628" s="100"/>
      <c r="F628" s="100"/>
      <c r="G628" s="100"/>
      <c r="H628" s="100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ht="15.75" customHeight="1">
      <c r="A629" s="216">
        <v>45815.0</v>
      </c>
      <c r="B629" s="40" t="s">
        <v>41</v>
      </c>
      <c r="C629" s="64" t="s">
        <v>42</v>
      </c>
      <c r="D629" s="102">
        <f>350</f>
        <v>350</v>
      </c>
      <c r="E629" s="100"/>
      <c r="F629" s="100"/>
      <c r="G629" s="100"/>
      <c r="H629" s="100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ht="15.75" customHeight="1">
      <c r="A630" s="102"/>
      <c r="B630" s="100"/>
      <c r="C630" s="115"/>
      <c r="D630" s="102"/>
      <c r="E630" s="100"/>
      <c r="F630" s="100"/>
      <c r="G630" s="100"/>
      <c r="H630" s="100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ht="15.75" customHeight="1">
      <c r="A631" s="216">
        <v>45817.0</v>
      </c>
      <c r="B631" s="40" t="s">
        <v>41</v>
      </c>
      <c r="C631" s="64" t="s">
        <v>42</v>
      </c>
      <c r="D631" s="102">
        <f>625+375</f>
        <v>1000</v>
      </c>
      <c r="E631" s="100"/>
      <c r="F631" s="100"/>
      <c r="G631" s="100"/>
      <c r="H631" s="100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ht="15.75" customHeight="1">
      <c r="A632" s="102"/>
      <c r="B632" s="100"/>
      <c r="C632" s="115"/>
      <c r="D632" s="102"/>
      <c r="E632" s="100"/>
      <c r="F632" s="100"/>
      <c r="G632" s="100"/>
      <c r="H632" s="100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ht="15.75" customHeight="1">
      <c r="A633" s="216">
        <v>45818.0</v>
      </c>
      <c r="B633" s="40" t="s">
        <v>41</v>
      </c>
      <c r="C633" s="64" t="s">
        <v>42</v>
      </c>
      <c r="D633" s="102">
        <f>750+375</f>
        <v>1125</v>
      </c>
      <c r="E633" s="100"/>
      <c r="F633" s="100"/>
      <c r="G633" s="100"/>
      <c r="H633" s="100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ht="15.75" customHeight="1">
      <c r="A634" s="102"/>
      <c r="B634" s="100"/>
      <c r="C634" s="115"/>
      <c r="D634" s="102"/>
      <c r="E634" s="100"/>
      <c r="F634" s="100"/>
      <c r="G634" s="100"/>
      <c r="H634" s="100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ht="15.75" customHeight="1">
      <c r="A635" s="216">
        <v>45819.0</v>
      </c>
      <c r="B635" s="40" t="s">
        <v>41</v>
      </c>
      <c r="C635" s="64" t="s">
        <v>42</v>
      </c>
      <c r="D635" s="102">
        <f>225+375</f>
        <v>600</v>
      </c>
      <c r="E635" s="100"/>
      <c r="F635" s="100"/>
      <c r="G635" s="100"/>
      <c r="H635" s="100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ht="15.75" customHeight="1">
      <c r="A636" s="102"/>
      <c r="B636" s="100"/>
      <c r="C636" s="115"/>
      <c r="D636" s="102"/>
      <c r="E636" s="100"/>
      <c r="F636" s="100"/>
      <c r="G636" s="100"/>
      <c r="H636" s="100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ht="15.75" customHeight="1">
      <c r="A637" s="216">
        <v>45820.0</v>
      </c>
      <c r="B637" s="40" t="s">
        <v>41</v>
      </c>
      <c r="C637" s="64" t="s">
        <v>42</v>
      </c>
      <c r="D637" s="102">
        <f>550+250</f>
        <v>800</v>
      </c>
      <c r="E637" s="100"/>
      <c r="F637" s="100"/>
      <c r="G637" s="100"/>
      <c r="H637" s="100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ht="15.75" customHeight="1">
      <c r="A638" s="102"/>
      <c r="B638" s="100"/>
      <c r="C638" s="115"/>
      <c r="D638" s="102"/>
      <c r="E638" s="100"/>
      <c r="F638" s="100"/>
      <c r="G638" s="100"/>
      <c r="H638" s="100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ht="15.75" customHeight="1">
      <c r="A639" s="216">
        <v>45821.0</v>
      </c>
      <c r="B639" s="40" t="s">
        <v>41</v>
      </c>
      <c r="C639" s="64" t="s">
        <v>42</v>
      </c>
      <c r="D639" s="102">
        <f>300+500</f>
        <v>800</v>
      </c>
      <c r="E639" s="100"/>
      <c r="F639" s="100"/>
      <c r="G639" s="100"/>
      <c r="H639" s="100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ht="15.75" customHeight="1">
      <c r="A640" s="102"/>
      <c r="B640" s="100"/>
      <c r="C640" s="115"/>
      <c r="D640" s="102"/>
      <c r="E640" s="100"/>
      <c r="F640" s="100"/>
      <c r="G640" s="100"/>
      <c r="H640" s="100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ht="15.75" customHeight="1">
      <c r="A641" s="216">
        <v>45822.0</v>
      </c>
      <c r="B641" s="40" t="s">
        <v>41</v>
      </c>
      <c r="C641" s="64" t="s">
        <v>42</v>
      </c>
      <c r="D641" s="102">
        <f>750+625</f>
        <v>1375</v>
      </c>
      <c r="E641" s="100"/>
      <c r="F641" s="100"/>
      <c r="G641" s="100"/>
      <c r="H641" s="100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ht="15.75" customHeight="1">
      <c r="A642" s="102"/>
      <c r="B642" s="100"/>
      <c r="C642" s="115"/>
      <c r="D642" s="102"/>
      <c r="E642" s="100"/>
      <c r="F642" s="100"/>
      <c r="G642" s="100"/>
      <c r="H642" s="100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ht="15.75" customHeight="1">
      <c r="A643" s="216">
        <v>45823.0</v>
      </c>
      <c r="B643" s="40" t="s">
        <v>41</v>
      </c>
      <c r="C643" s="64" t="s">
        <v>42</v>
      </c>
      <c r="D643" s="102">
        <f>1000</f>
        <v>1000</v>
      </c>
      <c r="E643" s="100"/>
      <c r="F643" s="100"/>
      <c r="G643" s="100"/>
      <c r="H643" s="100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ht="15.75" customHeight="1">
      <c r="A644" s="102"/>
      <c r="B644" s="100"/>
      <c r="C644" s="115"/>
      <c r="D644" s="102"/>
      <c r="E644" s="100"/>
      <c r="F644" s="100"/>
      <c r="G644" s="100"/>
      <c r="H644" s="100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ht="15.75" customHeight="1">
      <c r="A645" s="216">
        <v>45824.0</v>
      </c>
      <c r="B645" s="40" t="s">
        <v>41</v>
      </c>
      <c r="C645" s="64" t="s">
        <v>42</v>
      </c>
      <c r="D645" s="102">
        <f>250+500</f>
        <v>750</v>
      </c>
      <c r="E645" s="100"/>
      <c r="F645" s="100"/>
      <c r="G645" s="100"/>
      <c r="H645" s="100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ht="15.75" customHeight="1">
      <c r="A646" s="102"/>
      <c r="B646" s="100"/>
      <c r="C646" s="115"/>
      <c r="D646" s="102"/>
      <c r="E646" s="100"/>
      <c r="F646" s="100"/>
      <c r="G646" s="100"/>
      <c r="H646" s="100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ht="15.75" customHeight="1">
      <c r="A647" s="216">
        <v>45825.0</v>
      </c>
      <c r="B647" s="40" t="s">
        <v>41</v>
      </c>
      <c r="C647" s="64" t="s">
        <v>42</v>
      </c>
      <c r="D647" s="102">
        <f>500+500</f>
        <v>1000</v>
      </c>
      <c r="E647" s="100"/>
      <c r="F647" s="100"/>
      <c r="G647" s="100"/>
      <c r="H647" s="100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ht="15.75" customHeight="1">
      <c r="A648" s="102"/>
      <c r="B648" s="100"/>
      <c r="C648" s="115"/>
      <c r="D648" s="102"/>
      <c r="E648" s="100"/>
      <c r="F648" s="100"/>
      <c r="G648" s="100"/>
      <c r="H648" s="100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ht="15.75" customHeight="1">
      <c r="A649" s="216">
        <v>45826.0</v>
      </c>
      <c r="B649" s="40" t="s">
        <v>41</v>
      </c>
      <c r="C649" s="64" t="s">
        <v>42</v>
      </c>
      <c r="D649" s="102">
        <f>500++375</f>
        <v>875</v>
      </c>
      <c r="E649" s="100"/>
      <c r="F649" s="100"/>
      <c r="G649" s="100"/>
      <c r="H649" s="100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ht="15.75" customHeight="1">
      <c r="A650" s="102"/>
      <c r="B650" s="100"/>
      <c r="C650" s="115"/>
      <c r="D650" s="102"/>
      <c r="E650" s="100"/>
      <c r="F650" s="100"/>
      <c r="G650" s="100"/>
      <c r="H650" s="100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ht="15.75" customHeight="1">
      <c r="A651" s="216">
        <v>45827.0</v>
      </c>
      <c r="B651" s="40" t="s">
        <v>41</v>
      </c>
      <c r="C651" s="64" t="s">
        <v>42</v>
      </c>
      <c r="D651" s="102">
        <f>625+375</f>
        <v>1000</v>
      </c>
      <c r="E651" s="100"/>
      <c r="F651" s="100"/>
      <c r="G651" s="100"/>
      <c r="H651" s="100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ht="15.75" customHeight="1">
      <c r="A652" s="102"/>
      <c r="B652" s="100"/>
      <c r="C652" s="115"/>
      <c r="D652" s="102"/>
      <c r="E652" s="100"/>
      <c r="F652" s="100"/>
      <c r="G652" s="100"/>
      <c r="H652" s="100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ht="15.75" customHeight="1">
      <c r="A653" s="216">
        <v>45828.0</v>
      </c>
      <c r="B653" s="40" t="s">
        <v>41</v>
      </c>
      <c r="C653" s="64" t="s">
        <v>42</v>
      </c>
      <c r="D653" s="102">
        <f>375+500</f>
        <v>875</v>
      </c>
      <c r="E653" s="100"/>
      <c r="F653" s="100"/>
      <c r="G653" s="100"/>
      <c r="H653" s="100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ht="15.75" customHeight="1">
      <c r="A654" s="102"/>
      <c r="B654" s="100"/>
      <c r="C654" s="115"/>
      <c r="D654" s="102"/>
      <c r="E654" s="100"/>
      <c r="F654" s="100"/>
      <c r="G654" s="100"/>
      <c r="H654" s="100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ht="15.75" customHeight="1">
      <c r="A655" s="216">
        <v>45829.0</v>
      </c>
      <c r="B655" s="40" t="s">
        <v>41</v>
      </c>
      <c r="C655" s="64" t="s">
        <v>42</v>
      </c>
      <c r="D655" s="102">
        <f>375+500</f>
        <v>875</v>
      </c>
      <c r="E655" s="100"/>
      <c r="F655" s="100"/>
      <c r="G655" s="100"/>
      <c r="H655" s="100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ht="15.75" customHeight="1">
      <c r="A656" s="102"/>
      <c r="B656" s="100"/>
      <c r="C656" s="115"/>
      <c r="D656" s="102"/>
      <c r="E656" s="100"/>
      <c r="F656" s="100"/>
      <c r="G656" s="100"/>
      <c r="H656" s="100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ht="15.75" customHeight="1">
      <c r="A657" s="216">
        <v>45830.0</v>
      </c>
      <c r="B657" s="40" t="s">
        <v>41</v>
      </c>
      <c r="C657" s="64" t="s">
        <v>42</v>
      </c>
      <c r="D657" s="102">
        <f>875</f>
        <v>875</v>
      </c>
      <c r="E657" s="100"/>
      <c r="F657" s="100"/>
      <c r="G657" s="100"/>
      <c r="H657" s="100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ht="15.75" customHeight="1">
      <c r="A658" s="102"/>
      <c r="B658" s="100"/>
      <c r="C658" s="115"/>
      <c r="D658" s="102"/>
      <c r="E658" s="100"/>
      <c r="F658" s="100"/>
      <c r="G658" s="100"/>
      <c r="H658" s="100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ht="15.75" customHeight="1">
      <c r="A659" s="102"/>
      <c r="B659" s="100"/>
      <c r="C659" s="115"/>
      <c r="D659" s="102"/>
      <c r="E659" s="100"/>
      <c r="F659" s="100"/>
      <c r="G659" s="100"/>
      <c r="H659" s="100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ht="15.75" customHeight="1">
      <c r="A660" s="93"/>
      <c r="B660" s="95"/>
      <c r="C660" s="24" t="s">
        <v>652</v>
      </c>
      <c r="D660" s="93"/>
      <c r="E660" s="95"/>
      <c r="F660" s="95"/>
      <c r="G660" s="95"/>
      <c r="H660" s="95"/>
    </row>
    <row r="661" ht="15.75" customHeight="1">
      <c r="A661" s="216">
        <v>45822.0</v>
      </c>
      <c r="B661" s="106" t="s">
        <v>53</v>
      </c>
      <c r="C661" s="107" t="s">
        <v>54</v>
      </c>
      <c r="D661" s="118">
        <f>625</f>
        <v>625</v>
      </c>
      <c r="E661" s="207" t="s">
        <v>653</v>
      </c>
      <c r="F661" s="118"/>
      <c r="G661" s="118"/>
      <c r="H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</row>
    <row r="663" ht="15.75" customHeight="1">
      <c r="A663" s="216">
        <v>45823.0</v>
      </c>
      <c r="B663" s="106" t="s">
        <v>53</v>
      </c>
      <c r="C663" s="107" t="s">
        <v>54</v>
      </c>
      <c r="D663" s="207">
        <v>225.0</v>
      </c>
      <c r="E663" s="207" t="s">
        <v>653</v>
      </c>
      <c r="F663" s="118"/>
      <c r="G663" s="118"/>
      <c r="H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</row>
    <row r="665" ht="15.75" customHeight="1">
      <c r="A665" s="216">
        <v>45827.0</v>
      </c>
      <c r="B665" s="106" t="s">
        <v>53</v>
      </c>
      <c r="C665" s="107" t="s">
        <v>54</v>
      </c>
      <c r="D665" s="207">
        <v>500.0</v>
      </c>
      <c r="E665" s="207" t="s">
        <v>654</v>
      </c>
      <c r="F665" s="118"/>
      <c r="G665" s="118"/>
      <c r="H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</row>
    <row r="667" ht="15.75" customHeight="1">
      <c r="A667" s="216">
        <v>45828.0</v>
      </c>
      <c r="B667" s="106" t="s">
        <v>53</v>
      </c>
      <c r="C667" s="107" t="s">
        <v>54</v>
      </c>
      <c r="D667" s="207">
        <f>500+750</f>
        <v>1250</v>
      </c>
      <c r="E667" s="207" t="s">
        <v>654</v>
      </c>
      <c r="F667" s="118"/>
      <c r="G667" s="118"/>
      <c r="H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</row>
    <row r="669" ht="15.75" customHeight="1">
      <c r="A669" s="216">
        <v>45829.0</v>
      </c>
      <c r="B669" s="106" t="s">
        <v>53</v>
      </c>
      <c r="C669" s="107" t="s">
        <v>54</v>
      </c>
      <c r="D669" s="118">
        <f>1375</f>
        <v>1375</v>
      </c>
      <c r="E669" s="207" t="s">
        <v>654</v>
      </c>
      <c r="F669" s="118"/>
      <c r="G669" s="118"/>
      <c r="H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</row>
    <row r="671" ht="15.75" customHeight="1">
      <c r="A671" s="216">
        <v>45830.0</v>
      </c>
      <c r="B671" s="106" t="s">
        <v>53</v>
      </c>
      <c r="C671" s="107" t="s">
        <v>54</v>
      </c>
      <c r="D671" s="207">
        <v>375.0</v>
      </c>
      <c r="E671" s="118"/>
      <c r="F671" s="118"/>
      <c r="G671" s="118"/>
      <c r="H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</row>
    <row r="683" ht="15.75" customHeight="1">
      <c r="A683" s="93"/>
      <c r="B683" s="95"/>
      <c r="C683" s="24" t="s">
        <v>655</v>
      </c>
      <c r="D683" s="93"/>
      <c r="E683" s="95"/>
      <c r="F683" s="95"/>
      <c r="G683" s="95"/>
      <c r="H683" s="95"/>
    </row>
    <row r="684" ht="15.75" customHeight="1">
      <c r="A684" s="96">
        <v>45808.0</v>
      </c>
      <c r="B684" s="124" t="s">
        <v>96</v>
      </c>
      <c r="C684" s="107" t="s">
        <v>97</v>
      </c>
      <c r="D684" s="97">
        <v>300.0</v>
      </c>
      <c r="E684" s="99" t="s">
        <v>656</v>
      </c>
      <c r="F684" s="100"/>
      <c r="G684" s="100"/>
      <c r="H684" s="100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ht="15.75" customHeight="1">
      <c r="A685" s="102"/>
      <c r="B685" s="124" t="s">
        <v>96</v>
      </c>
      <c r="C685" s="107" t="s">
        <v>97</v>
      </c>
      <c r="D685" s="97">
        <v>125.0</v>
      </c>
      <c r="E685" s="99" t="s">
        <v>657</v>
      </c>
      <c r="F685" s="100"/>
      <c r="G685" s="100"/>
      <c r="H685" s="100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ht="15.75" customHeight="1">
      <c r="A686" s="102"/>
      <c r="B686" s="76" t="s">
        <v>227</v>
      </c>
      <c r="C686" s="112" t="s">
        <v>228</v>
      </c>
      <c r="D686" s="97">
        <v>10.0</v>
      </c>
      <c r="E686" s="100"/>
      <c r="F686" s="100"/>
      <c r="G686" s="100"/>
      <c r="H686" s="100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ht="15.75" customHeight="1">
      <c r="A687" s="102"/>
      <c r="B687" s="76" t="s">
        <v>217</v>
      </c>
      <c r="C687" s="112" t="s">
        <v>218</v>
      </c>
      <c r="D687" s="97">
        <v>160.0</v>
      </c>
      <c r="E687" s="100"/>
      <c r="F687" s="100"/>
      <c r="G687" s="100"/>
      <c r="H687" s="100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ht="15.75" customHeight="1">
      <c r="A688" s="102"/>
      <c r="B688" s="76" t="s">
        <v>219</v>
      </c>
      <c r="C688" s="122" t="s">
        <v>220</v>
      </c>
      <c r="D688" s="97">
        <v>42.0</v>
      </c>
      <c r="E688" s="100"/>
      <c r="F688" s="100"/>
      <c r="G688" s="100"/>
      <c r="H688" s="100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ht="15.75" customHeight="1">
      <c r="A689" s="102"/>
      <c r="B689" s="125" t="s">
        <v>225</v>
      </c>
      <c r="C689" s="64" t="s">
        <v>226</v>
      </c>
      <c r="D689" s="97">
        <v>170.0</v>
      </c>
      <c r="E689" s="100"/>
      <c r="F689" s="100"/>
      <c r="G689" s="100"/>
      <c r="H689" s="100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ht="15.75" customHeight="1">
      <c r="A690" s="102"/>
      <c r="B690" s="124" t="s">
        <v>47</v>
      </c>
      <c r="C690" s="217" t="s">
        <v>48</v>
      </c>
      <c r="D690" s="97">
        <v>375.0</v>
      </c>
      <c r="E690" s="99" t="s">
        <v>653</v>
      </c>
      <c r="F690" s="100"/>
      <c r="G690" s="100"/>
      <c r="H690" s="100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ht="15.75" customHeight="1">
      <c r="A691" s="102"/>
      <c r="B691" s="31" t="s">
        <v>244</v>
      </c>
      <c r="C691" s="31" t="s">
        <v>245</v>
      </c>
      <c r="D691" s="97">
        <v>200.0</v>
      </c>
      <c r="E691" s="100"/>
      <c r="F691" s="100"/>
      <c r="G691" s="100"/>
      <c r="H691" s="100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ht="15.75" customHeight="1">
      <c r="A692" s="102"/>
      <c r="B692" s="136"/>
      <c r="C692" s="205"/>
      <c r="D692" s="102"/>
      <c r="E692" s="100"/>
      <c r="F692" s="100"/>
      <c r="G692" s="100"/>
      <c r="H692" s="100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ht="15.75" customHeight="1">
      <c r="A693" s="96">
        <v>45810.0</v>
      </c>
      <c r="B693" s="124" t="s">
        <v>96</v>
      </c>
      <c r="C693" s="107" t="s">
        <v>97</v>
      </c>
      <c r="D693" s="97">
        <v>700.0</v>
      </c>
      <c r="E693" s="99" t="s">
        <v>656</v>
      </c>
      <c r="F693" s="100"/>
      <c r="G693" s="100"/>
      <c r="H693" s="100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ht="15.75" customHeight="1">
      <c r="A694" s="102"/>
      <c r="B694" s="124" t="s">
        <v>96</v>
      </c>
      <c r="C694" s="107" t="s">
        <v>97</v>
      </c>
      <c r="D694" s="97">
        <v>150.0</v>
      </c>
      <c r="E694" s="99" t="s">
        <v>657</v>
      </c>
      <c r="F694" s="100"/>
      <c r="G694" s="100"/>
      <c r="H694" s="100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ht="15.75" customHeight="1">
      <c r="A695" s="102"/>
      <c r="B695" s="124" t="s">
        <v>47</v>
      </c>
      <c r="C695" s="217" t="s">
        <v>48</v>
      </c>
      <c r="D695" s="97">
        <v>400.0</v>
      </c>
      <c r="E695" s="99" t="s">
        <v>653</v>
      </c>
      <c r="F695" s="100"/>
      <c r="G695" s="100"/>
      <c r="H695" s="100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ht="15.75" customHeight="1">
      <c r="A696" s="102"/>
      <c r="B696" s="124" t="s">
        <v>47</v>
      </c>
      <c r="C696" s="217" t="s">
        <v>48</v>
      </c>
      <c r="D696" s="97">
        <v>300.0</v>
      </c>
      <c r="E696" s="99" t="s">
        <v>654</v>
      </c>
      <c r="F696" s="100"/>
      <c r="G696" s="100"/>
      <c r="H696" s="100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ht="15.75" customHeight="1">
      <c r="A697" s="102"/>
      <c r="B697" s="72" t="s">
        <v>162</v>
      </c>
      <c r="C697" s="108" t="s">
        <v>163</v>
      </c>
      <c r="D697" s="97">
        <v>3.0</v>
      </c>
      <c r="E697" s="100"/>
      <c r="F697" s="100"/>
      <c r="G697" s="100"/>
      <c r="H697" s="100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ht="15.75" customHeight="1">
      <c r="A698" s="102"/>
      <c r="B698" s="72" t="s">
        <v>165</v>
      </c>
      <c r="C698" s="212" t="s">
        <v>166</v>
      </c>
      <c r="D698" s="97">
        <v>3.0</v>
      </c>
      <c r="E698" s="100"/>
      <c r="F698" s="100"/>
      <c r="G698" s="100"/>
      <c r="H698" s="100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ht="15.75" customHeight="1">
      <c r="A699" s="102"/>
      <c r="B699" s="31" t="s">
        <v>244</v>
      </c>
      <c r="C699" s="31" t="s">
        <v>245</v>
      </c>
      <c r="D699" s="97">
        <f>200+300</f>
        <v>500</v>
      </c>
      <c r="E699" s="100"/>
      <c r="F699" s="100"/>
      <c r="G699" s="100"/>
      <c r="H699" s="100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ht="15.75" customHeight="1">
      <c r="A700" s="102"/>
      <c r="B700" s="218"/>
      <c r="C700" s="31" t="s">
        <v>328</v>
      </c>
      <c r="D700" s="97">
        <v>14.0</v>
      </c>
      <c r="E700" s="100"/>
      <c r="F700" s="100"/>
      <c r="G700" s="100"/>
      <c r="H700" s="100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ht="15.75" customHeight="1">
      <c r="A701" s="102"/>
      <c r="B701" s="218"/>
      <c r="C701" s="31" t="s">
        <v>296</v>
      </c>
      <c r="D701" s="97">
        <v>13.0</v>
      </c>
      <c r="E701" s="100"/>
      <c r="F701" s="100"/>
      <c r="G701" s="100"/>
      <c r="H701" s="100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ht="15.75" customHeight="1">
      <c r="A702" s="102"/>
      <c r="B702" s="76" t="s">
        <v>219</v>
      </c>
      <c r="C702" s="122" t="s">
        <v>220</v>
      </c>
      <c r="D702" s="97">
        <v>150.0</v>
      </c>
      <c r="E702" s="100"/>
      <c r="F702" s="100"/>
      <c r="G702" s="100"/>
      <c r="H702" s="100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ht="15.75" customHeight="1">
      <c r="A703" s="102"/>
      <c r="B703" s="40" t="s">
        <v>221</v>
      </c>
      <c r="C703" s="123" t="s">
        <v>222</v>
      </c>
      <c r="D703" s="97">
        <v>170.0</v>
      </c>
      <c r="E703" s="100"/>
      <c r="F703" s="100"/>
      <c r="G703" s="100"/>
      <c r="H703" s="100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ht="15.75" customHeight="1">
      <c r="A704" s="102"/>
      <c r="B704" s="218"/>
      <c r="C704" s="205"/>
      <c r="D704" s="102"/>
      <c r="E704" s="100"/>
      <c r="F704" s="100"/>
      <c r="G704" s="100"/>
      <c r="H704" s="100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ht="15.75" customHeight="1">
      <c r="A705" s="96">
        <v>45811.0</v>
      </c>
      <c r="B705" s="124" t="s">
        <v>96</v>
      </c>
      <c r="C705" s="107" t="s">
        <v>97</v>
      </c>
      <c r="D705" s="97">
        <v>650.0</v>
      </c>
      <c r="E705" s="99" t="s">
        <v>656</v>
      </c>
      <c r="F705" s="100"/>
      <c r="G705" s="100"/>
      <c r="H705" s="100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ht="15.75" customHeight="1">
      <c r="A706" s="102"/>
      <c r="B706" s="124" t="s">
        <v>96</v>
      </c>
      <c r="C706" s="107" t="s">
        <v>97</v>
      </c>
      <c r="D706" s="97">
        <v>250.0</v>
      </c>
      <c r="E706" s="99" t="s">
        <v>657</v>
      </c>
      <c r="F706" s="100"/>
      <c r="G706" s="100"/>
      <c r="H706" s="100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ht="15.75" customHeight="1">
      <c r="A707" s="102"/>
      <c r="B707" s="124" t="s">
        <v>47</v>
      </c>
      <c r="C707" s="217" t="s">
        <v>48</v>
      </c>
      <c r="D707" s="97">
        <v>325.0</v>
      </c>
      <c r="E707" s="99" t="s">
        <v>653</v>
      </c>
      <c r="F707" s="100"/>
      <c r="G707" s="100"/>
      <c r="H707" s="100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ht="15.75" customHeight="1">
      <c r="A708" s="102"/>
      <c r="B708" s="124" t="s">
        <v>47</v>
      </c>
      <c r="C708" s="217" t="s">
        <v>48</v>
      </c>
      <c r="D708" s="97">
        <v>300.0</v>
      </c>
      <c r="E708" s="99" t="s">
        <v>654</v>
      </c>
      <c r="F708" s="100"/>
      <c r="G708" s="100"/>
      <c r="H708" s="100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ht="15.75" customHeight="1">
      <c r="A709" s="102"/>
      <c r="B709" s="72" t="s">
        <v>69</v>
      </c>
      <c r="C709" s="73" t="s">
        <v>70</v>
      </c>
      <c r="D709" s="97">
        <f>4500+4500</f>
        <v>9000</v>
      </c>
      <c r="E709" s="100"/>
      <c r="F709" s="100"/>
      <c r="G709" s="100"/>
      <c r="H709" s="100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ht="15.75" customHeight="1">
      <c r="A710" s="102"/>
      <c r="B710" s="72" t="s">
        <v>74</v>
      </c>
      <c r="C710" s="73" t="s">
        <v>75</v>
      </c>
      <c r="D710" s="97">
        <v>4000.0</v>
      </c>
      <c r="E710" s="100"/>
      <c r="F710" s="100"/>
      <c r="G710" s="100"/>
      <c r="H710" s="100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ht="15.75" customHeight="1">
      <c r="A711" s="102"/>
      <c r="B711" s="31" t="s">
        <v>299</v>
      </c>
      <c r="C711" s="31" t="s">
        <v>300</v>
      </c>
      <c r="D711" s="97">
        <v>20.0</v>
      </c>
      <c r="E711" s="100"/>
      <c r="F711" s="100"/>
      <c r="G711" s="100"/>
      <c r="H711" s="100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ht="15.75" customHeight="1">
      <c r="A712" s="102"/>
      <c r="B712" s="31" t="s">
        <v>256</v>
      </c>
      <c r="C712" s="31" t="s">
        <v>257</v>
      </c>
      <c r="D712" s="97">
        <v>200.0</v>
      </c>
      <c r="E712" s="100"/>
      <c r="F712" s="100"/>
      <c r="G712" s="100"/>
      <c r="H712" s="100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ht="15.75" customHeight="1">
      <c r="A713" s="102"/>
      <c r="B713" s="31" t="s">
        <v>244</v>
      </c>
      <c r="C713" s="31" t="s">
        <v>245</v>
      </c>
      <c r="D713" s="102">
        <f>200+300</f>
        <v>500</v>
      </c>
      <c r="E713" s="100"/>
      <c r="F713" s="100"/>
      <c r="G713" s="100"/>
      <c r="H713" s="100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ht="15.75" customHeight="1">
      <c r="A714" s="102"/>
      <c r="B714" s="76" t="s">
        <v>227</v>
      </c>
      <c r="C714" s="112" t="s">
        <v>228</v>
      </c>
      <c r="D714" s="97">
        <v>144.0</v>
      </c>
      <c r="E714" s="100"/>
      <c r="F714" s="100"/>
      <c r="G714" s="100"/>
      <c r="H714" s="100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ht="15.75" customHeight="1">
      <c r="A715" s="102"/>
      <c r="B715" s="76" t="s">
        <v>217</v>
      </c>
      <c r="C715" s="112" t="s">
        <v>218</v>
      </c>
      <c r="D715" s="97">
        <v>164.0</v>
      </c>
      <c r="E715" s="100"/>
      <c r="F715" s="100"/>
      <c r="G715" s="100"/>
      <c r="H715" s="100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ht="15.75" customHeight="1">
      <c r="A716" s="102"/>
      <c r="B716" s="40" t="s">
        <v>221</v>
      </c>
      <c r="C716" s="123" t="s">
        <v>222</v>
      </c>
      <c r="D716" s="97">
        <v>104.0</v>
      </c>
      <c r="E716" s="100"/>
      <c r="F716" s="100"/>
      <c r="G716" s="100"/>
      <c r="H716" s="100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ht="15.75" customHeight="1">
      <c r="A717" s="102"/>
      <c r="B717" s="125" t="s">
        <v>225</v>
      </c>
      <c r="C717" s="64" t="s">
        <v>226</v>
      </c>
      <c r="D717" s="97">
        <v>152.0</v>
      </c>
      <c r="E717" s="100"/>
      <c r="F717" s="100"/>
      <c r="G717" s="100"/>
      <c r="H717" s="100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ht="15.75" customHeight="1">
      <c r="A718" s="102"/>
      <c r="B718" s="136"/>
      <c r="C718" s="205"/>
      <c r="D718" s="102"/>
      <c r="E718" s="100"/>
      <c r="F718" s="100"/>
      <c r="G718" s="100"/>
      <c r="H718" s="100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ht="15.75" customHeight="1">
      <c r="A719" s="96">
        <v>45812.0</v>
      </c>
      <c r="B719" s="72" t="s">
        <v>33</v>
      </c>
      <c r="C719" s="108" t="s">
        <v>34</v>
      </c>
      <c r="D719" s="97">
        <v>700.0</v>
      </c>
      <c r="E719" s="100"/>
      <c r="F719" s="100"/>
      <c r="G719" s="100"/>
      <c r="H719" s="100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ht="15.75" customHeight="1">
      <c r="A720" s="102"/>
      <c r="B720" s="124" t="s">
        <v>96</v>
      </c>
      <c r="C720" s="107" t="s">
        <v>97</v>
      </c>
      <c r="D720" s="102">
        <f>300</f>
        <v>300</v>
      </c>
      <c r="E720" s="99" t="s">
        <v>657</v>
      </c>
      <c r="F720" s="100"/>
      <c r="G720" s="100"/>
      <c r="H720" s="100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ht="15.75" customHeight="1">
      <c r="A721" s="102"/>
      <c r="B721" s="124" t="s">
        <v>47</v>
      </c>
      <c r="C721" s="217" t="s">
        <v>48</v>
      </c>
      <c r="D721" s="97">
        <v>300.0</v>
      </c>
      <c r="E721" s="99" t="s">
        <v>653</v>
      </c>
      <c r="F721" s="100"/>
      <c r="G721" s="100"/>
      <c r="H721" s="100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ht="15.75" customHeight="1">
      <c r="A722" s="102"/>
      <c r="B722" s="124" t="s">
        <v>47</v>
      </c>
      <c r="C722" s="217" t="s">
        <v>48</v>
      </c>
      <c r="D722" s="97">
        <v>325.0</v>
      </c>
      <c r="E722" s="219" t="s">
        <v>654</v>
      </c>
      <c r="F722" s="217"/>
      <c r="G722" s="100"/>
      <c r="H722" s="100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ht="15.75" customHeight="1">
      <c r="A723" s="102"/>
      <c r="B723" s="72" t="s">
        <v>69</v>
      </c>
      <c r="C723" s="73" t="s">
        <v>70</v>
      </c>
      <c r="D723" s="97">
        <v>18000.0</v>
      </c>
      <c r="E723" s="100"/>
      <c r="F723" s="100"/>
      <c r="G723" s="100"/>
      <c r="H723" s="100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ht="15.75" customHeight="1">
      <c r="A724" s="102"/>
      <c r="B724" s="72" t="s">
        <v>74</v>
      </c>
      <c r="C724" s="73" t="s">
        <v>75</v>
      </c>
      <c r="D724" s="97">
        <v>6400.0</v>
      </c>
      <c r="E724" s="100"/>
      <c r="F724" s="100"/>
      <c r="G724" s="100"/>
      <c r="H724" s="100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ht="15.75" customHeight="1">
      <c r="A725" s="102"/>
      <c r="B725" s="125" t="s">
        <v>295</v>
      </c>
      <c r="C725" s="125" t="s">
        <v>296</v>
      </c>
      <c r="D725" s="97">
        <v>17.0</v>
      </c>
      <c r="E725" s="100"/>
      <c r="F725" s="100"/>
      <c r="G725" s="100"/>
      <c r="H725" s="100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ht="15.75" customHeight="1">
      <c r="A726" s="102"/>
      <c r="B726" s="125" t="s">
        <v>299</v>
      </c>
      <c r="C726" s="125" t="s">
        <v>300</v>
      </c>
      <c r="D726" s="97">
        <v>2.0</v>
      </c>
      <c r="E726" s="100"/>
      <c r="F726" s="100"/>
      <c r="G726" s="100"/>
      <c r="H726" s="100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ht="15.75" customHeight="1">
      <c r="A727" s="102"/>
      <c r="B727" s="31" t="s">
        <v>256</v>
      </c>
      <c r="C727" s="31" t="s">
        <v>257</v>
      </c>
      <c r="D727" s="97">
        <v>500.0</v>
      </c>
      <c r="E727" s="100"/>
      <c r="F727" s="100"/>
      <c r="G727" s="100"/>
      <c r="H727" s="100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ht="15.75" customHeight="1">
      <c r="A728" s="102"/>
      <c r="B728" s="31" t="s">
        <v>244</v>
      </c>
      <c r="C728" s="31" t="s">
        <v>245</v>
      </c>
      <c r="D728" s="97">
        <v>400.0</v>
      </c>
      <c r="E728" s="100"/>
      <c r="F728" s="100"/>
      <c r="G728" s="100"/>
      <c r="H728" s="100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ht="15.75" customHeight="1">
      <c r="A729" s="102"/>
      <c r="B729" s="76" t="s">
        <v>217</v>
      </c>
      <c r="C729" s="112" t="s">
        <v>218</v>
      </c>
      <c r="D729" s="97">
        <v>208.0</v>
      </c>
      <c r="E729" s="100"/>
      <c r="F729" s="100"/>
      <c r="G729" s="100"/>
      <c r="H729" s="100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ht="15.75" customHeight="1">
      <c r="A730" s="102"/>
      <c r="B730" s="76" t="s">
        <v>219</v>
      </c>
      <c r="C730" s="122" t="s">
        <v>220</v>
      </c>
      <c r="D730" s="97">
        <v>20.0</v>
      </c>
      <c r="E730" s="100"/>
      <c r="F730" s="100"/>
      <c r="G730" s="100"/>
      <c r="H730" s="100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ht="15.75" customHeight="1">
      <c r="A731" s="102"/>
      <c r="B731" s="40" t="s">
        <v>221</v>
      </c>
      <c r="C731" s="123" t="s">
        <v>222</v>
      </c>
      <c r="D731" s="97">
        <v>200.0</v>
      </c>
      <c r="E731" s="100"/>
      <c r="F731" s="100"/>
      <c r="G731" s="100"/>
      <c r="H731" s="100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ht="15.75" customHeight="1">
      <c r="A732" s="102"/>
      <c r="B732" s="125" t="s">
        <v>225</v>
      </c>
      <c r="C732" s="64" t="s">
        <v>226</v>
      </c>
      <c r="D732" s="97">
        <v>144.0</v>
      </c>
      <c r="E732" s="100"/>
      <c r="F732" s="100"/>
      <c r="G732" s="100"/>
      <c r="H732" s="100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ht="15.75" customHeight="1">
      <c r="A733" s="102"/>
      <c r="B733" s="136"/>
      <c r="C733" s="205"/>
      <c r="D733" s="102"/>
      <c r="E733" s="100"/>
      <c r="F733" s="100"/>
      <c r="G733" s="100"/>
      <c r="H733" s="100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ht="15.75" customHeight="1">
      <c r="A734" s="96">
        <v>45813.0</v>
      </c>
      <c r="B734" s="124" t="s">
        <v>96</v>
      </c>
      <c r="C734" s="107" t="s">
        <v>97</v>
      </c>
      <c r="D734" s="102">
        <f>350</f>
        <v>350</v>
      </c>
      <c r="E734" s="99" t="s">
        <v>657</v>
      </c>
      <c r="F734" s="100"/>
      <c r="G734" s="100"/>
      <c r="H734" s="100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ht="15.75" customHeight="1">
      <c r="A735" s="102"/>
      <c r="B735" s="124" t="s">
        <v>96</v>
      </c>
      <c r="C735" s="107" t="s">
        <v>97</v>
      </c>
      <c r="D735" s="97">
        <f>50+325</f>
        <v>375</v>
      </c>
      <c r="E735" s="99" t="s">
        <v>656</v>
      </c>
      <c r="F735" s="100"/>
      <c r="G735" s="100"/>
      <c r="H735" s="100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ht="15.75" customHeight="1">
      <c r="A736" s="102"/>
      <c r="B736" s="72" t="s">
        <v>33</v>
      </c>
      <c r="C736" s="108" t="s">
        <v>34</v>
      </c>
      <c r="D736" s="97">
        <v>150.0</v>
      </c>
      <c r="E736" s="100"/>
      <c r="F736" s="100"/>
      <c r="G736" s="100"/>
      <c r="H736" s="100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ht="15.75" customHeight="1">
      <c r="A737" s="102"/>
      <c r="B737" s="124" t="s">
        <v>47</v>
      </c>
      <c r="C737" s="217" t="s">
        <v>48</v>
      </c>
      <c r="D737" s="97">
        <v>350.0</v>
      </c>
      <c r="E737" s="219" t="s">
        <v>654</v>
      </c>
      <c r="F737" s="217"/>
      <c r="G737" s="100"/>
      <c r="H737" s="100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ht="15.75" customHeight="1">
      <c r="A738" s="102"/>
      <c r="B738" s="124" t="s">
        <v>47</v>
      </c>
      <c r="C738" s="217" t="s">
        <v>48</v>
      </c>
      <c r="D738" s="97">
        <v>400.0</v>
      </c>
      <c r="E738" s="99" t="s">
        <v>653</v>
      </c>
      <c r="F738" s="100"/>
      <c r="G738" s="100"/>
      <c r="H738" s="100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ht="15.75" customHeight="1">
      <c r="A739" s="102"/>
      <c r="B739" s="72" t="s">
        <v>69</v>
      </c>
      <c r="C739" s="73" t="s">
        <v>70</v>
      </c>
      <c r="D739" s="97">
        <v>16500.0</v>
      </c>
      <c r="E739" s="100"/>
      <c r="F739" s="100"/>
      <c r="G739" s="100"/>
      <c r="H739" s="100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ht="15.75" customHeight="1">
      <c r="A740" s="102"/>
      <c r="B740" s="72" t="s">
        <v>74</v>
      </c>
      <c r="C740" s="73" t="s">
        <v>75</v>
      </c>
      <c r="D740" s="97">
        <v>6400.0</v>
      </c>
      <c r="E740" s="100"/>
      <c r="F740" s="100"/>
      <c r="G740" s="100"/>
      <c r="H740" s="100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ht="15.75" customHeight="1">
      <c r="A741" s="102"/>
      <c r="B741" s="113" t="s">
        <v>217</v>
      </c>
      <c r="C741" s="112" t="s">
        <v>218</v>
      </c>
      <c r="D741" s="97">
        <v>36.0</v>
      </c>
      <c r="E741" s="100"/>
      <c r="F741" s="100"/>
      <c r="G741" s="100"/>
      <c r="H741" s="100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ht="15.75" customHeight="1">
      <c r="A742" s="102"/>
      <c r="B742" s="113" t="s">
        <v>219</v>
      </c>
      <c r="C742" s="122" t="s">
        <v>220</v>
      </c>
      <c r="D742" s="97">
        <v>108.0</v>
      </c>
      <c r="E742" s="100"/>
      <c r="F742" s="100"/>
      <c r="G742" s="100"/>
      <c r="H742" s="100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ht="15.75" customHeight="1">
      <c r="A743" s="102"/>
      <c r="B743" s="125" t="s">
        <v>225</v>
      </c>
      <c r="C743" s="64" t="s">
        <v>226</v>
      </c>
      <c r="D743" s="97">
        <v>162.0</v>
      </c>
      <c r="E743" s="100"/>
      <c r="F743" s="100"/>
      <c r="G743" s="100"/>
      <c r="H743" s="100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ht="15.75" customHeight="1">
      <c r="A744" s="102"/>
      <c r="B744" s="76" t="s">
        <v>227</v>
      </c>
      <c r="C744" s="112" t="s">
        <v>228</v>
      </c>
      <c r="D744" s="97">
        <v>150.0</v>
      </c>
      <c r="E744" s="100"/>
      <c r="F744" s="100"/>
      <c r="G744" s="100"/>
      <c r="H744" s="100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ht="15.75" customHeight="1">
      <c r="A745" s="102"/>
      <c r="B745" s="136"/>
      <c r="C745" s="205"/>
      <c r="D745" s="102"/>
      <c r="E745" s="100"/>
      <c r="F745" s="100"/>
      <c r="G745" s="100"/>
      <c r="H745" s="100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ht="15.75" customHeight="1">
      <c r="A746" s="96">
        <v>45814.0</v>
      </c>
      <c r="B746" s="124" t="s">
        <v>47</v>
      </c>
      <c r="C746" s="217" t="s">
        <v>48</v>
      </c>
      <c r="D746" s="97">
        <v>175.0</v>
      </c>
      <c r="E746" s="219" t="s">
        <v>654</v>
      </c>
      <c r="F746" s="100"/>
      <c r="G746" s="100"/>
      <c r="H746" s="100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ht="15.75" customHeight="1">
      <c r="A747" s="102"/>
      <c r="B747" s="124" t="s">
        <v>47</v>
      </c>
      <c r="C747" s="217" t="s">
        <v>48</v>
      </c>
      <c r="D747" s="97">
        <v>200.0</v>
      </c>
      <c r="E747" s="99" t="s">
        <v>653</v>
      </c>
      <c r="F747" s="100"/>
      <c r="G747" s="100"/>
      <c r="H747" s="100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ht="15.75" customHeight="1">
      <c r="A748" s="102"/>
      <c r="B748" s="124" t="s">
        <v>96</v>
      </c>
      <c r="C748" s="107" t="s">
        <v>97</v>
      </c>
      <c r="D748" s="97">
        <v>250.0</v>
      </c>
      <c r="E748" s="99" t="s">
        <v>657</v>
      </c>
      <c r="F748" s="100"/>
      <c r="G748" s="100"/>
      <c r="H748" s="100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ht="15.75" customHeight="1">
      <c r="A749" s="102"/>
      <c r="B749" s="124" t="s">
        <v>96</v>
      </c>
      <c r="C749" s="107" t="s">
        <v>97</v>
      </c>
      <c r="D749" s="97">
        <v>700.0</v>
      </c>
      <c r="E749" s="99" t="s">
        <v>656</v>
      </c>
      <c r="F749" s="100"/>
      <c r="G749" s="100"/>
      <c r="H749" s="100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ht="15.75" customHeight="1">
      <c r="A750" s="102"/>
      <c r="B750" s="72" t="s">
        <v>74</v>
      </c>
      <c r="C750" s="73" t="s">
        <v>75</v>
      </c>
      <c r="D750" s="97">
        <v>12800.0</v>
      </c>
      <c r="E750" s="100"/>
      <c r="F750" s="100"/>
      <c r="G750" s="100"/>
      <c r="H750" s="100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ht="15.75" customHeight="1">
      <c r="A751" s="102"/>
      <c r="B751" s="76" t="s">
        <v>227</v>
      </c>
      <c r="C751" s="112" t="s">
        <v>228</v>
      </c>
      <c r="D751" s="97">
        <v>166.0</v>
      </c>
      <c r="E751" s="100"/>
      <c r="F751" s="100"/>
      <c r="G751" s="100"/>
      <c r="H751" s="100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ht="15.75" customHeight="1">
      <c r="A752" s="102"/>
      <c r="B752" s="76" t="s">
        <v>219</v>
      </c>
      <c r="C752" s="122" t="s">
        <v>220</v>
      </c>
      <c r="D752" s="97">
        <v>164.0</v>
      </c>
      <c r="E752" s="100"/>
      <c r="F752" s="100"/>
      <c r="G752" s="100"/>
      <c r="H752" s="100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ht="15.75" customHeight="1">
      <c r="A753" s="102"/>
      <c r="B753" s="40" t="s">
        <v>221</v>
      </c>
      <c r="C753" s="123" t="s">
        <v>222</v>
      </c>
      <c r="D753" s="97">
        <v>294.0</v>
      </c>
      <c r="E753" s="100"/>
      <c r="F753" s="100"/>
      <c r="G753" s="100"/>
      <c r="H753" s="100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ht="15.75" customHeight="1">
      <c r="A754" s="102"/>
      <c r="B754" s="125" t="s">
        <v>295</v>
      </c>
      <c r="C754" s="125" t="s">
        <v>296</v>
      </c>
      <c r="D754" s="97">
        <v>13.0</v>
      </c>
      <c r="E754" s="100"/>
      <c r="F754" s="100"/>
      <c r="G754" s="100"/>
      <c r="H754" s="100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ht="15.75" customHeight="1">
      <c r="A755" s="102"/>
      <c r="B755" s="31" t="s">
        <v>327</v>
      </c>
      <c r="C755" s="31" t="s">
        <v>328</v>
      </c>
      <c r="D755" s="97">
        <v>8.0</v>
      </c>
      <c r="E755" s="100"/>
      <c r="F755" s="100"/>
      <c r="G755" s="100"/>
      <c r="H755" s="100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ht="15.75" customHeight="1">
      <c r="A756" s="102"/>
      <c r="B756" s="136"/>
      <c r="C756" s="205"/>
      <c r="D756" s="102"/>
      <c r="E756" s="100"/>
      <c r="F756" s="100"/>
      <c r="G756" s="100"/>
      <c r="H756" s="100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ht="15.75" customHeight="1">
      <c r="A757" s="96">
        <v>45815.0</v>
      </c>
      <c r="B757" s="124" t="s">
        <v>96</v>
      </c>
      <c r="C757" s="107" t="s">
        <v>97</v>
      </c>
      <c r="D757" s="97">
        <v>200.0</v>
      </c>
      <c r="E757" s="99" t="s">
        <v>657</v>
      </c>
      <c r="F757" s="100"/>
      <c r="G757" s="100"/>
      <c r="H757" s="100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ht="15.75" customHeight="1">
      <c r="A758" s="102"/>
      <c r="B758" s="124" t="s">
        <v>96</v>
      </c>
      <c r="C758" s="107" t="s">
        <v>97</v>
      </c>
      <c r="D758" s="97">
        <v>525.0</v>
      </c>
      <c r="E758" s="99" t="s">
        <v>656</v>
      </c>
      <c r="F758" s="100"/>
      <c r="G758" s="100"/>
      <c r="H758" s="100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ht="15.75" customHeight="1">
      <c r="A759" s="102"/>
      <c r="B759" s="76" t="s">
        <v>227</v>
      </c>
      <c r="C759" s="112" t="s">
        <v>228</v>
      </c>
      <c r="D759" s="97">
        <v>82.0</v>
      </c>
      <c r="E759" s="100"/>
      <c r="F759" s="100"/>
      <c r="G759" s="100"/>
      <c r="H759" s="100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ht="15.75" customHeight="1">
      <c r="A760" s="102"/>
      <c r="B760" s="125" t="s">
        <v>225</v>
      </c>
      <c r="C760" s="64" t="s">
        <v>226</v>
      </c>
      <c r="D760" s="97">
        <v>114.0</v>
      </c>
      <c r="E760" s="100"/>
      <c r="F760" s="100"/>
      <c r="G760" s="100"/>
      <c r="H760" s="100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ht="15.75" customHeight="1">
      <c r="A761" s="102"/>
      <c r="B761" s="72" t="s">
        <v>217</v>
      </c>
      <c r="C761" s="108" t="s">
        <v>218</v>
      </c>
      <c r="D761" s="97">
        <v>156.0</v>
      </c>
      <c r="E761" s="100"/>
      <c r="F761" s="100"/>
      <c r="G761" s="100"/>
      <c r="H761" s="100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ht="15.75" customHeight="1">
      <c r="A762" s="102"/>
      <c r="B762" s="125" t="s">
        <v>295</v>
      </c>
      <c r="C762" s="125" t="s">
        <v>296</v>
      </c>
      <c r="D762" s="97">
        <v>15.0</v>
      </c>
      <c r="E762" s="100"/>
      <c r="F762" s="100"/>
      <c r="G762" s="100"/>
      <c r="H762" s="100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ht="15.75" customHeight="1">
      <c r="A763" s="102"/>
      <c r="B763" s="31" t="s">
        <v>327</v>
      </c>
      <c r="C763" s="31" t="s">
        <v>328</v>
      </c>
      <c r="D763" s="97">
        <v>9.0</v>
      </c>
      <c r="E763" s="100"/>
      <c r="F763" s="100"/>
      <c r="G763" s="100"/>
      <c r="H763" s="100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ht="15.75" customHeight="1">
      <c r="A764" s="102"/>
      <c r="B764" s="124" t="s">
        <v>47</v>
      </c>
      <c r="C764" s="217" t="s">
        <v>48</v>
      </c>
      <c r="D764" s="97">
        <v>175.0</v>
      </c>
      <c r="E764" s="219" t="s">
        <v>654</v>
      </c>
      <c r="F764" s="100"/>
      <c r="G764" s="100"/>
      <c r="H764" s="100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ht="15.75" customHeight="1">
      <c r="A765" s="102"/>
      <c r="B765" s="124" t="s">
        <v>47</v>
      </c>
      <c r="C765" s="217" t="s">
        <v>48</v>
      </c>
      <c r="D765" s="97">
        <v>200.0</v>
      </c>
      <c r="E765" s="99" t="s">
        <v>653</v>
      </c>
      <c r="F765" s="100"/>
      <c r="G765" s="100"/>
      <c r="H765" s="100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ht="15.75" customHeight="1">
      <c r="A766" s="102"/>
      <c r="B766" s="125" t="s">
        <v>244</v>
      </c>
      <c r="C766" s="125" t="s">
        <v>245</v>
      </c>
      <c r="D766" s="97">
        <v>300.0</v>
      </c>
      <c r="E766" s="100"/>
      <c r="F766" s="100"/>
      <c r="G766" s="100"/>
      <c r="H766" s="100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ht="15.75" customHeight="1">
      <c r="A767" s="102"/>
      <c r="B767" s="125" t="s">
        <v>262</v>
      </c>
      <c r="C767" s="125" t="s">
        <v>263</v>
      </c>
      <c r="D767" s="97">
        <v>100.0</v>
      </c>
      <c r="E767" s="100"/>
      <c r="F767" s="100"/>
      <c r="G767" s="100"/>
      <c r="H767" s="100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ht="15.75" customHeight="1">
      <c r="A768" s="102"/>
      <c r="B768" s="136"/>
      <c r="C768" s="205"/>
      <c r="D768" s="102"/>
      <c r="E768" s="100"/>
      <c r="F768" s="100"/>
      <c r="G768" s="100"/>
      <c r="H768" s="100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ht="15.75" customHeight="1">
      <c r="A769" s="96">
        <v>45817.0</v>
      </c>
      <c r="B769" s="125" t="s">
        <v>295</v>
      </c>
      <c r="C769" s="125" t="s">
        <v>296</v>
      </c>
      <c r="D769" s="97">
        <f>5+28</f>
        <v>33</v>
      </c>
      <c r="E769" s="100"/>
      <c r="F769" s="100"/>
      <c r="G769" s="100"/>
      <c r="H769" s="100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ht="15.75" customHeight="1">
      <c r="A770" s="102"/>
      <c r="B770" s="31" t="s">
        <v>256</v>
      </c>
      <c r="C770" s="31" t="s">
        <v>257</v>
      </c>
      <c r="D770" s="97">
        <v>800.0</v>
      </c>
      <c r="E770" s="100"/>
      <c r="F770" s="100"/>
      <c r="G770" s="100"/>
      <c r="H770" s="100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ht="15.75" customHeight="1">
      <c r="A771" s="102"/>
      <c r="B771" s="125" t="s">
        <v>244</v>
      </c>
      <c r="C771" s="125" t="s">
        <v>245</v>
      </c>
      <c r="D771" s="97">
        <v>100.0</v>
      </c>
      <c r="E771" s="100"/>
      <c r="F771" s="100"/>
      <c r="G771" s="100"/>
      <c r="H771" s="100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ht="15.75" customHeight="1">
      <c r="A772" s="102"/>
      <c r="B772" s="72" t="s">
        <v>74</v>
      </c>
      <c r="C772" s="73" t="s">
        <v>75</v>
      </c>
      <c r="D772" s="97">
        <f>12000+1600</f>
        <v>13600</v>
      </c>
      <c r="E772" s="100"/>
      <c r="F772" s="100"/>
      <c r="G772" s="100"/>
      <c r="H772" s="100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ht="15.75" customHeight="1">
      <c r="A773" s="102"/>
      <c r="B773" s="124" t="s">
        <v>96</v>
      </c>
      <c r="C773" s="107" t="s">
        <v>97</v>
      </c>
      <c r="D773" s="102">
        <f>200+200</f>
        <v>400</v>
      </c>
      <c r="E773" s="99" t="s">
        <v>657</v>
      </c>
      <c r="F773" s="100"/>
      <c r="G773" s="100"/>
      <c r="H773" s="100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ht="15.75" customHeight="1">
      <c r="A774" s="102"/>
      <c r="B774" s="124" t="s">
        <v>96</v>
      </c>
      <c r="C774" s="107" t="s">
        <v>97</v>
      </c>
      <c r="D774" s="97">
        <v>700.0</v>
      </c>
      <c r="E774" s="99" t="s">
        <v>656</v>
      </c>
      <c r="F774" s="100"/>
      <c r="G774" s="100"/>
      <c r="H774" s="100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ht="15.75" customHeight="1">
      <c r="A775" s="102"/>
      <c r="B775" s="124" t="s">
        <v>47</v>
      </c>
      <c r="C775" s="217" t="s">
        <v>48</v>
      </c>
      <c r="D775" s="97">
        <v>350.0</v>
      </c>
      <c r="E775" s="219" t="s">
        <v>654</v>
      </c>
      <c r="F775" s="100"/>
      <c r="G775" s="100"/>
      <c r="H775" s="100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ht="15.75" customHeight="1">
      <c r="A776" s="102"/>
      <c r="B776" s="124" t="s">
        <v>47</v>
      </c>
      <c r="C776" s="217" t="s">
        <v>48</v>
      </c>
      <c r="D776" s="97">
        <v>400.0</v>
      </c>
      <c r="E776" s="99" t="s">
        <v>653</v>
      </c>
      <c r="F776" s="100"/>
      <c r="G776" s="100"/>
      <c r="H776" s="100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ht="15.75" customHeight="1">
      <c r="A777" s="102"/>
      <c r="B777" s="76" t="s">
        <v>217</v>
      </c>
      <c r="C777" s="112" t="s">
        <v>218</v>
      </c>
      <c r="D777" s="97">
        <v>102.0</v>
      </c>
      <c r="E777" s="100"/>
      <c r="F777" s="100"/>
      <c r="G777" s="100"/>
      <c r="H777" s="100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ht="15.75" customHeight="1">
      <c r="A778" s="102"/>
      <c r="B778" s="76" t="s">
        <v>219</v>
      </c>
      <c r="C778" s="122" t="s">
        <v>220</v>
      </c>
      <c r="D778" s="97">
        <v>150.0</v>
      </c>
      <c r="E778" s="100"/>
      <c r="F778" s="100"/>
      <c r="G778" s="100"/>
      <c r="H778" s="100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ht="15.75" customHeight="1">
      <c r="A779" s="102"/>
      <c r="B779" s="31" t="s">
        <v>327</v>
      </c>
      <c r="C779" s="31" t="s">
        <v>328</v>
      </c>
      <c r="D779" s="97">
        <v>16.0</v>
      </c>
      <c r="E779" s="100"/>
      <c r="F779" s="100"/>
      <c r="G779" s="100"/>
      <c r="H779" s="100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ht="15.75" customHeight="1">
      <c r="A780" s="102"/>
      <c r="B780" s="106" t="s">
        <v>61</v>
      </c>
      <c r="C780" s="107" t="s">
        <v>62</v>
      </c>
      <c r="D780" s="97">
        <v>75.0</v>
      </c>
      <c r="E780" s="99" t="s">
        <v>658</v>
      </c>
      <c r="F780" s="100"/>
      <c r="G780" s="100"/>
      <c r="H780" s="100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ht="15.75" customHeight="1">
      <c r="A781" s="102"/>
      <c r="B781" s="136"/>
      <c r="C781" s="205"/>
      <c r="D781" s="102"/>
      <c r="E781" s="100"/>
      <c r="F781" s="100"/>
      <c r="G781" s="100"/>
      <c r="H781" s="100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ht="15.75" customHeight="1">
      <c r="A782" s="96">
        <v>45818.0</v>
      </c>
      <c r="B782" s="124" t="s">
        <v>96</v>
      </c>
      <c r="C782" s="107" t="s">
        <v>97</v>
      </c>
      <c r="D782" s="102">
        <f>675</f>
        <v>675</v>
      </c>
      <c r="E782" s="99" t="s">
        <v>656</v>
      </c>
      <c r="F782" s="100"/>
      <c r="G782" s="100"/>
      <c r="H782" s="100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ht="15.75" customHeight="1">
      <c r="A783" s="102"/>
      <c r="B783" s="106" t="s">
        <v>61</v>
      </c>
      <c r="C783" s="107" t="s">
        <v>62</v>
      </c>
      <c r="D783" s="97">
        <v>300.0</v>
      </c>
      <c r="E783" s="100"/>
      <c r="F783" s="100"/>
      <c r="G783" s="100"/>
      <c r="H783" s="100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ht="15.75" customHeight="1">
      <c r="A784" s="102"/>
      <c r="B784" s="136"/>
      <c r="C784" s="31" t="s">
        <v>261</v>
      </c>
      <c r="D784" s="97">
        <v>50.0</v>
      </c>
      <c r="E784" s="100"/>
      <c r="F784" s="100"/>
      <c r="G784" s="100"/>
      <c r="H784" s="100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ht="15.75" customHeight="1">
      <c r="A785" s="102"/>
      <c r="B785" s="124" t="s">
        <v>47</v>
      </c>
      <c r="C785" s="217" t="s">
        <v>48</v>
      </c>
      <c r="D785" s="97">
        <f t="shared" ref="D785:D786" si="4">250+125</f>
        <v>375</v>
      </c>
      <c r="E785" s="219" t="s">
        <v>654</v>
      </c>
      <c r="F785" s="100"/>
      <c r="G785" s="100"/>
      <c r="H785" s="100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ht="15.75" customHeight="1">
      <c r="A786" s="102"/>
      <c r="B786" s="124" t="s">
        <v>47</v>
      </c>
      <c r="C786" s="217" t="s">
        <v>48</v>
      </c>
      <c r="D786" s="97">
        <f t="shared" si="4"/>
        <v>375</v>
      </c>
      <c r="E786" s="99" t="s">
        <v>653</v>
      </c>
      <c r="F786" s="100"/>
      <c r="G786" s="100"/>
      <c r="H786" s="100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ht="15.75" customHeight="1">
      <c r="A787" s="102"/>
      <c r="B787" s="125" t="s">
        <v>244</v>
      </c>
      <c r="C787" s="125" t="s">
        <v>245</v>
      </c>
      <c r="D787" s="97">
        <v>400.0</v>
      </c>
      <c r="E787" s="100"/>
      <c r="F787" s="100"/>
      <c r="G787" s="100"/>
      <c r="H787" s="100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ht="15.75" customHeight="1">
      <c r="A788" s="102"/>
      <c r="B788" s="76" t="s">
        <v>227</v>
      </c>
      <c r="C788" s="112" t="s">
        <v>228</v>
      </c>
      <c r="D788" s="97">
        <v>170.0</v>
      </c>
      <c r="E788" s="100"/>
      <c r="F788" s="100"/>
      <c r="G788" s="100"/>
      <c r="H788" s="100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ht="15.75" customHeight="1">
      <c r="A789" s="102"/>
      <c r="B789" s="76" t="s">
        <v>217</v>
      </c>
      <c r="C789" s="112" t="s">
        <v>218</v>
      </c>
      <c r="D789" s="97">
        <v>34.0</v>
      </c>
      <c r="E789" s="100"/>
      <c r="F789" s="100"/>
      <c r="G789" s="100"/>
      <c r="H789" s="100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ht="15.75" customHeight="1">
      <c r="A790" s="102"/>
      <c r="B790" s="76" t="s">
        <v>219</v>
      </c>
      <c r="C790" s="122" t="s">
        <v>220</v>
      </c>
      <c r="D790" s="97">
        <v>182.0</v>
      </c>
      <c r="E790" s="100"/>
      <c r="F790" s="100"/>
      <c r="G790" s="100"/>
      <c r="H790" s="100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ht="15.75" customHeight="1">
      <c r="A791" s="102"/>
      <c r="B791" s="40" t="s">
        <v>221</v>
      </c>
      <c r="C791" s="123" t="s">
        <v>222</v>
      </c>
      <c r="D791" s="97">
        <v>144.0</v>
      </c>
      <c r="E791" s="100"/>
      <c r="F791" s="100"/>
      <c r="G791" s="100"/>
      <c r="H791" s="100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ht="15.75" customHeight="1">
      <c r="A792" s="102"/>
      <c r="B792" s="125" t="s">
        <v>225</v>
      </c>
      <c r="C792" s="64" t="s">
        <v>226</v>
      </c>
      <c r="D792" s="97">
        <v>160.0</v>
      </c>
      <c r="E792" s="100"/>
      <c r="F792" s="100"/>
      <c r="G792" s="100"/>
      <c r="H792" s="100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ht="15.75" customHeight="1">
      <c r="A793" s="102"/>
      <c r="B793" s="136"/>
      <c r="C793" s="205"/>
      <c r="D793" s="102"/>
      <c r="E793" s="100"/>
      <c r="F793" s="100"/>
      <c r="G793" s="100"/>
      <c r="H793" s="100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ht="15.75" customHeight="1">
      <c r="A794" s="96">
        <v>45819.0</v>
      </c>
      <c r="B794" s="124" t="s">
        <v>96</v>
      </c>
      <c r="C794" s="107" t="s">
        <v>97</v>
      </c>
      <c r="D794" s="102">
        <f>600</f>
        <v>600</v>
      </c>
      <c r="E794" s="99" t="s">
        <v>656</v>
      </c>
      <c r="F794" s="100"/>
      <c r="G794" s="100"/>
      <c r="H794" s="100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ht="15.75" customHeight="1">
      <c r="A795" s="102"/>
      <c r="B795" s="106" t="s">
        <v>61</v>
      </c>
      <c r="C795" s="107" t="s">
        <v>62</v>
      </c>
      <c r="D795" s="97">
        <v>300.0</v>
      </c>
      <c r="E795" s="100"/>
      <c r="F795" s="100"/>
      <c r="G795" s="100"/>
      <c r="H795" s="100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ht="15.75" customHeight="1">
      <c r="A796" s="102"/>
      <c r="B796" s="124" t="s">
        <v>47</v>
      </c>
      <c r="C796" s="217" t="s">
        <v>48</v>
      </c>
      <c r="D796" s="97">
        <f t="shared" ref="D796:D797" si="5">125+250</f>
        <v>375</v>
      </c>
      <c r="E796" s="219" t="s">
        <v>654</v>
      </c>
      <c r="F796" s="100"/>
      <c r="G796" s="100"/>
      <c r="H796" s="100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ht="15.75" customHeight="1">
      <c r="A797" s="102"/>
      <c r="B797" s="124" t="s">
        <v>47</v>
      </c>
      <c r="C797" s="217" t="s">
        <v>48</v>
      </c>
      <c r="D797" s="97">
        <f t="shared" si="5"/>
        <v>375</v>
      </c>
      <c r="E797" s="99" t="s">
        <v>653</v>
      </c>
      <c r="F797" s="100"/>
      <c r="G797" s="100"/>
      <c r="H797" s="100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ht="15.75" customHeight="1">
      <c r="A798" s="102"/>
      <c r="B798" s="72" t="s">
        <v>659</v>
      </c>
      <c r="C798" s="108" t="s">
        <v>660</v>
      </c>
      <c r="D798" s="97">
        <v>2500.0</v>
      </c>
      <c r="E798" s="100"/>
      <c r="F798" s="100"/>
      <c r="G798" s="100"/>
      <c r="H798" s="100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ht="15.75" customHeight="1">
      <c r="A799" s="102"/>
      <c r="B799" s="31" t="s">
        <v>327</v>
      </c>
      <c r="C799" s="31" t="s">
        <v>328</v>
      </c>
      <c r="D799" s="97">
        <v>20.0</v>
      </c>
      <c r="E799" s="100"/>
      <c r="F799" s="100"/>
      <c r="G799" s="100"/>
      <c r="H799" s="100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ht="15.75" customHeight="1">
      <c r="A800" s="102"/>
      <c r="B800" s="125" t="s">
        <v>295</v>
      </c>
      <c r="C800" s="125" t="s">
        <v>296</v>
      </c>
      <c r="D800" s="97">
        <v>20.0</v>
      </c>
      <c r="E800" s="100"/>
      <c r="F800" s="100"/>
      <c r="G800" s="100"/>
      <c r="H800" s="100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ht="15.75" customHeight="1">
      <c r="A801" s="102"/>
      <c r="B801" s="76" t="s">
        <v>227</v>
      </c>
      <c r="C801" s="112" t="s">
        <v>228</v>
      </c>
      <c r="D801" s="97">
        <v>202.0</v>
      </c>
      <c r="E801" s="100"/>
      <c r="F801" s="100"/>
      <c r="G801" s="100"/>
      <c r="H801" s="100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ht="15.75" customHeight="1">
      <c r="A802" s="102"/>
      <c r="B802" s="76" t="s">
        <v>219</v>
      </c>
      <c r="C802" s="122" t="s">
        <v>220</v>
      </c>
      <c r="D802" s="97">
        <v>154.0</v>
      </c>
      <c r="E802" s="100"/>
      <c r="F802" s="100"/>
      <c r="G802" s="100"/>
      <c r="H802" s="100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ht="15.75" customHeight="1">
      <c r="A803" s="102"/>
      <c r="B803" s="125" t="s">
        <v>225</v>
      </c>
      <c r="C803" s="64" t="s">
        <v>226</v>
      </c>
      <c r="D803" s="97">
        <v>160.0</v>
      </c>
      <c r="E803" s="100"/>
      <c r="F803" s="100"/>
      <c r="G803" s="100"/>
      <c r="H803" s="100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ht="15.75" customHeight="1">
      <c r="A804" s="102"/>
      <c r="B804" s="114"/>
      <c r="C804" s="31" t="s">
        <v>261</v>
      </c>
      <c r="D804" s="97">
        <v>50.0</v>
      </c>
      <c r="E804" s="100"/>
      <c r="F804" s="100"/>
      <c r="G804" s="100"/>
      <c r="H804" s="100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ht="15.75" customHeight="1">
      <c r="A805" s="102"/>
      <c r="B805" s="114"/>
      <c r="C805" s="115"/>
      <c r="D805" s="102"/>
      <c r="E805" s="100"/>
      <c r="F805" s="100"/>
      <c r="G805" s="100"/>
      <c r="H805" s="100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ht="15.75" customHeight="1">
      <c r="A806" s="96">
        <v>45820.0</v>
      </c>
      <c r="B806" s="124" t="s">
        <v>47</v>
      </c>
      <c r="C806" s="217" t="s">
        <v>48</v>
      </c>
      <c r="D806" s="97">
        <f t="shared" ref="D806:D807" si="6">250+125</f>
        <v>375</v>
      </c>
      <c r="E806" s="219" t="s">
        <v>654</v>
      </c>
      <c r="F806" s="100"/>
      <c r="G806" s="100"/>
      <c r="H806" s="100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ht="15.75" customHeight="1">
      <c r="A807" s="102"/>
      <c r="B807" s="124" t="s">
        <v>47</v>
      </c>
      <c r="C807" s="217" t="s">
        <v>48</v>
      </c>
      <c r="D807" s="97">
        <f t="shared" si="6"/>
        <v>375</v>
      </c>
      <c r="E807" s="99" t="s">
        <v>653</v>
      </c>
      <c r="F807" s="100"/>
      <c r="G807" s="100"/>
      <c r="H807" s="100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ht="15.75" customHeight="1">
      <c r="A808" s="102"/>
      <c r="B808" s="124" t="s">
        <v>96</v>
      </c>
      <c r="C808" s="107" t="s">
        <v>97</v>
      </c>
      <c r="D808" s="97">
        <v>550.0</v>
      </c>
      <c r="E808" s="99" t="s">
        <v>656</v>
      </c>
      <c r="F808" s="100"/>
      <c r="G808" s="100"/>
      <c r="H808" s="100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ht="15.75" customHeight="1">
      <c r="A809" s="102"/>
      <c r="B809" s="106" t="s">
        <v>61</v>
      </c>
      <c r="C809" s="107" t="s">
        <v>62</v>
      </c>
      <c r="D809" s="97">
        <v>150.0</v>
      </c>
      <c r="E809" s="100"/>
      <c r="F809" s="100"/>
      <c r="G809" s="100"/>
      <c r="H809" s="100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ht="15.75" customHeight="1">
      <c r="A810" s="102"/>
      <c r="B810" s="125" t="s">
        <v>295</v>
      </c>
      <c r="C810" s="125" t="s">
        <v>296</v>
      </c>
      <c r="D810" s="97">
        <v>11.0</v>
      </c>
      <c r="E810" s="100"/>
      <c r="F810" s="100"/>
      <c r="G810" s="100"/>
      <c r="H810" s="100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ht="15.75" customHeight="1">
      <c r="A811" s="102"/>
      <c r="B811" s="125" t="s">
        <v>299</v>
      </c>
      <c r="C811" s="125" t="s">
        <v>300</v>
      </c>
      <c r="D811" s="97">
        <v>15.0</v>
      </c>
      <c r="E811" s="100"/>
      <c r="F811" s="100"/>
      <c r="G811" s="100"/>
      <c r="H811" s="100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ht="15.75" customHeight="1">
      <c r="A812" s="102"/>
      <c r="B812" s="76" t="s">
        <v>219</v>
      </c>
      <c r="C812" s="122" t="s">
        <v>220</v>
      </c>
      <c r="D812" s="97">
        <v>196.0</v>
      </c>
      <c r="E812" s="100"/>
      <c r="F812" s="100"/>
      <c r="G812" s="100"/>
      <c r="H812" s="100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ht="15.75" customHeight="1">
      <c r="A813" s="102"/>
      <c r="B813" s="125" t="s">
        <v>225</v>
      </c>
      <c r="C813" s="64" t="s">
        <v>226</v>
      </c>
      <c r="D813" s="97">
        <v>160.0</v>
      </c>
      <c r="E813" s="100"/>
      <c r="F813" s="100"/>
      <c r="G813" s="100"/>
      <c r="H813" s="100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ht="15.75" customHeight="1">
      <c r="A814" s="102"/>
      <c r="B814" s="113" t="s">
        <v>217</v>
      </c>
      <c r="C814" s="112" t="s">
        <v>218</v>
      </c>
      <c r="D814" s="97">
        <v>150.0</v>
      </c>
      <c r="E814" s="100"/>
      <c r="F814" s="100"/>
      <c r="G814" s="100"/>
      <c r="H814" s="100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ht="15.75" customHeight="1">
      <c r="A815" s="102"/>
      <c r="B815" s="125" t="s">
        <v>221</v>
      </c>
      <c r="C815" s="129" t="s">
        <v>222</v>
      </c>
      <c r="D815" s="97">
        <v>134.0</v>
      </c>
      <c r="E815" s="100"/>
      <c r="F815" s="100"/>
      <c r="G815" s="100"/>
      <c r="H815" s="100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ht="15.75" customHeight="1">
      <c r="A816" s="102"/>
      <c r="B816" s="114"/>
      <c r="C816" s="115"/>
      <c r="D816" s="102"/>
      <c r="E816" s="100"/>
      <c r="F816" s="100"/>
      <c r="G816" s="100"/>
      <c r="H816" s="100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ht="15.75" customHeight="1">
      <c r="A817" s="96">
        <v>45821.0</v>
      </c>
      <c r="B817" s="124" t="s">
        <v>96</v>
      </c>
      <c r="C817" s="107" t="s">
        <v>97</v>
      </c>
      <c r="D817" s="102">
        <f>575</f>
        <v>575</v>
      </c>
      <c r="E817" s="99" t="s">
        <v>656</v>
      </c>
      <c r="F817" s="100"/>
      <c r="G817" s="100"/>
      <c r="H817" s="100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ht="15.75" customHeight="1">
      <c r="A818" s="102"/>
      <c r="B818" s="124" t="s">
        <v>47</v>
      </c>
      <c r="C818" s="217" t="s">
        <v>48</v>
      </c>
      <c r="D818" s="102">
        <f>250+200</f>
        <v>450</v>
      </c>
      <c r="E818" s="219" t="s">
        <v>654</v>
      </c>
      <c r="F818" s="100"/>
      <c r="G818" s="100"/>
      <c r="H818" s="100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ht="15.75" customHeight="1">
      <c r="A819" s="102"/>
      <c r="B819" s="124" t="s">
        <v>47</v>
      </c>
      <c r="C819" s="217" t="s">
        <v>48</v>
      </c>
      <c r="D819" s="97">
        <f>250+175</f>
        <v>425</v>
      </c>
      <c r="E819" s="99" t="s">
        <v>653</v>
      </c>
      <c r="F819" s="100"/>
      <c r="G819" s="100"/>
      <c r="H819" s="100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ht="15.75" customHeight="1">
      <c r="A820" s="102"/>
      <c r="B820" s="72" t="s">
        <v>640</v>
      </c>
      <c r="C820" s="212" t="s">
        <v>641</v>
      </c>
      <c r="D820" s="97">
        <v>50.0</v>
      </c>
      <c r="E820" s="100"/>
      <c r="F820" s="100"/>
      <c r="G820" s="100"/>
      <c r="H820" s="100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ht="15.75" customHeight="1">
      <c r="A821" s="102"/>
      <c r="B821" s="31" t="s">
        <v>327</v>
      </c>
      <c r="C821" s="31" t="s">
        <v>328</v>
      </c>
      <c r="D821" s="97">
        <v>12.0</v>
      </c>
      <c r="E821" s="100"/>
      <c r="F821" s="100"/>
      <c r="G821" s="100"/>
      <c r="H821" s="100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ht="15.75" customHeight="1">
      <c r="A822" s="102"/>
      <c r="B822" s="72" t="s">
        <v>88</v>
      </c>
      <c r="C822" s="116" t="s">
        <v>89</v>
      </c>
      <c r="D822" s="97">
        <v>5.0</v>
      </c>
      <c r="E822" s="100"/>
      <c r="F822" s="100"/>
      <c r="G822" s="100"/>
      <c r="H822" s="100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ht="15.75" customHeight="1">
      <c r="A823" s="102"/>
      <c r="B823" s="76" t="s">
        <v>227</v>
      </c>
      <c r="C823" s="112" t="s">
        <v>228</v>
      </c>
      <c r="D823" s="97">
        <v>320.0</v>
      </c>
      <c r="E823" s="100"/>
      <c r="F823" s="100"/>
      <c r="G823" s="100"/>
      <c r="H823" s="100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ht="15.75" customHeight="1">
      <c r="A824" s="102"/>
      <c r="B824" s="76" t="s">
        <v>219</v>
      </c>
      <c r="C824" s="122" t="s">
        <v>220</v>
      </c>
      <c r="D824" s="97">
        <v>134.0</v>
      </c>
      <c r="E824" s="100"/>
      <c r="F824" s="100"/>
      <c r="G824" s="100"/>
      <c r="H824" s="100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ht="15.75" customHeight="1">
      <c r="A825" s="102"/>
      <c r="B825" s="125" t="s">
        <v>225</v>
      </c>
      <c r="C825" s="64" t="s">
        <v>226</v>
      </c>
      <c r="D825" s="97">
        <v>328.0</v>
      </c>
      <c r="E825" s="100"/>
      <c r="F825" s="100"/>
      <c r="G825" s="100"/>
      <c r="H825" s="100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ht="15.75" customHeight="1">
      <c r="A826" s="102"/>
      <c r="B826" s="125" t="s">
        <v>244</v>
      </c>
      <c r="C826" s="125" t="s">
        <v>245</v>
      </c>
      <c r="D826" s="97">
        <v>500.0</v>
      </c>
      <c r="E826" s="100"/>
      <c r="F826" s="100"/>
      <c r="G826" s="100"/>
      <c r="H826" s="100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ht="15.75" customHeight="1">
      <c r="A827" s="102"/>
      <c r="B827" s="114"/>
      <c r="C827" s="115"/>
      <c r="D827" s="102"/>
      <c r="E827" s="100"/>
      <c r="F827" s="100"/>
      <c r="G827" s="100"/>
      <c r="H827" s="100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ht="15.75" customHeight="1">
      <c r="A828" s="96">
        <v>45822.0</v>
      </c>
      <c r="B828" s="31" t="s">
        <v>327</v>
      </c>
      <c r="C828" s="31" t="s">
        <v>328</v>
      </c>
      <c r="D828" s="97">
        <f>16+7</f>
        <v>23</v>
      </c>
      <c r="E828" s="100"/>
      <c r="F828" s="100"/>
      <c r="G828" s="100"/>
      <c r="H828" s="100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ht="15.75" customHeight="1">
      <c r="A829" s="102"/>
      <c r="B829" s="125" t="s">
        <v>244</v>
      </c>
      <c r="C829" s="125" t="s">
        <v>245</v>
      </c>
      <c r="D829" s="97">
        <f>100+600</f>
        <v>700</v>
      </c>
      <c r="E829" s="100"/>
      <c r="F829" s="100"/>
      <c r="G829" s="100"/>
      <c r="H829" s="100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ht="15.75" customHeight="1">
      <c r="A830" s="102"/>
      <c r="B830" s="124" t="s">
        <v>96</v>
      </c>
      <c r="C830" s="107" t="s">
        <v>97</v>
      </c>
      <c r="D830" s="97">
        <v>650.0</v>
      </c>
      <c r="E830" s="99" t="s">
        <v>656</v>
      </c>
      <c r="F830" s="100"/>
      <c r="G830" s="100"/>
      <c r="H830" s="100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ht="15.75" customHeight="1">
      <c r="A831" s="102"/>
      <c r="B831" s="124" t="s">
        <v>47</v>
      </c>
      <c r="C831" s="217" t="s">
        <v>48</v>
      </c>
      <c r="D831" s="97">
        <f t="shared" ref="D831:D832" si="7">125+250</f>
        <v>375</v>
      </c>
      <c r="E831" s="219" t="s">
        <v>654</v>
      </c>
      <c r="F831" s="100"/>
      <c r="G831" s="100"/>
      <c r="H831" s="100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ht="15.75" customHeight="1">
      <c r="A832" s="102"/>
      <c r="B832" s="124" t="s">
        <v>47</v>
      </c>
      <c r="C832" s="217" t="s">
        <v>48</v>
      </c>
      <c r="D832" s="97">
        <f t="shared" si="7"/>
        <v>375</v>
      </c>
      <c r="E832" s="99" t="s">
        <v>653</v>
      </c>
      <c r="F832" s="100"/>
      <c r="G832" s="100"/>
      <c r="H832" s="100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ht="15.75" customHeight="1">
      <c r="A833" s="102"/>
      <c r="B833" s="125" t="s">
        <v>295</v>
      </c>
      <c r="C833" s="125" t="s">
        <v>296</v>
      </c>
      <c r="D833" s="102">
        <f>7+5</f>
        <v>12</v>
      </c>
      <c r="E833" s="100"/>
      <c r="F833" s="100"/>
      <c r="G833" s="100"/>
      <c r="H833" s="100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ht="15.75" customHeight="1">
      <c r="A834" s="102"/>
      <c r="B834" s="124" t="s">
        <v>221</v>
      </c>
      <c r="C834" s="220" t="s">
        <v>222</v>
      </c>
      <c r="D834" s="97">
        <v>126.0</v>
      </c>
      <c r="E834" s="100"/>
      <c r="F834" s="100"/>
      <c r="G834" s="100"/>
      <c r="H834" s="100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ht="15.75" customHeight="1">
      <c r="A835" s="102"/>
      <c r="B835" s="76" t="s">
        <v>217</v>
      </c>
      <c r="C835" s="112" t="s">
        <v>218</v>
      </c>
      <c r="D835" s="97">
        <v>150.0</v>
      </c>
      <c r="E835" s="100"/>
      <c r="F835" s="100"/>
      <c r="G835" s="100"/>
      <c r="H835" s="100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ht="15.75" customHeight="1">
      <c r="A836" s="102"/>
      <c r="B836" s="72" t="s">
        <v>640</v>
      </c>
      <c r="C836" s="212" t="s">
        <v>641</v>
      </c>
      <c r="D836" s="97">
        <v>175.0</v>
      </c>
      <c r="E836" s="100"/>
      <c r="F836" s="100"/>
      <c r="G836" s="100"/>
      <c r="H836" s="100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ht="15.75" customHeight="1">
      <c r="A837" s="102"/>
      <c r="B837" s="136"/>
      <c r="C837" s="205"/>
      <c r="D837" s="102"/>
      <c r="E837" s="100"/>
      <c r="F837" s="100"/>
      <c r="G837" s="100"/>
      <c r="H837" s="100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ht="15.75" customHeight="1">
      <c r="A838" s="96">
        <v>45824.0</v>
      </c>
      <c r="B838" s="124" t="s">
        <v>96</v>
      </c>
      <c r="C838" s="107" t="s">
        <v>97</v>
      </c>
      <c r="D838" s="97">
        <v>575.0</v>
      </c>
      <c r="E838" s="99" t="s">
        <v>656</v>
      </c>
      <c r="F838" s="100"/>
      <c r="G838" s="100"/>
      <c r="H838" s="100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ht="15.75" customHeight="1">
      <c r="A839" s="102"/>
      <c r="B839" s="124" t="s">
        <v>47</v>
      </c>
      <c r="C839" s="217" t="s">
        <v>48</v>
      </c>
      <c r="D839" s="97">
        <f t="shared" ref="D839:D840" si="8">200+125</f>
        <v>325</v>
      </c>
      <c r="E839" s="219" t="s">
        <v>654</v>
      </c>
      <c r="F839" s="100"/>
      <c r="G839" s="100"/>
      <c r="H839" s="100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ht="15.75" customHeight="1">
      <c r="A840" s="102"/>
      <c r="B840" s="124" t="s">
        <v>47</v>
      </c>
      <c r="C840" s="217" t="s">
        <v>48</v>
      </c>
      <c r="D840" s="97">
        <f t="shared" si="8"/>
        <v>325</v>
      </c>
      <c r="E840" s="99" t="s">
        <v>653</v>
      </c>
      <c r="F840" s="100"/>
      <c r="G840" s="100"/>
      <c r="H840" s="100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ht="15.75" customHeight="1">
      <c r="A841" s="102"/>
      <c r="B841" s="72" t="s">
        <v>640</v>
      </c>
      <c r="C841" s="212" t="s">
        <v>641</v>
      </c>
      <c r="D841" s="97">
        <v>275.0</v>
      </c>
      <c r="E841" s="100"/>
      <c r="F841" s="100"/>
      <c r="G841" s="100"/>
      <c r="H841" s="100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ht="15.75" customHeight="1">
      <c r="A842" s="102"/>
      <c r="B842" s="125" t="s">
        <v>327</v>
      </c>
      <c r="C842" s="125" t="s">
        <v>328</v>
      </c>
      <c r="D842" s="97">
        <v>20.0</v>
      </c>
      <c r="E842" s="100"/>
      <c r="F842" s="100"/>
      <c r="G842" s="100"/>
      <c r="H842" s="100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ht="15.75" customHeight="1">
      <c r="A843" s="102"/>
      <c r="B843" s="125" t="s">
        <v>295</v>
      </c>
      <c r="C843" s="125" t="s">
        <v>296</v>
      </c>
      <c r="D843" s="102">
        <f>8+7</f>
        <v>15</v>
      </c>
      <c r="E843" s="100"/>
      <c r="F843" s="100"/>
      <c r="G843" s="100"/>
      <c r="H843" s="100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ht="15.75" customHeight="1">
      <c r="A844" s="102"/>
      <c r="B844" s="31" t="s">
        <v>256</v>
      </c>
      <c r="C844" s="31" t="s">
        <v>257</v>
      </c>
      <c r="D844" s="97">
        <v>800.0</v>
      </c>
      <c r="E844" s="100"/>
      <c r="F844" s="100"/>
      <c r="G844" s="100"/>
      <c r="H844" s="100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ht="15.75" customHeight="1">
      <c r="A845" s="102"/>
      <c r="B845" s="76" t="s">
        <v>217</v>
      </c>
      <c r="C845" s="112" t="s">
        <v>218</v>
      </c>
      <c r="D845" s="97">
        <v>250.0</v>
      </c>
      <c r="E845" s="100"/>
      <c r="F845" s="100"/>
      <c r="G845" s="100"/>
      <c r="H845" s="100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ht="15.75" customHeight="1">
      <c r="A846" s="102"/>
      <c r="B846" s="76" t="s">
        <v>219</v>
      </c>
      <c r="C846" s="122" t="s">
        <v>220</v>
      </c>
      <c r="D846" s="97">
        <v>160.0</v>
      </c>
      <c r="E846" s="100"/>
      <c r="F846" s="100"/>
      <c r="G846" s="100"/>
      <c r="H846" s="100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ht="15.75" customHeight="1">
      <c r="A847" s="102"/>
      <c r="B847" s="40" t="s">
        <v>221</v>
      </c>
      <c r="C847" s="123" t="s">
        <v>222</v>
      </c>
      <c r="D847" s="97">
        <v>198.0</v>
      </c>
      <c r="E847" s="100"/>
      <c r="F847" s="100"/>
      <c r="G847" s="100"/>
      <c r="H847" s="100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ht="15.75" customHeight="1">
      <c r="A848" s="102"/>
      <c r="B848" s="136"/>
      <c r="C848" s="205"/>
      <c r="D848" s="102"/>
      <c r="E848" s="100"/>
      <c r="F848" s="100"/>
      <c r="G848" s="100"/>
      <c r="H848" s="100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ht="15.75" customHeight="1">
      <c r="A849" s="96">
        <v>45825.0</v>
      </c>
      <c r="B849" s="125" t="s">
        <v>327</v>
      </c>
      <c r="C849" s="125" t="s">
        <v>328</v>
      </c>
      <c r="D849" s="97">
        <v>7.0</v>
      </c>
      <c r="E849" s="100"/>
      <c r="F849" s="100"/>
      <c r="G849" s="100"/>
      <c r="H849" s="100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ht="15.75" customHeight="1">
      <c r="A850" s="102"/>
      <c r="B850" s="125" t="s">
        <v>295</v>
      </c>
      <c r="C850" s="125" t="s">
        <v>296</v>
      </c>
      <c r="D850" s="97">
        <v>21.0</v>
      </c>
      <c r="E850" s="100"/>
      <c r="F850" s="100"/>
      <c r="G850" s="100"/>
      <c r="H850" s="100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ht="15.75" customHeight="1">
      <c r="A851" s="102"/>
      <c r="B851" s="40" t="s">
        <v>96</v>
      </c>
      <c r="C851" s="64" t="s">
        <v>97</v>
      </c>
      <c r="D851" s="97">
        <v>900.0</v>
      </c>
      <c r="E851" s="99" t="s">
        <v>656</v>
      </c>
      <c r="F851" s="100"/>
      <c r="G851" s="100"/>
      <c r="H851" s="100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ht="15.75" customHeight="1">
      <c r="A852" s="102"/>
      <c r="B852" s="76" t="s">
        <v>640</v>
      </c>
      <c r="C852" s="54" t="s">
        <v>641</v>
      </c>
      <c r="D852" s="97">
        <v>150.0</v>
      </c>
      <c r="E852" s="100"/>
      <c r="F852" s="100"/>
      <c r="G852" s="100"/>
      <c r="H852" s="100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ht="15.75" customHeight="1">
      <c r="A853" s="102"/>
      <c r="B853" s="124" t="s">
        <v>47</v>
      </c>
      <c r="C853" s="217" t="s">
        <v>48</v>
      </c>
      <c r="D853" s="97">
        <v>300.0</v>
      </c>
      <c r="E853" s="219" t="s">
        <v>654</v>
      </c>
      <c r="F853" s="100"/>
      <c r="G853" s="100"/>
      <c r="H853" s="100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ht="15.75" customHeight="1">
      <c r="A854" s="102"/>
      <c r="B854" s="124" t="s">
        <v>47</v>
      </c>
      <c r="C854" s="217" t="s">
        <v>48</v>
      </c>
      <c r="D854" s="97">
        <v>325.0</v>
      </c>
      <c r="E854" s="99" t="s">
        <v>653</v>
      </c>
      <c r="F854" s="100"/>
      <c r="G854" s="100"/>
      <c r="H854" s="100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ht="15.75" customHeight="1">
      <c r="A855" s="102"/>
      <c r="B855" s="76" t="s">
        <v>217</v>
      </c>
      <c r="C855" s="112" t="s">
        <v>218</v>
      </c>
      <c r="D855" s="97">
        <v>184.0</v>
      </c>
      <c r="E855" s="100"/>
      <c r="F855" s="100"/>
      <c r="G855" s="100"/>
      <c r="H855" s="100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ht="15.75" customHeight="1">
      <c r="A856" s="102"/>
      <c r="B856" s="76" t="s">
        <v>219</v>
      </c>
      <c r="C856" s="122" t="s">
        <v>220</v>
      </c>
      <c r="D856" s="97">
        <v>88.0</v>
      </c>
      <c r="E856" s="100"/>
      <c r="F856" s="100"/>
      <c r="G856" s="100"/>
      <c r="H856" s="100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ht="15.75" customHeight="1">
      <c r="A857" s="102"/>
      <c r="B857" s="40" t="s">
        <v>221</v>
      </c>
      <c r="C857" s="123" t="s">
        <v>222</v>
      </c>
      <c r="D857" s="97">
        <v>138.0</v>
      </c>
      <c r="E857" s="100"/>
      <c r="F857" s="100"/>
      <c r="G857" s="100"/>
      <c r="H857" s="100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ht="15.75" customHeight="1">
      <c r="A858" s="102"/>
      <c r="B858" s="125" t="s">
        <v>225</v>
      </c>
      <c r="C858" s="64" t="s">
        <v>226</v>
      </c>
      <c r="D858" s="97">
        <v>84.0</v>
      </c>
      <c r="E858" s="100"/>
      <c r="F858" s="100"/>
      <c r="G858" s="100"/>
      <c r="H858" s="100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ht="15.75" customHeight="1">
      <c r="A859" s="102"/>
      <c r="B859" s="114"/>
      <c r="C859" s="115"/>
      <c r="D859" s="102"/>
      <c r="E859" s="100"/>
      <c r="F859" s="100"/>
      <c r="G859" s="100"/>
      <c r="H859" s="100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ht="15.75" customHeight="1">
      <c r="A860" s="96">
        <v>45826.0</v>
      </c>
      <c r="B860" s="124" t="s">
        <v>47</v>
      </c>
      <c r="C860" s="217" t="s">
        <v>48</v>
      </c>
      <c r="D860" s="97">
        <v>250.0</v>
      </c>
      <c r="E860" s="219" t="s">
        <v>654</v>
      </c>
      <c r="F860" s="100"/>
      <c r="G860" s="100"/>
      <c r="H860" s="100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ht="15.75" customHeight="1">
      <c r="A861" s="102"/>
      <c r="B861" s="124" t="s">
        <v>47</v>
      </c>
      <c r="C861" s="217" t="s">
        <v>48</v>
      </c>
      <c r="D861" s="97">
        <v>275.0</v>
      </c>
      <c r="E861" s="99" t="s">
        <v>653</v>
      </c>
      <c r="F861" s="100"/>
      <c r="G861" s="100"/>
      <c r="H861" s="100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ht="15.75" customHeight="1">
      <c r="A862" s="102"/>
      <c r="B862" s="113" t="s">
        <v>219</v>
      </c>
      <c r="C862" s="122" t="s">
        <v>220</v>
      </c>
      <c r="D862" s="97">
        <v>80.0</v>
      </c>
      <c r="E862" s="100"/>
      <c r="F862" s="100"/>
      <c r="G862" s="100"/>
      <c r="H862" s="100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ht="15.75" customHeight="1">
      <c r="A863" s="102"/>
      <c r="B863" s="125" t="s">
        <v>225</v>
      </c>
      <c r="C863" s="64" t="s">
        <v>226</v>
      </c>
      <c r="D863" s="97">
        <v>50.0</v>
      </c>
      <c r="E863" s="100"/>
      <c r="F863" s="100"/>
      <c r="G863" s="100"/>
      <c r="H863" s="100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ht="15.75" customHeight="1">
      <c r="A864" s="102"/>
      <c r="B864" s="114"/>
      <c r="C864" s="115"/>
      <c r="D864" s="102"/>
      <c r="E864" s="100"/>
      <c r="F864" s="100"/>
      <c r="G864" s="100"/>
      <c r="H864" s="100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ht="15.75" customHeight="1">
      <c r="A865" s="96">
        <v>45827.0</v>
      </c>
      <c r="B865" s="124" t="s">
        <v>47</v>
      </c>
      <c r="C865" s="217" t="s">
        <v>48</v>
      </c>
      <c r="D865" s="97">
        <v>300.0</v>
      </c>
      <c r="E865" s="219" t="s">
        <v>654</v>
      </c>
      <c r="F865" s="100"/>
      <c r="G865" s="100"/>
      <c r="H865" s="100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ht="15.75" customHeight="1">
      <c r="A866" s="102"/>
      <c r="B866" s="124" t="s">
        <v>47</v>
      </c>
      <c r="C866" s="217" t="s">
        <v>48</v>
      </c>
      <c r="D866" s="97">
        <v>325.0</v>
      </c>
      <c r="E866" s="99" t="s">
        <v>653</v>
      </c>
      <c r="F866" s="100"/>
      <c r="G866" s="100"/>
      <c r="H866" s="100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ht="15.75" customHeight="1">
      <c r="A867" s="102"/>
      <c r="B867" s="72" t="s">
        <v>33</v>
      </c>
      <c r="C867" s="108" t="s">
        <v>34</v>
      </c>
      <c r="D867" s="102">
        <f>525</f>
        <v>525</v>
      </c>
      <c r="E867" s="100"/>
      <c r="F867" s="100"/>
      <c r="G867" s="100"/>
      <c r="H867" s="100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ht="15.75" customHeight="1">
      <c r="A868" s="102"/>
      <c r="B868" s="125" t="s">
        <v>327</v>
      </c>
      <c r="C868" s="125" t="s">
        <v>328</v>
      </c>
      <c r="D868" s="97">
        <v>25.0</v>
      </c>
      <c r="E868" s="100"/>
      <c r="F868" s="100"/>
      <c r="G868" s="100"/>
      <c r="H868" s="100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ht="15.75" customHeight="1">
      <c r="A869" s="102"/>
      <c r="B869" s="125" t="s">
        <v>295</v>
      </c>
      <c r="C869" s="125" t="s">
        <v>296</v>
      </c>
      <c r="D869" s="97">
        <v>5.0</v>
      </c>
      <c r="E869" s="100"/>
      <c r="F869" s="100"/>
      <c r="G869" s="100"/>
      <c r="H869" s="100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ht="15.75" customHeight="1">
      <c r="A870" s="102"/>
      <c r="B870" s="76" t="s">
        <v>227</v>
      </c>
      <c r="C870" s="112" t="s">
        <v>228</v>
      </c>
      <c r="D870" s="97">
        <v>190.0</v>
      </c>
      <c r="E870" s="100"/>
      <c r="F870" s="100"/>
      <c r="G870" s="100"/>
      <c r="H870" s="100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ht="15.75" customHeight="1">
      <c r="A871" s="102"/>
      <c r="B871" s="76" t="s">
        <v>217</v>
      </c>
      <c r="C871" s="112" t="s">
        <v>218</v>
      </c>
      <c r="D871" s="97">
        <v>18.0</v>
      </c>
      <c r="E871" s="100"/>
      <c r="F871" s="100"/>
      <c r="G871" s="100"/>
      <c r="H871" s="100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ht="15.75" customHeight="1">
      <c r="A872" s="102"/>
      <c r="B872" s="76" t="s">
        <v>219</v>
      </c>
      <c r="C872" s="122" t="s">
        <v>220</v>
      </c>
      <c r="D872" s="97">
        <v>340.0</v>
      </c>
      <c r="E872" s="100"/>
      <c r="F872" s="100"/>
      <c r="G872" s="100"/>
      <c r="H872" s="100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ht="15.75" customHeight="1">
      <c r="A873" s="102"/>
      <c r="B873" s="40" t="s">
        <v>221</v>
      </c>
      <c r="C873" s="123" t="s">
        <v>222</v>
      </c>
      <c r="D873" s="97">
        <v>86.0</v>
      </c>
      <c r="E873" s="100"/>
      <c r="F873" s="100"/>
      <c r="G873" s="100"/>
      <c r="H873" s="100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ht="15.75" customHeight="1">
      <c r="A874" s="102"/>
      <c r="B874" s="31" t="s">
        <v>262</v>
      </c>
      <c r="C874" s="31" t="s">
        <v>263</v>
      </c>
      <c r="D874" s="97">
        <v>100.0</v>
      </c>
      <c r="E874" s="100"/>
      <c r="F874" s="100"/>
      <c r="G874" s="100"/>
      <c r="H874" s="100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ht="15.75" customHeight="1">
      <c r="A875" s="102"/>
      <c r="B875" s="114"/>
      <c r="C875" s="115"/>
      <c r="D875" s="102"/>
      <c r="E875" s="100"/>
      <c r="F875" s="100"/>
      <c r="G875" s="100"/>
      <c r="H875" s="100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ht="15.75" customHeight="1">
      <c r="A876" s="96">
        <v>45828.0</v>
      </c>
      <c r="B876" s="31" t="s">
        <v>299</v>
      </c>
      <c r="C876" s="31" t="s">
        <v>300</v>
      </c>
      <c r="D876" s="102">
        <f>19+16</f>
        <v>35</v>
      </c>
      <c r="E876" s="100"/>
      <c r="F876" s="100"/>
      <c r="G876" s="100"/>
      <c r="H876" s="100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ht="15.75" customHeight="1">
      <c r="A877" s="102"/>
      <c r="B877" s="125" t="s">
        <v>327</v>
      </c>
      <c r="C877" s="125" t="s">
        <v>328</v>
      </c>
      <c r="D877" s="97">
        <v>10.0</v>
      </c>
      <c r="E877" s="100"/>
      <c r="F877" s="100"/>
      <c r="G877" s="100"/>
      <c r="H877" s="100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ht="15.75" customHeight="1">
      <c r="A878" s="102"/>
      <c r="B878" s="31" t="s">
        <v>431</v>
      </c>
      <c r="C878" s="31" t="s">
        <v>432</v>
      </c>
      <c r="D878" s="97">
        <v>10.0</v>
      </c>
      <c r="E878" s="100"/>
      <c r="F878" s="100"/>
      <c r="G878" s="100"/>
      <c r="H878" s="100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ht="15.75" customHeight="1">
      <c r="A879" s="102"/>
      <c r="B879" s="72" t="s">
        <v>33</v>
      </c>
      <c r="C879" s="108" t="s">
        <v>34</v>
      </c>
      <c r="D879" s="102">
        <f>625</f>
        <v>625</v>
      </c>
      <c r="E879" s="100"/>
      <c r="F879" s="100"/>
      <c r="G879" s="100"/>
      <c r="H879" s="100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ht="15.75" customHeight="1">
      <c r="A880" s="102"/>
      <c r="B880" s="124" t="s">
        <v>47</v>
      </c>
      <c r="C880" s="217" t="s">
        <v>48</v>
      </c>
      <c r="D880" s="97">
        <v>125.0</v>
      </c>
      <c r="E880" s="219" t="s">
        <v>654</v>
      </c>
      <c r="F880" s="100"/>
      <c r="G880" s="100"/>
      <c r="H880" s="100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ht="15.75" customHeight="1">
      <c r="A881" s="102"/>
      <c r="B881" s="124" t="s">
        <v>47</v>
      </c>
      <c r="C881" s="217" t="s">
        <v>48</v>
      </c>
      <c r="D881" s="97">
        <v>375.0</v>
      </c>
      <c r="E881" s="99" t="s">
        <v>653</v>
      </c>
      <c r="F881" s="100"/>
      <c r="G881" s="100"/>
      <c r="H881" s="100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ht="15.75" customHeight="1">
      <c r="A882" s="102"/>
      <c r="B882" s="76"/>
      <c r="C882" s="112" t="s">
        <v>218</v>
      </c>
      <c r="D882" s="97">
        <v>288.0</v>
      </c>
      <c r="E882" s="100"/>
      <c r="F882" s="100"/>
      <c r="G882" s="100"/>
      <c r="H882" s="100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ht="15.75" customHeight="1">
      <c r="A883" s="102"/>
      <c r="B883" s="76" t="s">
        <v>219</v>
      </c>
      <c r="C883" s="122" t="s">
        <v>220</v>
      </c>
      <c r="D883" s="97">
        <v>150.0</v>
      </c>
      <c r="E883" s="100"/>
      <c r="F883" s="100"/>
      <c r="G883" s="100"/>
      <c r="H883" s="100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ht="15.75" customHeight="1">
      <c r="A884" s="102"/>
      <c r="B884" s="40" t="s">
        <v>221</v>
      </c>
      <c r="C884" s="123" t="s">
        <v>222</v>
      </c>
      <c r="D884" s="97">
        <v>160.0</v>
      </c>
      <c r="E884" s="100"/>
      <c r="F884" s="100"/>
      <c r="G884" s="100"/>
      <c r="H884" s="100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ht="15.75" customHeight="1">
      <c r="A885" s="102"/>
      <c r="B885" s="114"/>
      <c r="C885" s="115"/>
      <c r="D885" s="102"/>
      <c r="E885" s="100"/>
      <c r="F885" s="100"/>
      <c r="G885" s="100"/>
      <c r="H885" s="100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ht="15.75" customHeight="1">
      <c r="A886" s="96">
        <v>45829.0</v>
      </c>
      <c r="B886" s="72" t="s">
        <v>33</v>
      </c>
      <c r="C886" s="108" t="s">
        <v>34</v>
      </c>
      <c r="D886" s="102">
        <f>50</f>
        <v>50</v>
      </c>
      <c r="E886" s="100"/>
      <c r="F886" s="100"/>
      <c r="G886" s="100"/>
      <c r="H886" s="100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ht="15.75" customHeight="1">
      <c r="A887" s="102"/>
      <c r="B887" s="40" t="s">
        <v>96</v>
      </c>
      <c r="C887" s="64" t="s">
        <v>97</v>
      </c>
      <c r="D887" s="97">
        <v>600.0</v>
      </c>
      <c r="E887" s="100"/>
      <c r="F887" s="100"/>
      <c r="G887" s="100"/>
      <c r="H887" s="100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ht="15.75" customHeight="1">
      <c r="A888" s="102"/>
      <c r="B888" s="76" t="s">
        <v>640</v>
      </c>
      <c r="C888" s="54" t="s">
        <v>641</v>
      </c>
      <c r="D888" s="97">
        <v>125.0</v>
      </c>
      <c r="E888" s="100"/>
      <c r="F888" s="100"/>
      <c r="G888" s="100"/>
      <c r="H888" s="100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ht="15.75" customHeight="1">
      <c r="A889" s="102"/>
      <c r="B889" s="124" t="s">
        <v>47</v>
      </c>
      <c r="C889" s="217" t="s">
        <v>48</v>
      </c>
      <c r="D889" s="97">
        <v>300.0</v>
      </c>
      <c r="E889" s="219" t="s">
        <v>654</v>
      </c>
      <c r="F889" s="100"/>
      <c r="G889" s="100"/>
      <c r="H889" s="100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ht="15.75" customHeight="1">
      <c r="A890" s="102"/>
      <c r="B890" s="124" t="s">
        <v>47</v>
      </c>
      <c r="C890" s="217" t="s">
        <v>48</v>
      </c>
      <c r="D890" s="97">
        <v>325.0</v>
      </c>
      <c r="E890" s="99" t="s">
        <v>653</v>
      </c>
      <c r="F890" s="100"/>
      <c r="G890" s="100"/>
      <c r="H890" s="100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ht="15.75" customHeight="1">
      <c r="A891" s="102"/>
      <c r="B891" s="31" t="s">
        <v>299</v>
      </c>
      <c r="C891" s="31" t="s">
        <v>300</v>
      </c>
      <c r="D891" s="97">
        <v>14.0</v>
      </c>
      <c r="E891" s="100"/>
      <c r="F891" s="100"/>
      <c r="G891" s="100"/>
      <c r="H891" s="100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ht="15.75" customHeight="1">
      <c r="A892" s="102"/>
      <c r="B892" s="31" t="s">
        <v>256</v>
      </c>
      <c r="C892" s="31" t="s">
        <v>257</v>
      </c>
      <c r="D892" s="97">
        <v>1000.0</v>
      </c>
      <c r="E892" s="100"/>
      <c r="F892" s="100"/>
      <c r="G892" s="100"/>
      <c r="H892" s="100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ht="15.75" customHeight="1">
      <c r="A893" s="102"/>
      <c r="B893" s="31" t="s">
        <v>262</v>
      </c>
      <c r="C893" s="31" t="s">
        <v>263</v>
      </c>
      <c r="D893" s="97">
        <v>600.0</v>
      </c>
      <c r="E893" s="100"/>
      <c r="F893" s="100"/>
      <c r="G893" s="100"/>
      <c r="H893" s="100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ht="15.75" customHeight="1">
      <c r="A894" s="102"/>
      <c r="B894" s="76" t="s">
        <v>227</v>
      </c>
      <c r="C894" s="112" t="s">
        <v>228</v>
      </c>
      <c r="D894" s="97">
        <v>74.0</v>
      </c>
      <c r="E894" s="100"/>
      <c r="F894" s="100"/>
      <c r="G894" s="100"/>
      <c r="H894" s="100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ht="15.75" customHeight="1">
      <c r="A895" s="102"/>
      <c r="B895" s="76" t="s">
        <v>219</v>
      </c>
      <c r="C895" s="122" t="s">
        <v>220</v>
      </c>
      <c r="D895" s="97">
        <v>150.0</v>
      </c>
      <c r="E895" s="100"/>
      <c r="F895" s="100"/>
      <c r="G895" s="100"/>
      <c r="H895" s="100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ht="15.75" customHeight="1">
      <c r="A896" s="102"/>
      <c r="B896" s="40" t="s">
        <v>221</v>
      </c>
      <c r="C896" s="123" t="s">
        <v>222</v>
      </c>
      <c r="D896" s="97">
        <v>166.0</v>
      </c>
      <c r="E896" s="100"/>
      <c r="F896" s="100"/>
      <c r="G896" s="100"/>
      <c r="H896" s="100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ht="15.75" customHeight="1">
      <c r="A897" s="102"/>
      <c r="B897" s="125" t="s">
        <v>225</v>
      </c>
      <c r="C897" s="64" t="s">
        <v>226</v>
      </c>
      <c r="D897" s="97">
        <v>24.0</v>
      </c>
      <c r="E897" s="100"/>
      <c r="F897" s="100"/>
      <c r="G897" s="100"/>
      <c r="H897" s="100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ht="15.75" customHeight="1">
      <c r="A898" s="102"/>
      <c r="B898" s="76" t="s">
        <v>233</v>
      </c>
      <c r="C898" s="122" t="s">
        <v>234</v>
      </c>
      <c r="D898" s="97">
        <v>162.0</v>
      </c>
      <c r="E898" s="100"/>
      <c r="F898" s="100"/>
      <c r="G898" s="100"/>
      <c r="H898" s="100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ht="15.75" customHeight="1">
      <c r="A899" s="102"/>
      <c r="B899" s="40" t="s">
        <v>223</v>
      </c>
      <c r="C899" s="64" t="s">
        <v>224</v>
      </c>
      <c r="D899" s="97">
        <v>60.0</v>
      </c>
      <c r="E899" s="100"/>
      <c r="F899" s="100"/>
      <c r="G899" s="100"/>
      <c r="H899" s="100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ht="15.75" customHeight="1">
      <c r="A900" s="102"/>
      <c r="B900" s="126" t="s">
        <v>229</v>
      </c>
      <c r="C900" s="127" t="s">
        <v>230</v>
      </c>
      <c r="D900" s="97">
        <v>162.0</v>
      </c>
      <c r="E900" s="100"/>
      <c r="F900" s="100"/>
      <c r="G900" s="100"/>
      <c r="H900" s="100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ht="15.75" customHeight="1">
      <c r="A901" s="102"/>
      <c r="B901" s="125" t="s">
        <v>237</v>
      </c>
      <c r="C901" s="64" t="s">
        <v>238</v>
      </c>
      <c r="D901" s="97">
        <v>72.0</v>
      </c>
      <c r="E901" s="100"/>
      <c r="F901" s="100"/>
      <c r="G901" s="100"/>
      <c r="H901" s="100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ht="15.75" customHeight="1">
      <c r="A902" s="102"/>
      <c r="B902" s="114"/>
      <c r="C902" s="115"/>
      <c r="D902" s="102"/>
      <c r="E902" s="100"/>
      <c r="F902" s="100"/>
      <c r="G902" s="100"/>
      <c r="H902" s="100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ht="15.75" customHeight="1">
      <c r="A903" s="102"/>
      <c r="B903" s="114"/>
      <c r="C903" s="115"/>
      <c r="D903" s="102"/>
      <c r="E903" s="100"/>
      <c r="F903" s="100"/>
      <c r="G903" s="100"/>
      <c r="H903" s="100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ht="15.75" customHeight="1">
      <c r="A904" s="102"/>
      <c r="B904" s="114"/>
      <c r="C904" s="115"/>
      <c r="D904" s="102"/>
      <c r="E904" s="100"/>
      <c r="F904" s="100"/>
      <c r="G904" s="100"/>
      <c r="H904" s="100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ht="15.75" customHeight="1">
      <c r="A905" s="102"/>
      <c r="B905" s="114"/>
      <c r="C905" s="115"/>
      <c r="D905" s="102"/>
      <c r="E905" s="100"/>
      <c r="F905" s="100"/>
      <c r="G905" s="100"/>
      <c r="H905" s="100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ht="15.75" customHeight="1">
      <c r="A906" s="102"/>
      <c r="B906" s="114"/>
      <c r="C906" s="115"/>
      <c r="D906" s="102"/>
      <c r="E906" s="100"/>
      <c r="F906" s="100"/>
      <c r="G906" s="100"/>
      <c r="H906" s="100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ht="15.75" customHeight="1">
      <c r="A907" s="102"/>
      <c r="B907" s="114"/>
      <c r="C907" s="115"/>
      <c r="D907" s="102"/>
      <c r="E907" s="100"/>
      <c r="F907" s="100"/>
      <c r="G907" s="100"/>
      <c r="H907" s="100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ht="15.75" customHeight="1">
      <c r="A908" s="102"/>
      <c r="B908" s="114"/>
      <c r="C908" s="115"/>
      <c r="D908" s="102"/>
      <c r="E908" s="100"/>
      <c r="F908" s="100"/>
      <c r="G908" s="100"/>
      <c r="H908" s="100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ht="15.75" customHeight="1">
      <c r="A909" s="93"/>
      <c r="B909" s="23"/>
      <c r="C909" s="24" t="s">
        <v>661</v>
      </c>
      <c r="D909" s="93"/>
      <c r="E909" s="95"/>
      <c r="F909" s="95"/>
      <c r="G909" s="95"/>
      <c r="H909" s="95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ht="15.75" customHeight="1">
      <c r="A910" s="96">
        <v>45808.0</v>
      </c>
      <c r="B910" s="124" t="s">
        <v>96</v>
      </c>
      <c r="C910" s="107" t="s">
        <v>97</v>
      </c>
      <c r="D910" s="97">
        <v>1250.0</v>
      </c>
      <c r="E910" s="100"/>
      <c r="F910" s="100"/>
      <c r="G910" s="100"/>
      <c r="H910" s="100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ht="15.75" customHeight="1">
      <c r="A911" s="102"/>
      <c r="B911" s="31" t="s">
        <v>285</v>
      </c>
      <c r="C911" s="31" t="s">
        <v>286</v>
      </c>
      <c r="D911" s="97">
        <v>15.0</v>
      </c>
      <c r="E911" s="100"/>
      <c r="F911" s="100"/>
      <c r="G911" s="100"/>
      <c r="H911" s="100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ht="15.75" customHeight="1">
      <c r="A912" s="102"/>
      <c r="B912" s="31" t="s">
        <v>244</v>
      </c>
      <c r="C912" s="31" t="s">
        <v>245</v>
      </c>
      <c r="D912" s="97">
        <v>300.0</v>
      </c>
      <c r="E912" s="100"/>
      <c r="F912" s="100"/>
      <c r="G912" s="100"/>
      <c r="H912" s="100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ht="15.75" customHeight="1">
      <c r="A913" s="102"/>
      <c r="B913" s="109"/>
      <c r="C913" s="205"/>
      <c r="D913" s="102"/>
      <c r="E913" s="100"/>
      <c r="F913" s="100"/>
      <c r="G913" s="100"/>
      <c r="H913" s="100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ht="15.75" customHeight="1">
      <c r="A914" s="96">
        <v>45810.0</v>
      </c>
      <c r="B914" s="124" t="s">
        <v>96</v>
      </c>
      <c r="C914" s="107" t="s">
        <v>97</v>
      </c>
      <c r="D914" s="97">
        <v>1625.0</v>
      </c>
      <c r="E914" s="100"/>
      <c r="F914" s="100"/>
      <c r="G914" s="100"/>
      <c r="H914" s="100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ht="15.75" customHeight="1">
      <c r="A915" s="102"/>
      <c r="B915" s="31" t="s">
        <v>244</v>
      </c>
      <c r="C915" s="31" t="s">
        <v>245</v>
      </c>
      <c r="D915" s="97">
        <v>200.0</v>
      </c>
      <c r="E915" s="100"/>
      <c r="F915" s="100"/>
      <c r="G915" s="100"/>
      <c r="H915" s="100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ht="15.75" customHeight="1">
      <c r="A916" s="102"/>
      <c r="B916" s="109"/>
      <c r="C916" s="31" t="s">
        <v>310</v>
      </c>
      <c r="D916" s="97">
        <f>10+10</f>
        <v>20</v>
      </c>
      <c r="E916" s="100"/>
      <c r="F916" s="100"/>
      <c r="G916" s="100"/>
      <c r="H916" s="100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ht="15.75" customHeight="1">
      <c r="A917" s="102"/>
      <c r="B917" s="109"/>
      <c r="C917" s="205"/>
      <c r="D917" s="102"/>
      <c r="E917" s="100"/>
      <c r="F917" s="100"/>
      <c r="G917" s="100"/>
      <c r="H917" s="100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ht="15.75" customHeight="1">
      <c r="A918" s="96">
        <v>45811.0</v>
      </c>
      <c r="B918" s="31" t="s">
        <v>244</v>
      </c>
      <c r="C918" s="31" t="s">
        <v>245</v>
      </c>
      <c r="D918" s="97">
        <v>300.0</v>
      </c>
      <c r="E918" s="100"/>
      <c r="F918" s="100"/>
      <c r="G918" s="100"/>
      <c r="H918" s="100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ht="15.75" customHeight="1">
      <c r="A919" s="102"/>
      <c r="B919" s="124" t="s">
        <v>96</v>
      </c>
      <c r="C919" s="107" t="s">
        <v>97</v>
      </c>
      <c r="D919" s="102">
        <f>1325</f>
        <v>1325</v>
      </c>
      <c r="E919" s="100"/>
      <c r="F919" s="100"/>
      <c r="G919" s="100"/>
      <c r="H919" s="100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ht="15.75" customHeight="1">
      <c r="A920" s="102"/>
      <c r="B920" s="31" t="s">
        <v>309</v>
      </c>
      <c r="C920" s="31" t="s">
        <v>310</v>
      </c>
      <c r="D920" s="97">
        <v>3.0</v>
      </c>
      <c r="E920" s="100"/>
      <c r="F920" s="100"/>
      <c r="G920" s="100"/>
      <c r="H920" s="100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ht="15.75" customHeight="1">
      <c r="A921" s="102"/>
      <c r="B921" s="109"/>
      <c r="C921" s="205"/>
      <c r="D921" s="102"/>
      <c r="E921" s="100"/>
      <c r="F921" s="100"/>
      <c r="G921" s="100"/>
      <c r="H921" s="100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ht="15.75" customHeight="1">
      <c r="A922" s="96">
        <v>45812.0</v>
      </c>
      <c r="B922" s="124" t="s">
        <v>96</v>
      </c>
      <c r="C922" s="107" t="s">
        <v>97</v>
      </c>
      <c r="D922" s="102">
        <f>1500</f>
        <v>1500</v>
      </c>
      <c r="E922" s="100"/>
      <c r="F922" s="100"/>
      <c r="G922" s="100"/>
      <c r="H922" s="100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ht="15.75" customHeight="1">
      <c r="A923" s="102"/>
      <c r="B923" s="109"/>
      <c r="C923" s="205"/>
      <c r="D923" s="102"/>
      <c r="E923" s="100"/>
      <c r="F923" s="100"/>
      <c r="G923" s="100"/>
      <c r="H923" s="100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ht="15.75" customHeight="1">
      <c r="A924" s="96">
        <v>45813.0</v>
      </c>
      <c r="B924" s="124" t="s">
        <v>96</v>
      </c>
      <c r="C924" s="107" t="s">
        <v>97</v>
      </c>
      <c r="D924" s="102">
        <f>1375+375</f>
        <v>1750</v>
      </c>
      <c r="E924" s="100"/>
      <c r="F924" s="100"/>
      <c r="G924" s="100"/>
      <c r="H924" s="100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ht="15.75" customHeight="1">
      <c r="A925" s="102"/>
      <c r="B925" s="31" t="s">
        <v>309</v>
      </c>
      <c r="C925" s="31" t="s">
        <v>310</v>
      </c>
      <c r="D925" s="97">
        <v>13.0</v>
      </c>
      <c r="E925" s="100"/>
      <c r="F925" s="100"/>
      <c r="G925" s="100"/>
      <c r="H925" s="100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ht="15.75" customHeight="1">
      <c r="A926" s="102"/>
      <c r="B926" s="109"/>
      <c r="C926" s="205"/>
      <c r="D926" s="102"/>
      <c r="E926" s="100"/>
      <c r="F926" s="100"/>
      <c r="G926" s="100"/>
      <c r="H926" s="100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ht="15.75" customHeight="1">
      <c r="A927" s="96">
        <v>45814.0</v>
      </c>
      <c r="B927" s="124" t="s">
        <v>96</v>
      </c>
      <c r="C927" s="107" t="s">
        <v>97</v>
      </c>
      <c r="D927" s="102">
        <f>1750</f>
        <v>1750</v>
      </c>
      <c r="E927" s="100"/>
      <c r="F927" s="100"/>
      <c r="G927" s="100"/>
      <c r="H927" s="100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ht="15.75" customHeight="1">
      <c r="A928" s="102"/>
      <c r="B928" s="31" t="s">
        <v>333</v>
      </c>
      <c r="C928" s="31" t="s">
        <v>334</v>
      </c>
      <c r="D928" s="102">
        <f>15+13+7</f>
        <v>35</v>
      </c>
      <c r="E928" s="100"/>
      <c r="F928" s="100"/>
      <c r="G928" s="100"/>
      <c r="H928" s="100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ht="15.75" customHeight="1">
      <c r="A929" s="102"/>
      <c r="B929" s="72" t="s">
        <v>631</v>
      </c>
      <c r="C929" s="111" t="s">
        <v>632</v>
      </c>
      <c r="D929" s="97">
        <v>25.0</v>
      </c>
      <c r="E929" s="100"/>
      <c r="F929" s="100"/>
      <c r="G929" s="100"/>
      <c r="H929" s="100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ht="15.75" customHeight="1">
      <c r="A930" s="102"/>
      <c r="B930" s="109"/>
      <c r="C930" s="205"/>
      <c r="D930" s="102"/>
      <c r="E930" s="100"/>
      <c r="F930" s="100"/>
      <c r="G930" s="100"/>
      <c r="H930" s="100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ht="15.75" customHeight="1">
      <c r="A931" s="96">
        <v>45815.0</v>
      </c>
      <c r="B931" s="124" t="s">
        <v>96</v>
      </c>
      <c r="C931" s="107" t="s">
        <v>97</v>
      </c>
      <c r="D931" s="102">
        <f>1750</f>
        <v>1750</v>
      </c>
      <c r="E931" s="100"/>
      <c r="F931" s="100"/>
      <c r="G931" s="100"/>
      <c r="H931" s="100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ht="15.75" customHeight="1">
      <c r="A932" s="102"/>
      <c r="B932" s="31" t="s">
        <v>351</v>
      </c>
      <c r="C932" s="31" t="s">
        <v>352</v>
      </c>
      <c r="D932" s="97">
        <v>16.0</v>
      </c>
      <c r="E932" s="100"/>
      <c r="F932" s="100"/>
      <c r="G932" s="100"/>
      <c r="H932" s="100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ht="15.75" customHeight="1">
      <c r="A933" s="102"/>
      <c r="B933" s="125" t="s">
        <v>256</v>
      </c>
      <c r="C933" s="125" t="s">
        <v>257</v>
      </c>
      <c r="D933" s="97">
        <v>500.0</v>
      </c>
      <c r="E933" s="100"/>
      <c r="F933" s="100"/>
      <c r="G933" s="100"/>
      <c r="H933" s="100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ht="15.75" customHeight="1">
      <c r="A934" s="102"/>
      <c r="B934" s="125" t="s">
        <v>244</v>
      </c>
      <c r="C934" s="125" t="s">
        <v>245</v>
      </c>
      <c r="D934" s="97">
        <v>500.0</v>
      </c>
      <c r="E934" s="100"/>
      <c r="F934" s="100"/>
      <c r="G934" s="100"/>
      <c r="H934" s="100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ht="15.75" customHeight="1">
      <c r="A935" s="102"/>
      <c r="B935" s="100"/>
      <c r="C935" s="115"/>
      <c r="D935" s="102"/>
      <c r="E935" s="100"/>
      <c r="F935" s="100"/>
      <c r="G935" s="100"/>
      <c r="H935" s="100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ht="15.75" customHeight="1">
      <c r="A936" s="96">
        <v>45817.0</v>
      </c>
      <c r="B936" s="125" t="s">
        <v>244</v>
      </c>
      <c r="C936" s="125" t="s">
        <v>245</v>
      </c>
      <c r="D936" s="97">
        <v>600.0</v>
      </c>
      <c r="E936" s="100"/>
      <c r="F936" s="100"/>
      <c r="G936" s="100"/>
      <c r="H936" s="100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ht="15.75" customHeight="1">
      <c r="A937" s="102"/>
      <c r="B937" s="31" t="s">
        <v>351</v>
      </c>
      <c r="C937" s="31" t="s">
        <v>352</v>
      </c>
      <c r="D937" s="102">
        <f>14+17</f>
        <v>31</v>
      </c>
      <c r="E937" s="100"/>
      <c r="F937" s="100"/>
      <c r="G937" s="100"/>
      <c r="H937" s="100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ht="15.75" customHeight="1">
      <c r="A938" s="102"/>
      <c r="B938" s="124" t="s">
        <v>96</v>
      </c>
      <c r="C938" s="107" t="s">
        <v>97</v>
      </c>
      <c r="D938" s="102">
        <f>1350</f>
        <v>1350</v>
      </c>
      <c r="E938" s="100"/>
      <c r="F938" s="100"/>
      <c r="G938" s="100"/>
      <c r="H938" s="100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ht="15.75" customHeight="1">
      <c r="A939" s="102"/>
      <c r="B939" s="100"/>
      <c r="C939" s="115"/>
      <c r="D939" s="102"/>
      <c r="E939" s="100"/>
      <c r="F939" s="100"/>
      <c r="G939" s="100"/>
      <c r="H939" s="100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ht="15.75" customHeight="1">
      <c r="A940" s="96">
        <v>45818.0</v>
      </c>
      <c r="B940" s="124" t="s">
        <v>96</v>
      </c>
      <c r="C940" s="107" t="s">
        <v>97</v>
      </c>
      <c r="D940" s="102">
        <f>1425+475</f>
        <v>1900</v>
      </c>
      <c r="E940" s="100"/>
      <c r="F940" s="100"/>
      <c r="G940" s="100"/>
      <c r="H940" s="100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ht="15.75" customHeight="1">
      <c r="A941" s="102"/>
      <c r="B941" s="125" t="s">
        <v>244</v>
      </c>
      <c r="C941" s="125" t="s">
        <v>245</v>
      </c>
      <c r="D941" s="97">
        <f>400+400</f>
        <v>800</v>
      </c>
      <c r="E941" s="100"/>
      <c r="F941" s="100"/>
      <c r="G941" s="100"/>
      <c r="H941" s="100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ht="15.75" customHeight="1">
      <c r="A942" s="102"/>
      <c r="B942" s="31" t="s">
        <v>351</v>
      </c>
      <c r="C942" s="31" t="s">
        <v>352</v>
      </c>
      <c r="D942" s="97">
        <v>20.0</v>
      </c>
      <c r="E942" s="100"/>
      <c r="F942" s="100"/>
      <c r="G942" s="100"/>
      <c r="H942" s="100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ht="15.75" customHeight="1">
      <c r="A943" s="102"/>
      <c r="B943" s="100"/>
      <c r="C943" s="115"/>
      <c r="D943" s="102"/>
      <c r="E943" s="100"/>
      <c r="F943" s="100"/>
      <c r="G943" s="100"/>
      <c r="H943" s="100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ht="15.75" customHeight="1">
      <c r="A944" s="96">
        <v>45819.0</v>
      </c>
      <c r="B944" s="124" t="s">
        <v>96</v>
      </c>
      <c r="C944" s="107" t="s">
        <v>97</v>
      </c>
      <c r="D944" s="102">
        <f>375+1525</f>
        <v>1900</v>
      </c>
      <c r="E944" s="100"/>
      <c r="F944" s="100"/>
      <c r="G944" s="100"/>
      <c r="H944" s="100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ht="15.75" customHeight="1">
      <c r="A945" s="102"/>
      <c r="B945" s="125" t="s">
        <v>244</v>
      </c>
      <c r="C945" s="125" t="s">
        <v>245</v>
      </c>
      <c r="D945" s="97">
        <v>600.0</v>
      </c>
      <c r="E945" s="100"/>
      <c r="F945" s="100"/>
      <c r="G945" s="100"/>
      <c r="H945" s="100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ht="15.75" customHeight="1">
      <c r="A946" s="102"/>
      <c r="B946" s="125" t="s">
        <v>256</v>
      </c>
      <c r="C946" s="125" t="s">
        <v>257</v>
      </c>
      <c r="D946" s="97">
        <v>200.0</v>
      </c>
      <c r="E946" s="100"/>
      <c r="F946" s="100"/>
      <c r="G946" s="100"/>
      <c r="H946" s="100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ht="15.75" customHeight="1">
      <c r="A947" s="102"/>
      <c r="B947" s="125" t="s">
        <v>244</v>
      </c>
      <c r="C947" s="125" t="s">
        <v>245</v>
      </c>
      <c r="D947" s="97">
        <v>200.0</v>
      </c>
      <c r="E947" s="100"/>
      <c r="F947" s="100"/>
      <c r="G947" s="100"/>
      <c r="H947" s="100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ht="15.75" customHeight="1">
      <c r="A948" s="102"/>
      <c r="B948" s="31" t="s">
        <v>250</v>
      </c>
      <c r="C948" s="31" t="s">
        <v>251</v>
      </c>
      <c r="D948" s="97">
        <v>100.0</v>
      </c>
      <c r="E948" s="100"/>
      <c r="F948" s="100"/>
      <c r="G948" s="100"/>
      <c r="H948" s="100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ht="15.75" customHeight="1">
      <c r="A949" s="102"/>
      <c r="B949" s="31" t="s">
        <v>379</v>
      </c>
      <c r="C949" s="31" t="s">
        <v>380</v>
      </c>
      <c r="D949" s="97">
        <v>31.0</v>
      </c>
      <c r="E949" s="100"/>
      <c r="F949" s="100"/>
      <c r="G949" s="100"/>
      <c r="H949" s="100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ht="15.75" customHeight="1">
      <c r="A950" s="102"/>
      <c r="B950" s="31" t="s">
        <v>351</v>
      </c>
      <c r="C950" s="31" t="s">
        <v>352</v>
      </c>
      <c r="D950" s="97">
        <v>9.0</v>
      </c>
      <c r="E950" s="100"/>
      <c r="F950" s="100"/>
      <c r="G950" s="100"/>
      <c r="H950" s="100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ht="15.75" customHeight="1">
      <c r="A951" s="102"/>
      <c r="B951" s="100"/>
      <c r="C951" s="115"/>
      <c r="D951" s="102"/>
      <c r="E951" s="100"/>
      <c r="F951" s="100"/>
      <c r="G951" s="100"/>
      <c r="H951" s="100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ht="15.75" customHeight="1">
      <c r="A952" s="96">
        <v>45820.0</v>
      </c>
      <c r="B952" s="125" t="s">
        <v>244</v>
      </c>
      <c r="C952" s="125" t="s">
        <v>245</v>
      </c>
      <c r="D952" s="97">
        <v>600.0</v>
      </c>
      <c r="E952" s="100"/>
      <c r="F952" s="100"/>
      <c r="G952" s="100"/>
      <c r="H952" s="100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ht="15.75" customHeight="1">
      <c r="A953" s="102"/>
      <c r="B953" s="124" t="s">
        <v>96</v>
      </c>
      <c r="C953" s="107" t="s">
        <v>97</v>
      </c>
      <c r="D953" s="97">
        <f>125+2000</f>
        <v>2125</v>
      </c>
      <c r="E953" s="100"/>
      <c r="F953" s="100"/>
      <c r="G953" s="100"/>
      <c r="H953" s="100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ht="15.75" customHeight="1">
      <c r="A954" s="102"/>
      <c r="B954" s="72" t="s">
        <v>631</v>
      </c>
      <c r="C954" s="111" t="s">
        <v>632</v>
      </c>
      <c r="D954" s="97">
        <v>25.0</v>
      </c>
      <c r="E954" s="100"/>
      <c r="F954" s="100"/>
      <c r="G954" s="100"/>
      <c r="H954" s="100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ht="15.75" customHeight="1">
      <c r="A955" s="102"/>
      <c r="B955" s="125" t="s">
        <v>244</v>
      </c>
      <c r="C955" s="125" t="s">
        <v>245</v>
      </c>
      <c r="D955" s="97">
        <v>300.0</v>
      </c>
      <c r="E955" s="100"/>
      <c r="F955" s="100"/>
      <c r="G955" s="100"/>
      <c r="H955" s="100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ht="15.75" customHeight="1">
      <c r="A956" s="102"/>
      <c r="B956" s="31" t="s">
        <v>250</v>
      </c>
      <c r="C956" s="31" t="s">
        <v>251</v>
      </c>
      <c r="D956" s="97">
        <v>200.0</v>
      </c>
      <c r="E956" s="100"/>
      <c r="F956" s="100"/>
      <c r="G956" s="100"/>
      <c r="H956" s="100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ht="15.75" customHeight="1">
      <c r="A957" s="102"/>
      <c r="B957" s="31" t="s">
        <v>379</v>
      </c>
      <c r="C957" s="31" t="s">
        <v>380</v>
      </c>
      <c r="D957" s="97">
        <v>5.0</v>
      </c>
      <c r="E957" s="100"/>
      <c r="F957" s="100"/>
      <c r="G957" s="100"/>
      <c r="H957" s="100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ht="15.75" customHeight="1">
      <c r="A958" s="102"/>
      <c r="B958" s="31" t="s">
        <v>351</v>
      </c>
      <c r="C958" s="31" t="s">
        <v>352</v>
      </c>
      <c r="D958" s="97">
        <v>36.0</v>
      </c>
      <c r="E958" s="100"/>
      <c r="F958" s="100"/>
      <c r="G958" s="100"/>
      <c r="H958" s="100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ht="15.75" customHeight="1">
      <c r="A959" s="102"/>
      <c r="B959" s="100"/>
      <c r="C959" s="115"/>
      <c r="D959" s="102"/>
      <c r="E959" s="100"/>
      <c r="F959" s="100"/>
      <c r="G959" s="100"/>
      <c r="H959" s="100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</row>
    <row r="960" ht="15.75" customHeight="1">
      <c r="A960" s="96">
        <v>45821.0</v>
      </c>
      <c r="B960" s="124" t="s">
        <v>96</v>
      </c>
      <c r="C960" s="107" t="s">
        <v>97</v>
      </c>
      <c r="D960" s="97">
        <v>2125.0</v>
      </c>
      <c r="E960" s="100"/>
      <c r="F960" s="100"/>
      <c r="G960" s="100"/>
      <c r="H960" s="100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</row>
    <row r="961" ht="15.75" customHeight="1">
      <c r="A961" s="102"/>
      <c r="B961" s="125" t="s">
        <v>244</v>
      </c>
      <c r="C961" s="125" t="s">
        <v>245</v>
      </c>
      <c r="D961" s="97">
        <v>300.0</v>
      </c>
      <c r="E961" s="100"/>
      <c r="F961" s="100"/>
      <c r="G961" s="100"/>
      <c r="H961" s="100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</row>
    <row r="962" ht="15.75" customHeight="1">
      <c r="A962" s="102"/>
      <c r="B962" s="31" t="s">
        <v>351</v>
      </c>
      <c r="C962" s="31" t="s">
        <v>352</v>
      </c>
      <c r="D962" s="102">
        <f>10+14</f>
        <v>24</v>
      </c>
      <c r="E962" s="100"/>
      <c r="F962" s="100"/>
      <c r="G962" s="100"/>
      <c r="H962" s="100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</row>
    <row r="963" ht="15.75" customHeight="1">
      <c r="A963" s="102"/>
      <c r="B963" s="31" t="s">
        <v>379</v>
      </c>
      <c r="C963" s="31" t="s">
        <v>380</v>
      </c>
      <c r="D963" s="97">
        <v>7.0</v>
      </c>
      <c r="E963" s="100"/>
      <c r="F963" s="100"/>
      <c r="G963" s="100"/>
      <c r="H963" s="100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</row>
    <row r="964" ht="15.75" customHeight="1">
      <c r="A964" s="102"/>
      <c r="B964" s="31" t="s">
        <v>250</v>
      </c>
      <c r="C964" s="31" t="s">
        <v>251</v>
      </c>
      <c r="D964" s="97">
        <v>100.0</v>
      </c>
      <c r="E964" s="100"/>
      <c r="F964" s="100"/>
      <c r="G964" s="100"/>
      <c r="H964" s="100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</row>
    <row r="965" ht="15.75" customHeight="1">
      <c r="A965" s="102"/>
      <c r="B965" s="100"/>
      <c r="C965" s="115"/>
      <c r="D965" s="102"/>
      <c r="E965" s="100"/>
      <c r="F965" s="100"/>
      <c r="G965" s="100"/>
      <c r="H965" s="100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</row>
    <row r="966" ht="15.75" customHeight="1">
      <c r="A966" s="96">
        <v>45822.0</v>
      </c>
      <c r="B966" s="124" t="s">
        <v>96</v>
      </c>
      <c r="C966" s="107" t="s">
        <v>97</v>
      </c>
      <c r="D966" s="102">
        <f>2125+250</f>
        <v>2375</v>
      </c>
      <c r="E966" s="100"/>
      <c r="F966" s="100"/>
      <c r="G966" s="100"/>
      <c r="H966" s="100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</row>
    <row r="967" ht="15.75" customHeight="1">
      <c r="A967" s="102"/>
      <c r="B967" s="31" t="s">
        <v>351</v>
      </c>
      <c r="C967" s="31" t="s">
        <v>352</v>
      </c>
      <c r="D967" s="97">
        <v>18.0</v>
      </c>
      <c r="E967" s="100"/>
      <c r="F967" s="100"/>
      <c r="G967" s="100"/>
      <c r="H967" s="100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</row>
    <row r="968" ht="15.75" customHeight="1">
      <c r="A968" s="102"/>
      <c r="B968" s="31" t="s">
        <v>379</v>
      </c>
      <c r="C968" s="31" t="s">
        <v>380</v>
      </c>
      <c r="D968" s="97">
        <v>13.0</v>
      </c>
      <c r="E968" s="100"/>
      <c r="F968" s="100"/>
      <c r="G968" s="100"/>
      <c r="H968" s="100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</row>
    <row r="969" ht="15.75" customHeight="1">
      <c r="A969" s="102"/>
      <c r="B969" s="125" t="s">
        <v>244</v>
      </c>
      <c r="C969" s="125" t="s">
        <v>245</v>
      </c>
      <c r="D969" s="97">
        <v>300.0</v>
      </c>
      <c r="E969" s="100"/>
      <c r="F969" s="100"/>
      <c r="G969" s="100"/>
      <c r="H969" s="100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</row>
    <row r="970" ht="15.75" customHeight="1">
      <c r="A970" s="102"/>
      <c r="B970" s="125" t="s">
        <v>250</v>
      </c>
      <c r="C970" s="125" t="s">
        <v>251</v>
      </c>
      <c r="D970" s="97">
        <v>200.0</v>
      </c>
      <c r="E970" s="100"/>
      <c r="F970" s="100"/>
      <c r="G970" s="100"/>
      <c r="H970" s="100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</row>
    <row r="971" ht="15.75" customHeight="1">
      <c r="A971" s="102"/>
      <c r="B971" s="100"/>
      <c r="C971" s="115"/>
      <c r="D971" s="102"/>
      <c r="E971" s="100"/>
      <c r="F971" s="100"/>
      <c r="G971" s="100"/>
      <c r="H971" s="100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</row>
    <row r="972" ht="15.75" customHeight="1">
      <c r="A972" s="96">
        <v>45824.0</v>
      </c>
      <c r="B972" s="124" t="s">
        <v>96</v>
      </c>
      <c r="C972" s="107" t="s">
        <v>97</v>
      </c>
      <c r="D972" s="102">
        <f>1625</f>
        <v>1625</v>
      </c>
      <c r="E972" s="100"/>
      <c r="F972" s="100"/>
      <c r="G972" s="100"/>
      <c r="H972" s="100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</row>
    <row r="973" ht="15.75" customHeight="1">
      <c r="A973" s="102"/>
      <c r="B973" s="31" t="s">
        <v>256</v>
      </c>
      <c r="C973" s="31" t="s">
        <v>257</v>
      </c>
      <c r="D973" s="97">
        <v>200.0</v>
      </c>
      <c r="E973" s="100"/>
      <c r="F973" s="100"/>
      <c r="G973" s="100"/>
      <c r="H973" s="100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</row>
    <row r="974" ht="15.75" customHeight="1">
      <c r="A974" s="102"/>
      <c r="B974" s="100"/>
      <c r="C974" s="125" t="s">
        <v>245</v>
      </c>
      <c r="D974" s="102">
        <f>200+400+400</f>
        <v>1000</v>
      </c>
      <c r="E974" s="100"/>
      <c r="F974" s="100"/>
      <c r="G974" s="100"/>
      <c r="H974" s="100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</row>
    <row r="975" ht="15.75" customHeight="1">
      <c r="A975" s="102"/>
      <c r="B975" s="31" t="s">
        <v>379</v>
      </c>
      <c r="C975" s="31" t="s">
        <v>380</v>
      </c>
      <c r="D975" s="102">
        <f>20</f>
        <v>20</v>
      </c>
      <c r="E975" s="100"/>
      <c r="F975" s="100"/>
      <c r="G975" s="100"/>
      <c r="H975" s="100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</row>
    <row r="976" ht="15.75" customHeight="1">
      <c r="A976" s="102"/>
      <c r="B976" s="31" t="s">
        <v>351</v>
      </c>
      <c r="C976" s="31" t="s">
        <v>352</v>
      </c>
      <c r="D976" s="102">
        <f>18+10</f>
        <v>28</v>
      </c>
      <c r="E976" s="100"/>
      <c r="F976" s="100"/>
      <c r="G976" s="100"/>
      <c r="H976" s="100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</row>
    <row r="977" ht="15.75" customHeight="1">
      <c r="A977" s="102"/>
      <c r="B977" s="100"/>
      <c r="C977" s="115"/>
      <c r="D977" s="102"/>
      <c r="E977" s="100"/>
      <c r="F977" s="100"/>
      <c r="G977" s="100"/>
      <c r="H977" s="100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</row>
    <row r="978" ht="15.75" customHeight="1">
      <c r="A978" s="96">
        <v>45825.0</v>
      </c>
      <c r="B978" s="124" t="s">
        <v>96</v>
      </c>
      <c r="C978" s="107" t="s">
        <v>97</v>
      </c>
      <c r="D978" s="102">
        <f>1675</f>
        <v>1675</v>
      </c>
      <c r="E978" s="100"/>
      <c r="F978" s="100"/>
      <c r="G978" s="100"/>
      <c r="H978" s="100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</row>
    <row r="979" ht="15.75" customHeight="1">
      <c r="A979" s="102"/>
      <c r="B979" s="31" t="s">
        <v>379</v>
      </c>
      <c r="C979" s="31" t="s">
        <v>380</v>
      </c>
      <c r="D979" s="102">
        <f>19+14</f>
        <v>33</v>
      </c>
      <c r="E979" s="100"/>
      <c r="F979" s="100"/>
      <c r="G979" s="100"/>
      <c r="H979" s="100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</row>
    <row r="980" ht="15.75" customHeight="1">
      <c r="A980" s="102"/>
      <c r="B980" s="31" t="s">
        <v>351</v>
      </c>
      <c r="C980" s="31" t="s">
        <v>352</v>
      </c>
      <c r="D980" s="102">
        <f>12+29</f>
        <v>41</v>
      </c>
      <c r="E980" s="100"/>
      <c r="F980" s="100"/>
      <c r="G980" s="100"/>
      <c r="H980" s="100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</row>
    <row r="981" ht="15.75" customHeight="1">
      <c r="A981" s="102"/>
      <c r="B981" s="100"/>
      <c r="C981" s="125" t="s">
        <v>245</v>
      </c>
      <c r="D981" s="102">
        <f>100+100+400</f>
        <v>600</v>
      </c>
      <c r="E981" s="100"/>
      <c r="F981" s="100"/>
      <c r="G981" s="100"/>
      <c r="H981" s="100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</row>
    <row r="982" ht="15.75" customHeight="1">
      <c r="A982" s="102"/>
      <c r="B982" s="31" t="s">
        <v>250</v>
      </c>
      <c r="C982" s="31" t="s">
        <v>251</v>
      </c>
      <c r="D982" s="97">
        <v>300.0</v>
      </c>
      <c r="E982" s="100"/>
      <c r="F982" s="100"/>
      <c r="G982" s="100"/>
      <c r="H982" s="100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</row>
    <row r="983" ht="15.75" customHeight="1">
      <c r="A983" s="102"/>
      <c r="B983" s="100"/>
      <c r="C983" s="115"/>
      <c r="D983" s="102"/>
      <c r="E983" s="100"/>
      <c r="F983" s="100"/>
      <c r="G983" s="100"/>
      <c r="H983" s="100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</row>
    <row r="984" ht="15.75" customHeight="1">
      <c r="A984" s="96">
        <v>45827.0</v>
      </c>
      <c r="B984" s="124" t="s">
        <v>96</v>
      </c>
      <c r="C984" s="107" t="s">
        <v>97</v>
      </c>
      <c r="D984" s="102">
        <f>1125</f>
        <v>1125</v>
      </c>
      <c r="E984" s="100"/>
      <c r="F984" s="100"/>
      <c r="G984" s="100"/>
      <c r="H984" s="100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</row>
    <row r="985" ht="15.75" customHeight="1">
      <c r="A985" s="102"/>
      <c r="B985" s="100"/>
      <c r="C985" s="125" t="s">
        <v>245</v>
      </c>
      <c r="D985" s="97">
        <v>300.0</v>
      </c>
      <c r="E985" s="100"/>
      <c r="F985" s="100"/>
      <c r="G985" s="100"/>
      <c r="H985" s="100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</row>
    <row r="986" ht="15.75" customHeight="1">
      <c r="A986" s="102"/>
      <c r="B986" s="31" t="s">
        <v>262</v>
      </c>
      <c r="C986" s="31" t="s">
        <v>263</v>
      </c>
      <c r="D986" s="97">
        <v>300.0</v>
      </c>
      <c r="E986" s="100"/>
      <c r="F986" s="100"/>
      <c r="G986" s="100"/>
      <c r="H986" s="100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</row>
    <row r="987" ht="15.75" customHeight="1">
      <c r="A987" s="102"/>
      <c r="B987" s="31" t="s">
        <v>351</v>
      </c>
      <c r="C987" s="31" t="s">
        <v>352</v>
      </c>
      <c r="D987" s="97">
        <v>5.0</v>
      </c>
      <c r="E987" s="100"/>
      <c r="F987" s="100"/>
      <c r="G987" s="100"/>
      <c r="H987" s="100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</row>
    <row r="988" ht="15.75" customHeight="1">
      <c r="A988" s="102"/>
      <c r="B988" s="100"/>
      <c r="C988" s="115"/>
      <c r="D988" s="102"/>
      <c r="E988" s="100"/>
      <c r="F988" s="100"/>
      <c r="G988" s="100"/>
      <c r="H988" s="100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</row>
    <row r="989" ht="15.75" customHeight="1">
      <c r="A989" s="96">
        <v>45828.0</v>
      </c>
      <c r="B989" s="124" t="s">
        <v>96</v>
      </c>
      <c r="C989" s="107" t="s">
        <v>97</v>
      </c>
      <c r="D989" s="102">
        <f>2050</f>
        <v>2050</v>
      </c>
      <c r="E989" s="100"/>
      <c r="F989" s="100"/>
      <c r="G989" s="100"/>
      <c r="H989" s="100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</row>
    <row r="990" ht="15.75" customHeight="1">
      <c r="A990" s="102"/>
      <c r="B990" s="31" t="s">
        <v>379</v>
      </c>
      <c r="C990" s="31" t="s">
        <v>380</v>
      </c>
      <c r="D990" s="97">
        <f>27+14</f>
        <v>41</v>
      </c>
      <c r="E990" s="100"/>
      <c r="F990" s="100"/>
      <c r="G990" s="100"/>
      <c r="H990" s="100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</row>
    <row r="991" ht="15.75" customHeight="1">
      <c r="A991" s="102"/>
      <c r="B991" s="31" t="s">
        <v>250</v>
      </c>
      <c r="C991" s="31" t="s">
        <v>251</v>
      </c>
      <c r="D991" s="97">
        <v>200.0</v>
      </c>
      <c r="E991" s="100"/>
      <c r="F991" s="100"/>
      <c r="G991" s="100"/>
      <c r="H991" s="100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</row>
    <row r="992" ht="15.75" customHeight="1">
      <c r="A992" s="102"/>
      <c r="B992" s="31" t="s">
        <v>425</v>
      </c>
      <c r="C992" s="31" t="s">
        <v>426</v>
      </c>
      <c r="D992" s="97">
        <v>5.0</v>
      </c>
      <c r="E992" s="100"/>
      <c r="F992" s="100"/>
      <c r="G992" s="100"/>
      <c r="H992" s="100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</row>
    <row r="993" ht="15.75" customHeight="1">
      <c r="A993" s="102"/>
      <c r="B993" s="100"/>
      <c r="C993" s="115"/>
      <c r="D993" s="102"/>
      <c r="E993" s="100"/>
      <c r="F993" s="100"/>
      <c r="G993" s="100"/>
      <c r="H993" s="100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</row>
    <row r="994" ht="15.75" customHeight="1">
      <c r="A994" s="96">
        <v>45829.0</v>
      </c>
      <c r="B994" s="124" t="s">
        <v>96</v>
      </c>
      <c r="C994" s="107" t="s">
        <v>97</v>
      </c>
      <c r="D994" s="102">
        <f>2000</f>
        <v>2000</v>
      </c>
      <c r="E994" s="100"/>
      <c r="F994" s="100"/>
      <c r="G994" s="100"/>
      <c r="H994" s="100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</row>
    <row r="995" ht="15.75" customHeight="1">
      <c r="A995" s="102"/>
      <c r="B995" s="31" t="s">
        <v>379</v>
      </c>
      <c r="C995" s="31" t="s">
        <v>380</v>
      </c>
      <c r="D995" s="102">
        <f>10+9+22</f>
        <v>41</v>
      </c>
      <c r="E995" s="100"/>
      <c r="F995" s="100"/>
      <c r="G995" s="100"/>
      <c r="H995" s="100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</row>
    <row r="996" ht="15.75" customHeight="1">
      <c r="A996" s="102"/>
      <c r="B996" s="31" t="s">
        <v>425</v>
      </c>
      <c r="C996" s="31" t="s">
        <v>426</v>
      </c>
      <c r="D996" s="97">
        <v>6.0</v>
      </c>
      <c r="E996" s="100"/>
      <c r="F996" s="100"/>
      <c r="G996" s="100"/>
      <c r="H996" s="100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</row>
    <row r="997" ht="15.75" customHeight="1">
      <c r="A997" s="102"/>
      <c r="B997" s="31" t="s">
        <v>250</v>
      </c>
      <c r="C997" s="31" t="s">
        <v>251</v>
      </c>
      <c r="D997" s="102">
        <f>400+400+400</f>
        <v>1200</v>
      </c>
      <c r="E997" s="100"/>
      <c r="F997" s="100"/>
      <c r="G997" s="100"/>
      <c r="H997" s="100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</row>
    <row r="998" ht="15.75" customHeight="1">
      <c r="A998" s="102"/>
      <c r="B998" s="31" t="s">
        <v>262</v>
      </c>
      <c r="C998" s="31" t="s">
        <v>263</v>
      </c>
      <c r="D998" s="97">
        <v>300.0</v>
      </c>
      <c r="E998" s="100"/>
      <c r="F998" s="100"/>
      <c r="G998" s="100"/>
      <c r="H998" s="100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</row>
    <row r="999" ht="15.75" customHeight="1">
      <c r="A999" s="102"/>
      <c r="B999" s="31" t="s">
        <v>244</v>
      </c>
      <c r="C999" s="31" t="s">
        <v>245</v>
      </c>
      <c r="D999" s="97">
        <v>500.0</v>
      </c>
      <c r="E999" s="100"/>
      <c r="F999" s="100"/>
      <c r="G999" s="100"/>
      <c r="H999" s="100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</row>
    <row r="1000" ht="15.75" customHeight="1">
      <c r="A1000" s="102"/>
      <c r="B1000" s="100"/>
      <c r="C1000" s="115"/>
      <c r="D1000" s="102"/>
      <c r="E1000" s="100"/>
      <c r="F1000" s="100"/>
      <c r="G1000" s="100"/>
      <c r="H1000" s="100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</row>
    <row r="1001" ht="15.75" customHeight="1">
      <c r="A1001" s="102"/>
      <c r="B1001" s="100"/>
      <c r="C1001" s="115"/>
      <c r="D1001" s="102"/>
      <c r="E1001" s="100"/>
      <c r="F1001" s="100"/>
      <c r="G1001" s="100"/>
      <c r="H1001" s="100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</row>
    <row r="1002" ht="15.75" customHeight="1">
      <c r="A1002" s="102"/>
      <c r="B1002" s="100"/>
      <c r="C1002" s="115"/>
      <c r="D1002" s="102"/>
      <c r="E1002" s="100"/>
      <c r="F1002" s="100"/>
      <c r="G1002" s="100"/>
      <c r="H1002" s="100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</row>
    <row r="1003" ht="15.75" customHeight="1">
      <c r="A1003" s="102"/>
      <c r="B1003" s="100"/>
      <c r="C1003" s="115"/>
      <c r="D1003" s="102"/>
      <c r="E1003" s="100"/>
      <c r="F1003" s="100"/>
      <c r="G1003" s="100"/>
      <c r="H1003" s="100"/>
      <c r="I1003" s="221"/>
      <c r="J1003" s="221"/>
      <c r="K1003" s="221"/>
      <c r="L1003" s="221"/>
      <c r="M1003" s="221"/>
      <c r="N1003" s="221"/>
      <c r="O1003" s="221"/>
      <c r="P1003" s="221"/>
      <c r="Q1003" s="221"/>
      <c r="R1003" s="221"/>
      <c r="S1003" s="221"/>
      <c r="T1003" s="221"/>
      <c r="U1003" s="221"/>
      <c r="V1003" s="221"/>
      <c r="W1003" s="221"/>
      <c r="X1003" s="221"/>
      <c r="Y1003" s="221"/>
      <c r="Z1003" s="221"/>
    </row>
    <row r="1004" ht="15.75" customHeight="1">
      <c r="A1004" s="102"/>
      <c r="B1004" s="100"/>
      <c r="C1004" s="115"/>
      <c r="D1004" s="102"/>
      <c r="E1004" s="100"/>
      <c r="F1004" s="100"/>
      <c r="G1004" s="100"/>
      <c r="H1004" s="100"/>
      <c r="I1004" s="221"/>
      <c r="J1004" s="221"/>
      <c r="K1004" s="221"/>
      <c r="L1004" s="221"/>
      <c r="M1004" s="221"/>
      <c r="N1004" s="221"/>
      <c r="O1004" s="221"/>
      <c r="P1004" s="221"/>
      <c r="Q1004" s="221"/>
      <c r="R1004" s="221"/>
      <c r="S1004" s="221"/>
      <c r="T1004" s="221"/>
      <c r="U1004" s="221"/>
      <c r="V1004" s="221"/>
      <c r="W1004" s="221"/>
      <c r="X1004" s="221"/>
      <c r="Y1004" s="221"/>
      <c r="Z1004" s="221"/>
    </row>
    <row r="1005" ht="15.75" customHeight="1">
      <c r="A1005" s="102"/>
      <c r="B1005" s="100"/>
      <c r="C1005" s="115"/>
      <c r="D1005" s="102"/>
      <c r="E1005" s="100"/>
      <c r="F1005" s="100"/>
      <c r="G1005" s="100"/>
      <c r="H1005" s="100"/>
      <c r="I1005" s="221"/>
      <c r="J1005" s="221"/>
      <c r="K1005" s="221"/>
      <c r="L1005" s="221"/>
      <c r="M1005" s="221"/>
      <c r="N1005" s="221"/>
      <c r="O1005" s="221"/>
      <c r="P1005" s="221"/>
      <c r="Q1005" s="221"/>
      <c r="R1005" s="221"/>
      <c r="S1005" s="221"/>
      <c r="T1005" s="221"/>
      <c r="U1005" s="221"/>
      <c r="V1005" s="221"/>
      <c r="W1005" s="221"/>
      <c r="X1005" s="221"/>
      <c r="Y1005" s="221"/>
      <c r="Z1005" s="221"/>
    </row>
    <row r="1006" ht="15.75" customHeight="1">
      <c r="A1006" s="102"/>
      <c r="B1006" s="100"/>
      <c r="C1006" s="115"/>
      <c r="D1006" s="102"/>
      <c r="E1006" s="100"/>
      <c r="F1006" s="100"/>
      <c r="G1006" s="100"/>
      <c r="H1006" s="100"/>
      <c r="I1006" s="221"/>
      <c r="J1006" s="221"/>
      <c r="K1006" s="221"/>
      <c r="L1006" s="221"/>
      <c r="M1006" s="221"/>
      <c r="N1006" s="221"/>
      <c r="O1006" s="221"/>
      <c r="P1006" s="221"/>
      <c r="Q1006" s="221"/>
      <c r="R1006" s="221"/>
      <c r="S1006" s="221"/>
      <c r="T1006" s="221"/>
      <c r="U1006" s="221"/>
      <c r="V1006" s="221"/>
      <c r="W1006" s="221"/>
      <c r="X1006" s="221"/>
      <c r="Y1006" s="221"/>
      <c r="Z1006" s="221"/>
    </row>
    <row r="1007" ht="15.75" customHeight="1">
      <c r="A1007" s="102"/>
      <c r="B1007" s="100"/>
      <c r="C1007" s="115"/>
      <c r="D1007" s="102"/>
      <c r="E1007" s="100"/>
      <c r="F1007" s="100"/>
      <c r="G1007" s="100"/>
      <c r="H1007" s="100"/>
      <c r="I1007" s="221"/>
      <c r="J1007" s="221"/>
      <c r="K1007" s="221"/>
      <c r="L1007" s="221"/>
      <c r="M1007" s="221"/>
      <c r="N1007" s="221"/>
      <c r="O1007" s="221"/>
      <c r="P1007" s="221"/>
      <c r="Q1007" s="221"/>
      <c r="R1007" s="221"/>
      <c r="S1007" s="221"/>
      <c r="T1007" s="221"/>
      <c r="U1007" s="221"/>
      <c r="V1007" s="221"/>
      <c r="W1007" s="221"/>
      <c r="X1007" s="221"/>
      <c r="Y1007" s="221"/>
      <c r="Z1007" s="221"/>
    </row>
    <row r="1008" ht="15.75" customHeight="1">
      <c r="A1008" s="102"/>
      <c r="B1008" s="100"/>
      <c r="C1008" s="115"/>
      <c r="D1008" s="102"/>
      <c r="E1008" s="100"/>
      <c r="F1008" s="100"/>
      <c r="G1008" s="100"/>
      <c r="H1008" s="100"/>
      <c r="I1008" s="221"/>
      <c r="J1008" s="221"/>
      <c r="K1008" s="221"/>
      <c r="L1008" s="221"/>
      <c r="M1008" s="221"/>
      <c r="N1008" s="221"/>
      <c r="O1008" s="221"/>
      <c r="P1008" s="221"/>
      <c r="Q1008" s="221"/>
      <c r="R1008" s="221"/>
      <c r="S1008" s="221"/>
      <c r="T1008" s="221"/>
      <c r="U1008" s="221"/>
      <c r="V1008" s="221"/>
      <c r="W1008" s="221"/>
      <c r="X1008" s="221"/>
      <c r="Y1008" s="221"/>
      <c r="Z1008" s="221"/>
    </row>
    <row r="1009" ht="15.75" customHeight="1">
      <c r="A1009" s="102"/>
      <c r="B1009" s="100"/>
      <c r="C1009" s="115"/>
      <c r="D1009" s="102"/>
      <c r="E1009" s="100"/>
      <c r="F1009" s="100"/>
      <c r="G1009" s="100"/>
      <c r="H1009" s="100"/>
      <c r="I1009" s="221"/>
      <c r="J1009" s="221"/>
      <c r="K1009" s="221"/>
      <c r="L1009" s="221"/>
      <c r="M1009" s="221"/>
      <c r="N1009" s="221"/>
      <c r="O1009" s="221"/>
      <c r="P1009" s="221"/>
      <c r="Q1009" s="221"/>
      <c r="R1009" s="221"/>
      <c r="S1009" s="221"/>
      <c r="T1009" s="221"/>
      <c r="U1009" s="221"/>
      <c r="V1009" s="221"/>
      <c r="W1009" s="221"/>
      <c r="X1009" s="221"/>
      <c r="Y1009" s="221"/>
      <c r="Z1009" s="221"/>
    </row>
    <row r="1010" ht="15.75" customHeight="1">
      <c r="A1010" s="93"/>
      <c r="B1010" s="95"/>
      <c r="C1010" s="24" t="s">
        <v>662</v>
      </c>
      <c r="D1010" s="93"/>
      <c r="E1010" s="95"/>
      <c r="F1010" s="95"/>
      <c r="G1010" s="95"/>
      <c r="H1010" s="95"/>
    </row>
    <row r="1011" ht="15.75" customHeight="1">
      <c r="A1011" s="222">
        <v>45808.0</v>
      </c>
      <c r="B1011" s="72" t="s">
        <v>622</v>
      </c>
      <c r="C1011" s="116" t="s">
        <v>623</v>
      </c>
      <c r="D1011" s="207">
        <v>1500.0</v>
      </c>
      <c r="E1011" s="118"/>
      <c r="F1011" s="118"/>
      <c r="G1011" s="118"/>
      <c r="H1011" s="118"/>
    </row>
    <row r="1012" ht="15.75" customHeight="1">
      <c r="A1012" s="118"/>
      <c r="B1012" s="72" t="s">
        <v>620</v>
      </c>
      <c r="C1012" s="116" t="s">
        <v>621</v>
      </c>
      <c r="D1012" s="207">
        <v>1000.0</v>
      </c>
      <c r="E1012" s="118"/>
      <c r="F1012" s="118"/>
      <c r="G1012" s="118"/>
      <c r="H1012" s="118"/>
    </row>
    <row r="1013" ht="15.75" customHeight="1">
      <c r="A1013" s="118"/>
      <c r="B1013" s="72" t="s">
        <v>214</v>
      </c>
      <c r="C1013" s="116" t="s">
        <v>215</v>
      </c>
      <c r="D1013" s="118">
        <f>1000</f>
        <v>1000</v>
      </c>
      <c r="E1013" s="118"/>
      <c r="F1013" s="118"/>
      <c r="G1013" s="118"/>
      <c r="H1013" s="118"/>
    </row>
    <row r="1014" ht="15.75" customHeight="1">
      <c r="A1014" s="118"/>
      <c r="B1014" s="72" t="s">
        <v>113</v>
      </c>
      <c r="C1014" s="116" t="s">
        <v>114</v>
      </c>
      <c r="D1014" s="207">
        <v>1500.0</v>
      </c>
      <c r="E1014" s="118"/>
      <c r="F1014" s="118"/>
      <c r="G1014" s="118"/>
      <c r="H1014" s="118"/>
    </row>
    <row r="1015" ht="15.75" customHeight="1">
      <c r="A1015" s="118"/>
      <c r="B1015" s="119"/>
      <c r="C1015" s="120"/>
      <c r="D1015" s="118"/>
      <c r="E1015" s="118"/>
      <c r="F1015" s="118"/>
      <c r="G1015" s="118"/>
      <c r="H1015" s="118"/>
    </row>
    <row r="1016" ht="15.75" customHeight="1">
      <c r="A1016" s="96">
        <v>45810.0</v>
      </c>
      <c r="B1016" s="72" t="s">
        <v>214</v>
      </c>
      <c r="C1016" s="116" t="s">
        <v>215</v>
      </c>
      <c r="D1016" s="207">
        <v>1000.0</v>
      </c>
      <c r="E1016" s="118"/>
      <c r="F1016" s="118"/>
      <c r="G1016" s="118"/>
      <c r="H1016" s="118"/>
    </row>
    <row r="1017" ht="15.75" customHeight="1">
      <c r="A1017" s="118"/>
      <c r="B1017" s="72" t="s">
        <v>622</v>
      </c>
      <c r="C1017" s="116" t="s">
        <v>623</v>
      </c>
      <c r="D1017" s="207">
        <v>3000.0</v>
      </c>
      <c r="E1017" s="118"/>
      <c r="F1017" s="118"/>
      <c r="G1017" s="118"/>
      <c r="H1017" s="118"/>
    </row>
    <row r="1018" ht="15.75" customHeight="1">
      <c r="A1018" s="118"/>
      <c r="B1018" s="72" t="s">
        <v>113</v>
      </c>
      <c r="C1018" s="116" t="s">
        <v>114</v>
      </c>
      <c r="D1018" s="207">
        <v>1500.0</v>
      </c>
      <c r="E1018" s="118"/>
      <c r="F1018" s="118"/>
      <c r="G1018" s="118"/>
      <c r="H1018" s="118"/>
    </row>
    <row r="1019" ht="15.75" customHeight="1">
      <c r="A1019" s="118"/>
      <c r="B1019" s="72" t="s">
        <v>620</v>
      </c>
      <c r="C1019" s="116" t="s">
        <v>621</v>
      </c>
      <c r="D1019" s="207">
        <v>400.0</v>
      </c>
      <c r="E1019" s="118"/>
      <c r="F1019" s="118"/>
      <c r="G1019" s="118"/>
      <c r="H1019" s="118"/>
    </row>
    <row r="1020" ht="15.75" customHeight="1">
      <c r="A1020" s="118"/>
      <c r="B1020" s="72" t="s">
        <v>91</v>
      </c>
      <c r="C1020" s="116" t="s">
        <v>92</v>
      </c>
      <c r="D1020" s="207">
        <v>1000.0</v>
      </c>
      <c r="E1020" s="118"/>
      <c r="F1020" s="118"/>
      <c r="G1020" s="118"/>
      <c r="H1020" s="118"/>
    </row>
    <row r="1021" ht="15.75" customHeight="1">
      <c r="A1021" s="118"/>
      <c r="B1021" s="119"/>
      <c r="C1021" s="120"/>
      <c r="D1021" s="118"/>
      <c r="E1021" s="118"/>
      <c r="F1021" s="118"/>
      <c r="G1021" s="118"/>
      <c r="H1021" s="118"/>
    </row>
    <row r="1022" ht="15.75" customHeight="1">
      <c r="A1022" s="96">
        <v>45814.0</v>
      </c>
      <c r="B1022" s="72" t="s">
        <v>113</v>
      </c>
      <c r="C1022" s="116" t="s">
        <v>114</v>
      </c>
      <c r="D1022" s="118">
        <f>6000</f>
        <v>6000</v>
      </c>
      <c r="E1022" s="118"/>
      <c r="F1022" s="118"/>
      <c r="G1022" s="118"/>
      <c r="H1022" s="118"/>
    </row>
    <row r="1023" ht="15.75" customHeight="1">
      <c r="A1023" s="118"/>
      <c r="B1023" s="119"/>
      <c r="C1023" s="120"/>
      <c r="D1023" s="118"/>
      <c r="E1023" s="118"/>
      <c r="F1023" s="118"/>
      <c r="G1023" s="118"/>
      <c r="H1023" s="118"/>
    </row>
    <row r="1024" ht="15.75" customHeight="1">
      <c r="A1024" s="96">
        <v>45817.0</v>
      </c>
      <c r="B1024" s="31" t="s">
        <v>361</v>
      </c>
      <c r="C1024" s="31" t="s">
        <v>362</v>
      </c>
      <c r="D1024" s="207">
        <v>19.0</v>
      </c>
      <c r="E1024" s="118"/>
      <c r="F1024" s="118"/>
      <c r="G1024" s="118"/>
      <c r="H1024" s="118"/>
    </row>
    <row r="1025" ht="15.75" customHeight="1">
      <c r="A1025" s="118"/>
      <c r="B1025" s="119"/>
      <c r="C1025" s="120"/>
      <c r="D1025" s="118"/>
      <c r="E1025" s="118"/>
      <c r="F1025" s="118"/>
      <c r="G1025" s="118"/>
      <c r="H1025" s="118"/>
    </row>
    <row r="1026" ht="15.75" customHeight="1">
      <c r="A1026" s="96">
        <v>45818.0</v>
      </c>
      <c r="B1026" s="76" t="s">
        <v>214</v>
      </c>
      <c r="C1026" s="77" t="s">
        <v>215</v>
      </c>
      <c r="D1026" s="207">
        <v>1500.0</v>
      </c>
      <c r="E1026" s="118"/>
      <c r="F1026" s="118"/>
      <c r="G1026" s="118"/>
      <c r="H1026" s="118"/>
    </row>
    <row r="1027" ht="15.75" customHeight="1">
      <c r="A1027" s="118"/>
      <c r="B1027" s="76" t="s">
        <v>113</v>
      </c>
      <c r="C1027" s="77" t="s">
        <v>114</v>
      </c>
      <c r="D1027" s="207">
        <v>1500.0</v>
      </c>
      <c r="E1027" s="118"/>
      <c r="F1027" s="118"/>
      <c r="G1027" s="118"/>
      <c r="H1027" s="118"/>
    </row>
    <row r="1028" ht="15.75" customHeight="1">
      <c r="A1028" s="118"/>
      <c r="B1028" s="119"/>
      <c r="C1028" s="120"/>
      <c r="D1028" s="118"/>
      <c r="E1028" s="118"/>
      <c r="F1028" s="118"/>
      <c r="G1028" s="118"/>
      <c r="H1028" s="118"/>
    </row>
    <row r="1029" ht="15.75" customHeight="1">
      <c r="A1029" s="96">
        <v>45820.0</v>
      </c>
      <c r="B1029" s="76" t="s">
        <v>214</v>
      </c>
      <c r="C1029" s="77" t="s">
        <v>215</v>
      </c>
      <c r="D1029" s="207">
        <v>1000.0</v>
      </c>
      <c r="E1029" s="118"/>
      <c r="F1029" s="118"/>
      <c r="G1029" s="118"/>
      <c r="H1029" s="118"/>
    </row>
    <row r="1030" ht="15.75" customHeight="1">
      <c r="A1030" s="118"/>
      <c r="B1030" s="119"/>
      <c r="C1030" s="120"/>
      <c r="D1030" s="118"/>
      <c r="E1030" s="118"/>
      <c r="F1030" s="118"/>
      <c r="G1030" s="118"/>
      <c r="H1030" s="118"/>
    </row>
    <row r="1031" ht="15.75" customHeight="1">
      <c r="A1031" s="96">
        <v>45821.0</v>
      </c>
      <c r="B1031" s="76" t="s">
        <v>113</v>
      </c>
      <c r="C1031" s="77" t="s">
        <v>114</v>
      </c>
      <c r="D1031" s="207">
        <v>4500.0</v>
      </c>
      <c r="E1031" s="118"/>
      <c r="F1031" s="118"/>
      <c r="G1031" s="118"/>
      <c r="H1031" s="118"/>
    </row>
    <row r="1032" ht="15.75" customHeight="1">
      <c r="A1032" s="118"/>
      <c r="B1032" s="119"/>
      <c r="C1032" s="120"/>
      <c r="D1032" s="118"/>
      <c r="E1032" s="118"/>
      <c r="F1032" s="118"/>
      <c r="G1032" s="118"/>
      <c r="H1032" s="118"/>
    </row>
    <row r="1033" ht="15.75" customHeight="1">
      <c r="A1033" s="96">
        <v>45824.0</v>
      </c>
      <c r="B1033" s="113" t="s">
        <v>214</v>
      </c>
      <c r="C1033" s="77" t="s">
        <v>215</v>
      </c>
      <c r="D1033" s="207">
        <v>1000.0</v>
      </c>
      <c r="E1033" s="118"/>
      <c r="F1033" s="118"/>
      <c r="G1033" s="118"/>
      <c r="H1033" s="118"/>
    </row>
    <row r="1034" ht="15.75" customHeight="1">
      <c r="A1034" s="118"/>
      <c r="B1034" s="113" t="s">
        <v>113</v>
      </c>
      <c r="C1034" s="77" t="s">
        <v>114</v>
      </c>
      <c r="D1034" s="207">
        <v>3000.0</v>
      </c>
      <c r="E1034" s="118"/>
      <c r="F1034" s="118"/>
      <c r="G1034" s="118"/>
      <c r="H1034" s="118"/>
    </row>
    <row r="1035" ht="15.75" customHeight="1">
      <c r="A1035" s="118"/>
      <c r="B1035" s="119"/>
      <c r="C1035" s="120"/>
      <c r="D1035" s="118"/>
      <c r="E1035" s="118"/>
      <c r="F1035" s="118"/>
      <c r="G1035" s="118"/>
      <c r="H1035" s="118"/>
    </row>
    <row r="1036" ht="15.75" customHeight="1">
      <c r="A1036" s="96">
        <v>45825.0</v>
      </c>
      <c r="B1036" s="72" t="s">
        <v>636</v>
      </c>
      <c r="C1036" s="108" t="s">
        <v>637</v>
      </c>
      <c r="D1036" s="207">
        <v>3000.0</v>
      </c>
      <c r="E1036" s="118"/>
      <c r="F1036" s="118"/>
      <c r="G1036" s="118"/>
      <c r="H1036" s="118"/>
    </row>
    <row r="1037" ht="15.75" customHeight="1">
      <c r="A1037" s="118"/>
      <c r="B1037" s="113" t="s">
        <v>214</v>
      </c>
      <c r="C1037" s="77" t="s">
        <v>215</v>
      </c>
      <c r="D1037" s="207">
        <v>1000.0</v>
      </c>
      <c r="E1037" s="118"/>
      <c r="F1037" s="118"/>
      <c r="G1037" s="118"/>
      <c r="H1037" s="118"/>
    </row>
    <row r="1038" ht="15.75" customHeight="1">
      <c r="A1038" s="118"/>
      <c r="B1038" s="119"/>
      <c r="C1038" s="120"/>
      <c r="D1038" s="118"/>
      <c r="E1038" s="118"/>
      <c r="F1038" s="118"/>
      <c r="G1038" s="118"/>
      <c r="H1038" s="118"/>
    </row>
    <row r="1039" ht="15.75" customHeight="1">
      <c r="A1039" s="96">
        <v>45827.0</v>
      </c>
      <c r="B1039" s="113" t="s">
        <v>214</v>
      </c>
      <c r="C1039" s="77" t="s">
        <v>215</v>
      </c>
      <c r="D1039" s="207">
        <v>1000.0</v>
      </c>
      <c r="E1039" s="118"/>
      <c r="F1039" s="118"/>
      <c r="G1039" s="118"/>
      <c r="H1039" s="118"/>
    </row>
    <row r="1040" ht="15.75" customHeight="1">
      <c r="A1040" s="118"/>
      <c r="B1040" s="119"/>
      <c r="C1040" s="120"/>
      <c r="D1040" s="118"/>
      <c r="E1040" s="118"/>
      <c r="F1040" s="118"/>
      <c r="G1040" s="118"/>
      <c r="H1040" s="118"/>
    </row>
    <row r="1041" ht="15.75" customHeight="1">
      <c r="A1041" s="118"/>
      <c r="B1041" s="119"/>
      <c r="C1041" s="120"/>
      <c r="D1041" s="118"/>
      <c r="E1041" s="118"/>
      <c r="F1041" s="118"/>
      <c r="G1041" s="118"/>
      <c r="H1041" s="118"/>
    </row>
    <row r="1042" ht="15.75" customHeight="1">
      <c r="A1042" s="118"/>
      <c r="B1042" s="119"/>
      <c r="C1042" s="120"/>
      <c r="D1042" s="118"/>
      <c r="E1042" s="118"/>
      <c r="F1042" s="118"/>
      <c r="G1042" s="118"/>
      <c r="H1042" s="118"/>
    </row>
    <row r="1043" ht="15.75" customHeight="1">
      <c r="A1043" s="118"/>
      <c r="B1043" s="119"/>
      <c r="C1043" s="120"/>
      <c r="D1043" s="118"/>
      <c r="E1043" s="118"/>
      <c r="F1043" s="118"/>
      <c r="G1043" s="118"/>
      <c r="H1043" s="118"/>
    </row>
    <row r="1044" ht="15.75" customHeight="1">
      <c r="A1044" s="118"/>
      <c r="B1044" s="119"/>
      <c r="C1044" s="120"/>
      <c r="D1044" s="118"/>
      <c r="E1044" s="118"/>
      <c r="F1044" s="118"/>
      <c r="G1044" s="118"/>
      <c r="H1044" s="118"/>
    </row>
    <row r="1045" ht="15.75" customHeight="1">
      <c r="A1045" s="118"/>
      <c r="B1045" s="119"/>
      <c r="C1045" s="120"/>
      <c r="D1045" s="118"/>
      <c r="E1045" s="118"/>
      <c r="F1045" s="118"/>
      <c r="G1045" s="118"/>
      <c r="H1045" s="118"/>
    </row>
    <row r="1046" ht="15.75" customHeight="1">
      <c r="A1046" s="118"/>
      <c r="B1046" s="119"/>
      <c r="C1046" s="120"/>
      <c r="D1046" s="118"/>
      <c r="E1046" s="118"/>
      <c r="F1046" s="118"/>
      <c r="G1046" s="118"/>
      <c r="H1046" s="118"/>
    </row>
    <row r="1047" ht="15.75" customHeight="1">
      <c r="A1047" s="118"/>
      <c r="B1047" s="119"/>
      <c r="C1047" s="120"/>
      <c r="D1047" s="118"/>
      <c r="E1047" s="118"/>
      <c r="F1047" s="118"/>
      <c r="G1047" s="118"/>
      <c r="H1047" s="118"/>
    </row>
    <row r="1048" ht="15.75" customHeight="1">
      <c r="A1048" s="118"/>
      <c r="B1048" s="119"/>
      <c r="C1048" s="120"/>
      <c r="D1048" s="118"/>
      <c r="E1048" s="118"/>
      <c r="F1048" s="118"/>
      <c r="G1048" s="118"/>
      <c r="H1048" s="118"/>
    </row>
    <row r="1049" ht="15.75" customHeight="1">
      <c r="A1049" s="118"/>
      <c r="B1049" s="118"/>
      <c r="C1049" s="118"/>
      <c r="D1049" s="118"/>
      <c r="E1049" s="118"/>
      <c r="F1049" s="118"/>
      <c r="G1049" s="118"/>
      <c r="H1049" s="118"/>
    </row>
    <row r="1050" ht="15.75" customHeight="1">
      <c r="A1050" s="118"/>
      <c r="B1050" s="118"/>
      <c r="C1050" s="118"/>
      <c r="D1050" s="118"/>
      <c r="E1050" s="118"/>
      <c r="F1050" s="118"/>
      <c r="G1050" s="118"/>
      <c r="H1050" s="118"/>
    </row>
    <row r="1051" ht="15.75" customHeight="1">
      <c r="A1051" s="93"/>
      <c r="B1051" s="95"/>
      <c r="C1051" s="24" t="s">
        <v>239</v>
      </c>
      <c r="D1051" s="93"/>
      <c r="E1051" s="95"/>
      <c r="F1051" s="95"/>
      <c r="G1051" s="95"/>
      <c r="H1051" s="95"/>
    </row>
    <row r="1052" ht="15.75" customHeight="1">
      <c r="A1052" s="222">
        <v>45808.0</v>
      </c>
      <c r="B1052" s="39" t="s">
        <v>240</v>
      </c>
      <c r="C1052" s="41" t="s">
        <v>241</v>
      </c>
      <c r="D1052" s="118">
        <f>22+22+29+31+31+20+31+34+29+21</f>
        <v>270</v>
      </c>
      <c r="E1052" s="118"/>
      <c r="F1052" s="118"/>
      <c r="G1052" s="118"/>
      <c r="H1052" s="118"/>
    </row>
    <row r="1053" ht="15.75" customHeight="1">
      <c r="A1053" s="118"/>
      <c r="B1053" s="118"/>
      <c r="C1053" s="118"/>
      <c r="D1053" s="118"/>
      <c r="E1053" s="118"/>
      <c r="F1053" s="118"/>
      <c r="G1053" s="118"/>
      <c r="H1053" s="118"/>
    </row>
    <row r="1054" ht="15.75" customHeight="1">
      <c r="A1054" s="222">
        <v>45810.0</v>
      </c>
      <c r="B1054" s="39" t="s">
        <v>240</v>
      </c>
      <c r="C1054" s="41" t="s">
        <v>241</v>
      </c>
      <c r="D1054" s="118">
        <f>29+28+24+28+24+29+28+26+22+21+20+19+27</f>
        <v>325</v>
      </c>
      <c r="E1054" s="118"/>
      <c r="F1054" s="118"/>
      <c r="G1054" s="118"/>
      <c r="H1054" s="118"/>
    </row>
    <row r="1055" ht="15.75" customHeight="1">
      <c r="A1055" s="118"/>
      <c r="B1055" s="118"/>
      <c r="C1055" s="118"/>
      <c r="D1055" s="118"/>
      <c r="E1055" s="118"/>
      <c r="F1055" s="118"/>
      <c r="G1055" s="118"/>
      <c r="H1055" s="118"/>
    </row>
    <row r="1056" ht="15.75" customHeight="1">
      <c r="A1056" s="222">
        <v>45811.0</v>
      </c>
      <c r="B1056" s="39" t="s">
        <v>240</v>
      </c>
      <c r="C1056" s="41" t="s">
        <v>241</v>
      </c>
      <c r="D1056" s="118">
        <f>29+25+28+28+28+28+24+26+29</f>
        <v>245</v>
      </c>
      <c r="E1056" s="118"/>
      <c r="F1056" s="118"/>
      <c r="G1056" s="118"/>
      <c r="H1056" s="118"/>
    </row>
    <row r="1057" ht="15.75" customHeight="1">
      <c r="A1057" s="118"/>
      <c r="B1057" s="31" t="s">
        <v>256</v>
      </c>
      <c r="C1057" s="31" t="s">
        <v>257</v>
      </c>
      <c r="D1057" s="207">
        <v>200.0</v>
      </c>
      <c r="E1057" s="118"/>
      <c r="F1057" s="118"/>
      <c r="G1057" s="118"/>
      <c r="H1057" s="118"/>
    </row>
    <row r="1058" ht="15.75" customHeight="1">
      <c r="A1058" s="118"/>
      <c r="B1058" s="31" t="s">
        <v>297</v>
      </c>
      <c r="C1058" s="31" t="s">
        <v>298</v>
      </c>
      <c r="D1058" s="207">
        <v>6.0</v>
      </c>
      <c r="E1058" s="118"/>
      <c r="F1058" s="118"/>
      <c r="G1058" s="118"/>
      <c r="H1058" s="118"/>
    </row>
    <row r="1059" ht="15.75" customHeight="1">
      <c r="A1059" s="118"/>
      <c r="B1059" s="39" t="s">
        <v>252</v>
      </c>
      <c r="C1059" s="41" t="s">
        <v>253</v>
      </c>
      <c r="D1059" s="118">
        <f>24+26+24</f>
        <v>74</v>
      </c>
      <c r="E1059" s="118"/>
      <c r="F1059" s="118"/>
      <c r="G1059" s="118"/>
      <c r="H1059" s="118"/>
    </row>
    <row r="1060" ht="15.75" customHeight="1">
      <c r="A1060" s="222"/>
      <c r="B1060" s="118"/>
      <c r="C1060" s="118"/>
      <c r="D1060" s="118"/>
      <c r="E1060" s="118"/>
      <c r="F1060" s="118"/>
      <c r="G1060" s="118"/>
      <c r="H1060" s="118"/>
    </row>
    <row r="1061" ht="15.75" customHeight="1">
      <c r="A1061" s="222">
        <v>45812.0</v>
      </c>
      <c r="B1061" s="39" t="s">
        <v>252</v>
      </c>
      <c r="C1061" s="41" t="s">
        <v>253</v>
      </c>
      <c r="D1061" s="118">
        <f>23+27+22+16+31+22+23+25+23+22</f>
        <v>234</v>
      </c>
      <c r="E1061" s="118"/>
      <c r="F1061" s="118"/>
      <c r="G1061" s="118"/>
      <c r="H1061" s="118"/>
    </row>
    <row r="1062" ht="15.75" customHeight="1">
      <c r="A1062" s="118"/>
      <c r="B1062" s="31" t="s">
        <v>578</v>
      </c>
      <c r="C1062" s="31" t="s">
        <v>579</v>
      </c>
      <c r="D1062" s="207">
        <v>135.0</v>
      </c>
      <c r="E1062" s="118"/>
      <c r="F1062" s="118"/>
      <c r="G1062" s="118"/>
      <c r="H1062" s="118"/>
    </row>
    <row r="1063" ht="15.75" customHeight="1">
      <c r="A1063" s="118"/>
      <c r="B1063" s="134" t="s">
        <v>405</v>
      </c>
      <c r="C1063" s="135" t="s">
        <v>406</v>
      </c>
      <c r="D1063" s="207">
        <v>45.0</v>
      </c>
      <c r="E1063" s="118"/>
      <c r="F1063" s="118"/>
      <c r="G1063" s="118"/>
      <c r="H1063" s="118"/>
    </row>
    <row r="1064" ht="15.75" customHeight="1">
      <c r="A1064" s="118"/>
      <c r="B1064" s="134" t="s">
        <v>365</v>
      </c>
      <c r="C1064" s="135" t="s">
        <v>366</v>
      </c>
      <c r="D1064" s="118">
        <f>28+53</f>
        <v>81</v>
      </c>
      <c r="E1064" s="118"/>
      <c r="F1064" s="118"/>
      <c r="G1064" s="118"/>
      <c r="H1064" s="118"/>
    </row>
    <row r="1065" ht="15.75" customHeight="1">
      <c r="A1065" s="118"/>
      <c r="B1065" s="118"/>
      <c r="C1065" s="118"/>
      <c r="D1065" s="118"/>
      <c r="E1065" s="118"/>
      <c r="F1065" s="118"/>
      <c r="G1065" s="118"/>
      <c r="H1065" s="118"/>
    </row>
    <row r="1066" ht="15.75" customHeight="1">
      <c r="A1066" s="222">
        <v>45813.0</v>
      </c>
      <c r="B1066" s="39" t="s">
        <v>252</v>
      </c>
      <c r="C1066" s="41" t="s">
        <v>253</v>
      </c>
      <c r="D1066" s="118">
        <f>25+26+25+18+22+22+23+22+22+23+25</f>
        <v>253</v>
      </c>
      <c r="E1066" s="118"/>
      <c r="F1066" s="118"/>
      <c r="G1066" s="118"/>
      <c r="H1066" s="118"/>
    </row>
    <row r="1067" ht="15.75" customHeight="1">
      <c r="A1067" s="118"/>
      <c r="B1067" s="31" t="s">
        <v>323</v>
      </c>
      <c r="C1067" s="31" t="s">
        <v>324</v>
      </c>
      <c r="D1067" s="207">
        <v>5.0</v>
      </c>
      <c r="E1067" s="118"/>
      <c r="F1067" s="118"/>
      <c r="G1067" s="118"/>
      <c r="H1067" s="118"/>
    </row>
    <row r="1068" ht="15.75" customHeight="1">
      <c r="A1068" s="118"/>
      <c r="B1068" s="118"/>
      <c r="C1068" s="118"/>
      <c r="D1068" s="118"/>
      <c r="E1068" s="118"/>
      <c r="F1068" s="118"/>
      <c r="G1068" s="118"/>
      <c r="H1068" s="118"/>
    </row>
    <row r="1069" ht="15.75" customHeight="1">
      <c r="A1069" s="222">
        <v>45814.0</v>
      </c>
      <c r="B1069" s="31" t="s">
        <v>578</v>
      </c>
      <c r="C1069" s="31" t="s">
        <v>579</v>
      </c>
      <c r="D1069" s="207">
        <v>172.0</v>
      </c>
      <c r="E1069" s="118"/>
      <c r="F1069" s="118"/>
      <c r="G1069" s="118"/>
      <c r="H1069" s="118"/>
    </row>
    <row r="1070" ht="15.75" customHeight="1">
      <c r="A1070" s="118"/>
      <c r="B1070" s="39" t="s">
        <v>258</v>
      </c>
      <c r="C1070" s="41" t="s">
        <v>259</v>
      </c>
      <c r="D1070" s="118">
        <f>30+33+29+24+24+15</f>
        <v>155</v>
      </c>
      <c r="E1070" s="118"/>
      <c r="F1070" s="118"/>
      <c r="G1070" s="118"/>
      <c r="H1070" s="118"/>
    </row>
    <row r="1071" ht="15.75" customHeight="1">
      <c r="A1071" s="118"/>
      <c r="B1071" s="118"/>
      <c r="C1071" s="118"/>
      <c r="D1071" s="118"/>
      <c r="E1071" s="118"/>
      <c r="F1071" s="118"/>
      <c r="G1071" s="118"/>
      <c r="H1071" s="118"/>
    </row>
    <row r="1072" ht="15.75" customHeight="1">
      <c r="A1072" s="222">
        <v>45815.0</v>
      </c>
      <c r="B1072" s="31" t="s">
        <v>578</v>
      </c>
      <c r="C1072" s="31" t="s">
        <v>579</v>
      </c>
      <c r="D1072" s="118">
        <f>160</f>
        <v>160</v>
      </c>
      <c r="E1072" s="118"/>
      <c r="F1072" s="118"/>
      <c r="G1072" s="118"/>
      <c r="H1072" s="118"/>
    </row>
    <row r="1073" ht="15.75" customHeight="1">
      <c r="A1073" s="118"/>
      <c r="B1073" s="39" t="s">
        <v>258</v>
      </c>
      <c r="C1073" s="41" t="s">
        <v>259</v>
      </c>
      <c r="D1073" s="118">
        <f>20+24+28+30+15+18</f>
        <v>135</v>
      </c>
      <c r="E1073" s="118"/>
      <c r="F1073" s="118"/>
      <c r="G1073" s="118"/>
      <c r="H1073" s="118"/>
    </row>
    <row r="1074" ht="15.75" customHeight="1">
      <c r="A1074" s="118"/>
      <c r="B1074" s="118"/>
      <c r="C1074" s="118"/>
      <c r="D1074" s="118"/>
      <c r="E1074" s="118"/>
      <c r="F1074" s="118"/>
      <c r="G1074" s="118"/>
      <c r="H1074" s="118"/>
    </row>
    <row r="1075" ht="15.75" customHeight="1">
      <c r="A1075" s="222">
        <v>45817.0</v>
      </c>
      <c r="B1075" s="39" t="s">
        <v>258</v>
      </c>
      <c r="C1075" s="41" t="s">
        <v>259</v>
      </c>
      <c r="D1075" s="118">
        <f>34+34+34+37+32+33+28+36</f>
        <v>268</v>
      </c>
      <c r="E1075" s="118"/>
      <c r="F1075" s="118"/>
      <c r="G1075" s="118"/>
      <c r="H1075" s="118"/>
    </row>
    <row r="1076" ht="15.75" customHeight="1">
      <c r="A1076" s="118"/>
      <c r="B1076" s="118"/>
      <c r="C1076" s="118"/>
      <c r="D1076" s="118"/>
      <c r="E1076" s="118"/>
      <c r="F1076" s="118"/>
      <c r="G1076" s="118"/>
      <c r="H1076" s="118"/>
    </row>
    <row r="1077" ht="15.75" customHeight="1">
      <c r="A1077" s="222">
        <v>45818.0</v>
      </c>
      <c r="B1077" s="39" t="s">
        <v>258</v>
      </c>
      <c r="C1077" s="41" t="s">
        <v>259</v>
      </c>
      <c r="D1077" s="118">
        <f>35+35+30+26+26</f>
        <v>152</v>
      </c>
      <c r="E1077" s="118"/>
      <c r="F1077" s="118"/>
      <c r="G1077" s="118"/>
      <c r="H1077" s="118"/>
    </row>
    <row r="1078" ht="15.75" customHeight="1">
      <c r="A1078" s="118"/>
      <c r="B1078" s="39" t="s">
        <v>252</v>
      </c>
      <c r="C1078" s="41" t="s">
        <v>253</v>
      </c>
      <c r="D1078" s="118">
        <f>23+24+25+27+16+17</f>
        <v>132</v>
      </c>
      <c r="E1078" s="118"/>
      <c r="F1078" s="118"/>
      <c r="G1078" s="118"/>
      <c r="H1078" s="118"/>
    </row>
    <row r="1079" ht="15.75" customHeight="1">
      <c r="A1079" s="118"/>
      <c r="B1079" s="118"/>
      <c r="C1079" s="118"/>
      <c r="D1079" s="118"/>
      <c r="E1079" s="118"/>
      <c r="F1079" s="118"/>
      <c r="G1079" s="118"/>
      <c r="H1079" s="118"/>
    </row>
    <row r="1080" ht="15.75" customHeight="1">
      <c r="A1080" s="222">
        <v>45819.0</v>
      </c>
      <c r="B1080" s="39" t="s">
        <v>252</v>
      </c>
      <c r="C1080" s="41" t="s">
        <v>253</v>
      </c>
      <c r="D1080" s="118">
        <f>25+23+23+21+23+23+22+22+24+23+23+23</f>
        <v>275</v>
      </c>
      <c r="E1080" s="118"/>
      <c r="F1080" s="118"/>
      <c r="G1080" s="118"/>
      <c r="H1080" s="118"/>
    </row>
    <row r="1081" ht="15.75" customHeight="1">
      <c r="A1081" s="118"/>
      <c r="B1081" s="118"/>
      <c r="C1081" s="118"/>
      <c r="D1081" s="118"/>
      <c r="E1081" s="118"/>
      <c r="F1081" s="118"/>
      <c r="G1081" s="118"/>
      <c r="H1081" s="118"/>
    </row>
    <row r="1082" ht="15.75" customHeight="1">
      <c r="A1082" s="222">
        <v>45820.0</v>
      </c>
      <c r="B1082" s="39" t="s">
        <v>252</v>
      </c>
      <c r="C1082" s="41" t="s">
        <v>253</v>
      </c>
      <c r="D1082" s="118">
        <f>23</f>
        <v>23</v>
      </c>
      <c r="E1082" s="118"/>
      <c r="F1082" s="118"/>
      <c r="G1082" s="118"/>
      <c r="H1082" s="118"/>
    </row>
    <row r="1083" ht="15.75" customHeight="1">
      <c r="A1083" s="118"/>
      <c r="B1083" s="39" t="s">
        <v>258</v>
      </c>
      <c r="C1083" s="41" t="s">
        <v>259</v>
      </c>
      <c r="D1083" s="118">
        <f>35+29+34+33+32+17</f>
        <v>180</v>
      </c>
      <c r="E1083" s="118"/>
      <c r="F1083" s="118"/>
      <c r="G1083" s="118"/>
      <c r="H1083" s="118"/>
    </row>
    <row r="1084" ht="15.75" customHeight="1">
      <c r="A1084" s="118"/>
      <c r="B1084" s="31" t="s">
        <v>385</v>
      </c>
      <c r="C1084" s="31" t="s">
        <v>386</v>
      </c>
      <c r="D1084" s="207">
        <v>10.0</v>
      </c>
      <c r="E1084" s="118"/>
      <c r="F1084" s="118"/>
      <c r="G1084" s="118"/>
      <c r="H1084" s="118"/>
    </row>
    <row r="1085" ht="15.75" customHeight="1">
      <c r="A1085" s="118"/>
      <c r="B1085" s="118"/>
      <c r="C1085" s="118"/>
      <c r="D1085" s="118"/>
      <c r="E1085" s="118"/>
      <c r="F1085" s="118"/>
      <c r="G1085" s="118"/>
      <c r="H1085" s="118"/>
    </row>
    <row r="1086" ht="15.75" customHeight="1">
      <c r="A1086" s="222">
        <v>45821.0</v>
      </c>
      <c r="B1086" s="39" t="s">
        <v>258</v>
      </c>
      <c r="C1086" s="41" t="s">
        <v>259</v>
      </c>
      <c r="D1086" s="118">
        <f>32+37+33+31+40+32+35+32</f>
        <v>272</v>
      </c>
      <c r="E1086" s="118"/>
      <c r="F1086" s="118"/>
      <c r="G1086" s="118"/>
      <c r="H1086" s="118"/>
    </row>
    <row r="1087" ht="15.75" customHeight="1">
      <c r="A1087" s="118"/>
      <c r="B1087" s="31" t="s">
        <v>578</v>
      </c>
      <c r="C1087" s="31" t="s">
        <v>579</v>
      </c>
      <c r="D1087" s="207">
        <v>77.0</v>
      </c>
      <c r="E1087" s="118"/>
      <c r="F1087" s="118"/>
      <c r="G1087" s="118"/>
      <c r="H1087" s="118"/>
    </row>
    <row r="1088" ht="15.75" customHeight="1">
      <c r="A1088" s="118"/>
      <c r="B1088" s="118"/>
      <c r="C1088" s="118"/>
      <c r="D1088" s="118"/>
      <c r="E1088" s="118"/>
      <c r="F1088" s="118"/>
      <c r="G1088" s="118"/>
      <c r="H1088" s="118"/>
    </row>
    <row r="1089" ht="15.75" customHeight="1">
      <c r="A1089" s="222">
        <v>45822.0</v>
      </c>
      <c r="B1089" s="39" t="s">
        <v>258</v>
      </c>
      <c r="C1089" s="41" t="s">
        <v>259</v>
      </c>
      <c r="D1089" s="118">
        <f>32+26+34+34+34+37+9+30+34</f>
        <v>270</v>
      </c>
      <c r="E1089" s="118"/>
      <c r="F1089" s="118"/>
      <c r="G1089" s="118"/>
      <c r="H1089" s="118"/>
    </row>
    <row r="1090" ht="15.75" customHeight="1">
      <c r="A1090" s="118"/>
      <c r="B1090" s="118"/>
      <c r="C1090" s="118"/>
      <c r="D1090" s="118"/>
      <c r="E1090" s="118"/>
      <c r="F1090" s="118"/>
      <c r="G1090" s="118"/>
      <c r="H1090" s="118"/>
    </row>
    <row r="1091" ht="15.75" customHeight="1">
      <c r="A1091" s="222">
        <v>45824.0</v>
      </c>
      <c r="B1091" s="39" t="s">
        <v>252</v>
      </c>
      <c r="C1091" s="41" t="s">
        <v>253</v>
      </c>
      <c r="D1091" s="118">
        <f>24+24+26+27+23+22+19+24+26+19+23</f>
        <v>257</v>
      </c>
      <c r="E1091" s="118"/>
      <c r="F1091" s="118"/>
      <c r="G1091" s="118"/>
      <c r="H1091" s="118"/>
    </row>
    <row r="1092" ht="15.75" customHeight="1">
      <c r="A1092" s="118"/>
      <c r="B1092" s="118"/>
      <c r="C1092" s="118"/>
      <c r="D1092" s="118"/>
      <c r="E1092" s="118"/>
      <c r="F1092" s="118"/>
      <c r="G1092" s="118"/>
      <c r="H1092" s="118"/>
    </row>
    <row r="1093" ht="15.75" customHeight="1">
      <c r="A1093" s="222">
        <v>45825.0</v>
      </c>
      <c r="B1093" s="39" t="s">
        <v>252</v>
      </c>
      <c r="C1093" s="41" t="s">
        <v>253</v>
      </c>
      <c r="D1093" s="118">
        <f>23+12+14+21+23+14+20+20+21+16+18+23+17+23+12</f>
        <v>277</v>
      </c>
      <c r="E1093" s="118"/>
      <c r="F1093" s="118"/>
      <c r="G1093" s="118"/>
      <c r="H1093" s="118"/>
    </row>
    <row r="1094" ht="15.75" customHeight="1">
      <c r="A1094" s="118"/>
      <c r="B1094" s="31" t="s">
        <v>323</v>
      </c>
      <c r="C1094" s="31" t="s">
        <v>324</v>
      </c>
      <c r="D1094" s="207">
        <v>7.0</v>
      </c>
      <c r="E1094" s="118"/>
      <c r="F1094" s="118"/>
      <c r="G1094" s="118"/>
      <c r="H1094" s="118"/>
    </row>
    <row r="1095" ht="15.75" customHeight="1">
      <c r="A1095" s="118"/>
      <c r="B1095" s="118"/>
      <c r="C1095" s="118"/>
      <c r="D1095" s="118"/>
      <c r="E1095" s="118"/>
      <c r="F1095" s="118"/>
      <c r="G1095" s="118"/>
      <c r="H1095" s="118"/>
    </row>
    <row r="1096" ht="15.75" customHeight="1">
      <c r="A1096" s="222">
        <v>45827.0</v>
      </c>
      <c r="B1096" s="39" t="s">
        <v>252</v>
      </c>
      <c r="C1096" s="41" t="s">
        <v>253</v>
      </c>
      <c r="D1096" s="118">
        <f>24+25+29+23+2+24+23+23+23+20+29+33+21+22</f>
        <v>321</v>
      </c>
      <c r="E1096" s="118"/>
      <c r="F1096" s="118"/>
      <c r="G1096" s="118"/>
      <c r="H1096" s="118"/>
    </row>
    <row r="1097" ht="15.75" customHeight="1">
      <c r="A1097" s="118"/>
      <c r="B1097" s="31" t="s">
        <v>323</v>
      </c>
      <c r="C1097" s="31" t="s">
        <v>324</v>
      </c>
      <c r="D1097" s="118">
        <f>2+12</f>
        <v>14</v>
      </c>
      <c r="E1097" s="118"/>
      <c r="F1097" s="118"/>
      <c r="G1097" s="118"/>
      <c r="H1097" s="118"/>
    </row>
    <row r="1098" ht="15.75" customHeight="1">
      <c r="A1098" s="118"/>
      <c r="B1098" s="118"/>
      <c r="C1098" s="118"/>
      <c r="D1098" s="118"/>
      <c r="E1098" s="118"/>
      <c r="F1098" s="118"/>
      <c r="G1098" s="118"/>
      <c r="H1098" s="118"/>
    </row>
    <row r="1099" ht="15.75" customHeight="1">
      <c r="A1099" s="222">
        <v>45828.0</v>
      </c>
      <c r="B1099" s="125" t="s">
        <v>663</v>
      </c>
      <c r="C1099" s="125" t="s">
        <v>664</v>
      </c>
      <c r="D1099" s="207">
        <v>129.0</v>
      </c>
      <c r="E1099" s="118"/>
      <c r="F1099" s="118"/>
      <c r="G1099" s="118"/>
      <c r="H1099" s="118"/>
    </row>
    <row r="1100" ht="15.75" customHeight="1">
      <c r="A1100" s="118"/>
      <c r="B1100" s="125" t="s">
        <v>578</v>
      </c>
      <c r="C1100" s="125" t="s">
        <v>579</v>
      </c>
      <c r="D1100" s="207">
        <v>300.0</v>
      </c>
      <c r="E1100" s="118"/>
      <c r="F1100" s="118"/>
      <c r="G1100" s="118"/>
      <c r="H1100" s="118"/>
    </row>
    <row r="1101" ht="15.75" customHeight="1">
      <c r="A1101" s="118"/>
      <c r="B1101" s="125" t="s">
        <v>594</v>
      </c>
      <c r="C1101" s="125" t="s">
        <v>595</v>
      </c>
      <c r="D1101" s="207">
        <v>150.0</v>
      </c>
      <c r="E1101" s="118"/>
      <c r="F1101" s="118"/>
      <c r="G1101" s="118"/>
      <c r="H1101" s="118"/>
    </row>
    <row r="1102" ht="15.75" customHeight="1">
      <c r="A1102" s="118"/>
      <c r="B1102" s="118"/>
      <c r="C1102" s="118"/>
      <c r="D1102" s="118"/>
      <c r="E1102" s="118"/>
      <c r="F1102" s="118"/>
      <c r="G1102" s="118"/>
      <c r="H1102" s="118"/>
    </row>
    <row r="1103" ht="15.75" customHeight="1">
      <c r="A1103" s="222">
        <v>45829.0</v>
      </c>
      <c r="B1103" s="125" t="s">
        <v>578</v>
      </c>
      <c r="C1103" s="125" t="s">
        <v>579</v>
      </c>
      <c r="D1103" s="118">
        <f>114+131</f>
        <v>245</v>
      </c>
      <c r="E1103" s="118"/>
      <c r="F1103" s="118"/>
      <c r="G1103" s="118"/>
      <c r="H1103" s="118"/>
    </row>
    <row r="1104" ht="15.75" customHeight="1">
      <c r="A1104" s="118"/>
      <c r="B1104" s="118"/>
      <c r="C1104" s="118"/>
      <c r="D1104" s="118"/>
      <c r="E1104" s="118"/>
      <c r="F1104" s="118"/>
      <c r="G1104" s="118"/>
      <c r="H1104" s="118"/>
    </row>
    <row r="1105" ht="15.75" customHeight="1">
      <c r="A1105" s="118"/>
      <c r="B1105" s="118"/>
      <c r="C1105" s="118"/>
      <c r="D1105" s="118"/>
      <c r="E1105" s="118"/>
      <c r="F1105" s="118"/>
      <c r="G1105" s="118"/>
      <c r="H1105" s="118"/>
    </row>
    <row r="1106" ht="15.75" customHeight="1">
      <c r="A1106" s="118"/>
      <c r="B1106" s="118"/>
      <c r="C1106" s="118"/>
      <c r="D1106" s="118"/>
      <c r="E1106" s="118"/>
      <c r="F1106" s="118"/>
      <c r="G1106" s="118"/>
      <c r="H1106" s="118"/>
    </row>
    <row r="1107" ht="15.75" customHeight="1">
      <c r="A1107" s="93"/>
      <c r="B1107" s="95"/>
      <c r="C1107" s="24" t="s">
        <v>274</v>
      </c>
      <c r="D1107" s="93"/>
      <c r="E1107" s="95"/>
      <c r="F1107" s="95"/>
      <c r="G1107" s="95"/>
      <c r="H1107" s="95"/>
    </row>
    <row r="1108" ht="15.75" customHeight="1">
      <c r="A1108" s="223">
        <v>45808.0</v>
      </c>
      <c r="B1108" s="134" t="s">
        <v>291</v>
      </c>
      <c r="C1108" s="135" t="s">
        <v>292</v>
      </c>
      <c r="D1108" s="224">
        <v>55.0</v>
      </c>
      <c r="E1108" s="225"/>
      <c r="F1108" s="225"/>
      <c r="G1108" s="225"/>
      <c r="H1108" s="225"/>
      <c r="I1108" s="226"/>
      <c r="J1108" s="226"/>
      <c r="K1108" s="226"/>
      <c r="L1108" s="226"/>
      <c r="M1108" s="226"/>
      <c r="N1108" s="226"/>
      <c r="O1108" s="226"/>
      <c r="P1108" s="226"/>
      <c r="Q1108" s="226"/>
      <c r="R1108" s="226"/>
      <c r="S1108" s="226"/>
      <c r="T1108" s="226"/>
      <c r="U1108" s="226"/>
      <c r="V1108" s="226"/>
      <c r="W1108" s="226"/>
      <c r="X1108" s="226"/>
      <c r="Y1108" s="226"/>
      <c r="Z1108" s="226"/>
    </row>
    <row r="1109" ht="15.75" customHeight="1">
      <c r="A1109" s="227"/>
      <c r="B1109" s="31" t="s">
        <v>665</v>
      </c>
      <c r="C1109" s="31" t="s">
        <v>666</v>
      </c>
      <c r="D1109" s="224">
        <v>36.0</v>
      </c>
      <c r="E1109" s="225"/>
      <c r="F1109" s="225"/>
      <c r="G1109" s="225"/>
      <c r="H1109" s="225"/>
      <c r="I1109" s="226"/>
      <c r="J1109" s="226"/>
      <c r="K1109" s="226"/>
      <c r="L1109" s="226"/>
      <c r="M1109" s="226"/>
      <c r="N1109" s="226"/>
      <c r="O1109" s="226"/>
      <c r="P1109" s="226"/>
      <c r="Q1109" s="226"/>
      <c r="R1109" s="226"/>
      <c r="S1109" s="226"/>
      <c r="T1109" s="226"/>
      <c r="U1109" s="226"/>
      <c r="V1109" s="226"/>
      <c r="W1109" s="226"/>
      <c r="X1109" s="226"/>
      <c r="Y1109" s="226"/>
      <c r="Z1109" s="226"/>
    </row>
    <row r="1110" ht="15.75" customHeight="1">
      <c r="A1110" s="227"/>
      <c r="B1110" s="106" t="s">
        <v>667</v>
      </c>
      <c r="C1110" s="138" t="s">
        <v>668</v>
      </c>
      <c r="D1110" s="224">
        <v>50.0</v>
      </c>
      <c r="E1110" s="225"/>
      <c r="F1110" s="225"/>
      <c r="G1110" s="225"/>
      <c r="H1110" s="225"/>
      <c r="I1110" s="226"/>
      <c r="J1110" s="226"/>
      <c r="K1110" s="226"/>
      <c r="L1110" s="226"/>
      <c r="M1110" s="226"/>
      <c r="N1110" s="226"/>
      <c r="O1110" s="226"/>
      <c r="P1110" s="226"/>
      <c r="Q1110" s="226"/>
      <c r="R1110" s="226"/>
      <c r="S1110" s="226"/>
      <c r="T1110" s="226"/>
      <c r="U1110" s="226"/>
      <c r="V1110" s="226"/>
      <c r="W1110" s="226"/>
      <c r="X1110" s="226"/>
      <c r="Y1110" s="226"/>
      <c r="Z1110" s="226"/>
    </row>
    <row r="1111" ht="15.75" customHeight="1">
      <c r="A1111" s="227"/>
      <c r="B1111" s="225"/>
      <c r="C1111" s="228"/>
      <c r="D1111" s="227"/>
      <c r="E1111" s="225"/>
      <c r="F1111" s="225"/>
      <c r="G1111" s="225"/>
      <c r="H1111" s="225"/>
      <c r="I1111" s="226"/>
      <c r="J1111" s="226"/>
      <c r="K1111" s="226"/>
      <c r="L1111" s="226"/>
      <c r="M1111" s="226"/>
      <c r="N1111" s="226"/>
      <c r="O1111" s="226"/>
      <c r="P1111" s="226"/>
      <c r="Q1111" s="226"/>
      <c r="R1111" s="226"/>
      <c r="S1111" s="226"/>
      <c r="T1111" s="226"/>
      <c r="U1111" s="226"/>
      <c r="V1111" s="226"/>
      <c r="W1111" s="226"/>
      <c r="X1111" s="226"/>
      <c r="Y1111" s="226"/>
      <c r="Z1111" s="226"/>
    </row>
    <row r="1112" ht="15.75" customHeight="1">
      <c r="A1112" s="223">
        <v>45810.0</v>
      </c>
      <c r="B1112" s="31" t="s">
        <v>375</v>
      </c>
      <c r="C1112" s="31" t="s">
        <v>376</v>
      </c>
      <c r="D1112" s="224">
        <v>35.0</v>
      </c>
      <c r="E1112" s="225"/>
      <c r="F1112" s="225"/>
      <c r="G1112" s="225"/>
      <c r="H1112" s="225"/>
      <c r="I1112" s="226"/>
      <c r="J1112" s="226"/>
      <c r="K1112" s="226"/>
      <c r="L1112" s="226"/>
      <c r="M1112" s="226"/>
      <c r="N1112" s="226"/>
      <c r="O1112" s="226"/>
      <c r="P1112" s="226"/>
      <c r="Q1112" s="226"/>
      <c r="R1112" s="226"/>
      <c r="S1112" s="226"/>
      <c r="T1112" s="226"/>
      <c r="U1112" s="226"/>
      <c r="V1112" s="226"/>
      <c r="W1112" s="226"/>
      <c r="X1112" s="226"/>
      <c r="Y1112" s="226"/>
      <c r="Z1112" s="226"/>
    </row>
    <row r="1113" ht="15.75" customHeight="1">
      <c r="A1113" s="227"/>
      <c r="B1113" s="31" t="s">
        <v>421</v>
      </c>
      <c r="C1113" s="31" t="s">
        <v>422</v>
      </c>
      <c r="D1113" s="224">
        <v>45.0</v>
      </c>
      <c r="E1113" s="225"/>
      <c r="F1113" s="225"/>
      <c r="G1113" s="225"/>
      <c r="H1113" s="225"/>
      <c r="I1113" s="226"/>
      <c r="J1113" s="226"/>
      <c r="K1113" s="226"/>
      <c r="L1113" s="226"/>
      <c r="M1113" s="226"/>
      <c r="N1113" s="226"/>
      <c r="O1113" s="226"/>
      <c r="P1113" s="226"/>
      <c r="Q1113" s="226"/>
      <c r="R1113" s="226"/>
      <c r="S1113" s="226"/>
      <c r="T1113" s="226"/>
      <c r="U1113" s="226"/>
      <c r="V1113" s="226"/>
      <c r="W1113" s="226"/>
      <c r="X1113" s="226"/>
      <c r="Y1113" s="226"/>
      <c r="Z1113" s="226"/>
    </row>
    <row r="1114" ht="15.75" customHeight="1">
      <c r="A1114" s="227"/>
      <c r="B1114" s="134" t="s">
        <v>275</v>
      </c>
      <c r="C1114" s="135" t="s">
        <v>276</v>
      </c>
      <c r="D1114" s="227">
        <f>56+51</f>
        <v>107</v>
      </c>
      <c r="E1114" s="225"/>
      <c r="F1114" s="225"/>
      <c r="G1114" s="225"/>
      <c r="H1114" s="225"/>
      <c r="I1114" s="226"/>
      <c r="J1114" s="226"/>
      <c r="K1114" s="226"/>
      <c r="L1114" s="226"/>
      <c r="M1114" s="226"/>
      <c r="N1114" s="226"/>
      <c r="O1114" s="226"/>
      <c r="P1114" s="226"/>
      <c r="Q1114" s="226"/>
      <c r="R1114" s="226"/>
      <c r="S1114" s="226"/>
      <c r="T1114" s="226"/>
      <c r="U1114" s="226"/>
      <c r="V1114" s="226"/>
      <c r="W1114" s="226"/>
      <c r="X1114" s="226"/>
      <c r="Y1114" s="226"/>
      <c r="Z1114" s="226"/>
    </row>
    <row r="1115" ht="15.75" customHeight="1">
      <c r="A1115" s="227"/>
      <c r="B1115" s="130" t="s">
        <v>289</v>
      </c>
      <c r="C1115" s="130" t="s">
        <v>290</v>
      </c>
      <c r="D1115" s="224">
        <v>55.0</v>
      </c>
      <c r="E1115" s="225"/>
      <c r="F1115" s="225"/>
      <c r="G1115" s="225"/>
      <c r="H1115" s="225"/>
      <c r="I1115" s="226"/>
      <c r="J1115" s="226"/>
      <c r="K1115" s="226"/>
      <c r="L1115" s="226"/>
      <c r="M1115" s="226"/>
      <c r="N1115" s="226"/>
      <c r="O1115" s="226"/>
      <c r="P1115" s="226"/>
      <c r="Q1115" s="226"/>
      <c r="R1115" s="226"/>
      <c r="S1115" s="226"/>
      <c r="T1115" s="226"/>
      <c r="U1115" s="226"/>
      <c r="V1115" s="226"/>
      <c r="W1115" s="226"/>
      <c r="X1115" s="226"/>
      <c r="Y1115" s="226"/>
      <c r="Z1115" s="226"/>
    </row>
    <row r="1116" ht="15.75" customHeight="1">
      <c r="A1116" s="227"/>
      <c r="B1116" s="72" t="s">
        <v>669</v>
      </c>
      <c r="C1116" s="108" t="s">
        <v>670</v>
      </c>
      <c r="D1116" s="227">
        <f>25+25</f>
        <v>50</v>
      </c>
      <c r="E1116" s="225"/>
      <c r="F1116" s="225"/>
      <c r="G1116" s="225"/>
      <c r="H1116" s="225"/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  <c r="X1116" s="83"/>
      <c r="Y1116" s="83"/>
      <c r="Z1116" s="83"/>
    </row>
    <row r="1117" ht="15.75" customHeight="1">
      <c r="A1117" s="227"/>
      <c r="B1117" s="125" t="s">
        <v>252</v>
      </c>
      <c r="C1117" s="64" t="s">
        <v>253</v>
      </c>
      <c r="D1117" s="224">
        <v>88.0</v>
      </c>
      <c r="E1117" s="225"/>
      <c r="F1117" s="225"/>
      <c r="G1117" s="225"/>
      <c r="H1117" s="225"/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  <c r="X1117" s="83"/>
      <c r="Y1117" s="83"/>
      <c r="Z1117" s="83"/>
    </row>
    <row r="1118" ht="15.75" customHeight="1">
      <c r="A1118" s="227"/>
      <c r="B1118" s="64" t="s">
        <v>242</v>
      </c>
      <c r="C1118" s="64" t="s">
        <v>243</v>
      </c>
      <c r="D1118" s="224">
        <v>95.0</v>
      </c>
      <c r="E1118" s="225"/>
      <c r="F1118" s="225"/>
      <c r="G1118" s="225"/>
      <c r="H1118" s="225"/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  <c r="X1118" s="83"/>
      <c r="Y1118" s="83"/>
      <c r="Z1118" s="83"/>
    </row>
    <row r="1119" ht="15.75" customHeight="1">
      <c r="A1119" s="227"/>
      <c r="B1119" s="134" t="s">
        <v>671</v>
      </c>
      <c r="C1119" s="135" t="s">
        <v>672</v>
      </c>
      <c r="D1119" s="224">
        <v>19.0</v>
      </c>
      <c r="E1119" s="225"/>
      <c r="F1119" s="225"/>
      <c r="G1119" s="225"/>
      <c r="H1119" s="225"/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  <c r="X1119" s="83"/>
      <c r="Y1119" s="83"/>
      <c r="Z1119" s="83"/>
    </row>
    <row r="1120" ht="15.75" customHeight="1">
      <c r="A1120" s="227"/>
      <c r="B1120" s="31" t="s">
        <v>319</v>
      </c>
      <c r="C1120" s="31" t="s">
        <v>320</v>
      </c>
      <c r="D1120" s="224">
        <v>17.0</v>
      </c>
      <c r="E1120" s="225"/>
      <c r="F1120" s="225"/>
      <c r="G1120" s="225"/>
      <c r="H1120" s="225"/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  <c r="X1120" s="83"/>
      <c r="Y1120" s="83"/>
      <c r="Z1120" s="83"/>
    </row>
    <row r="1121" ht="15.75" customHeight="1">
      <c r="A1121" s="227"/>
      <c r="B1121" s="225"/>
      <c r="C1121" s="228"/>
      <c r="D1121" s="227"/>
      <c r="E1121" s="225"/>
      <c r="F1121" s="225"/>
      <c r="G1121" s="225"/>
      <c r="H1121" s="225"/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  <c r="X1121" s="83"/>
      <c r="Y1121" s="83"/>
      <c r="Z1121" s="83"/>
    </row>
    <row r="1122" ht="15.75" customHeight="1">
      <c r="A1122" s="223">
        <v>45811.0</v>
      </c>
      <c r="B1122" s="64" t="s">
        <v>242</v>
      </c>
      <c r="C1122" s="64" t="s">
        <v>243</v>
      </c>
      <c r="D1122" s="227">
        <f>160</f>
        <v>160</v>
      </c>
      <c r="E1122" s="225"/>
      <c r="F1122" s="225"/>
      <c r="G1122" s="225"/>
      <c r="H1122" s="225"/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  <c r="X1122" s="83"/>
      <c r="Y1122" s="83"/>
      <c r="Z1122" s="83"/>
    </row>
    <row r="1123" ht="15.75" customHeight="1">
      <c r="A1123" s="227"/>
      <c r="B1123" s="72" t="s">
        <v>669</v>
      </c>
      <c r="C1123" s="108" t="s">
        <v>670</v>
      </c>
      <c r="D1123" s="227">
        <f>25+25</f>
        <v>50</v>
      </c>
      <c r="E1123" s="225"/>
      <c r="F1123" s="225"/>
      <c r="G1123" s="225"/>
      <c r="H1123" s="225"/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  <c r="X1123" s="83"/>
      <c r="Y1123" s="83"/>
      <c r="Z1123" s="83"/>
    </row>
    <row r="1124" ht="15.75" customHeight="1">
      <c r="A1124" s="227"/>
      <c r="B1124" s="39" t="s">
        <v>254</v>
      </c>
      <c r="C1124" s="41" t="s">
        <v>255</v>
      </c>
      <c r="D1124" s="224">
        <v>34.0</v>
      </c>
      <c r="E1124" s="225"/>
      <c r="F1124" s="225"/>
      <c r="G1124" s="225"/>
      <c r="H1124" s="225"/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  <c r="X1124" s="83"/>
      <c r="Y1124" s="83"/>
      <c r="Z1124" s="83"/>
    </row>
    <row r="1125" ht="15.75" customHeight="1">
      <c r="A1125" s="227"/>
      <c r="B1125" s="134" t="s">
        <v>303</v>
      </c>
      <c r="C1125" s="135" t="s">
        <v>304</v>
      </c>
      <c r="D1125" s="224">
        <v>57.0</v>
      </c>
      <c r="E1125" s="225"/>
      <c r="F1125" s="225"/>
      <c r="G1125" s="225"/>
      <c r="H1125" s="225"/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  <c r="X1125" s="83"/>
      <c r="Y1125" s="83"/>
      <c r="Z1125" s="83"/>
    </row>
    <row r="1126" ht="15.75" customHeight="1">
      <c r="A1126" s="227"/>
      <c r="B1126" s="134" t="s">
        <v>365</v>
      </c>
      <c r="C1126" s="135" t="s">
        <v>366</v>
      </c>
      <c r="D1126" s="224">
        <v>63.0</v>
      </c>
      <c r="E1126" s="225"/>
      <c r="F1126" s="225"/>
      <c r="G1126" s="225"/>
      <c r="H1126" s="225"/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  <c r="X1126" s="83"/>
      <c r="Y1126" s="83"/>
      <c r="Z1126" s="83"/>
    </row>
    <row r="1127" ht="15.75" customHeight="1">
      <c r="A1127" s="227"/>
      <c r="B1127" s="134" t="s">
        <v>291</v>
      </c>
      <c r="C1127" s="135" t="s">
        <v>292</v>
      </c>
      <c r="D1127" s="224">
        <v>55.0</v>
      </c>
      <c r="E1127" s="225"/>
      <c r="F1127" s="225"/>
      <c r="G1127" s="225"/>
      <c r="H1127" s="225"/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  <c r="X1127" s="83"/>
      <c r="Y1127" s="83"/>
      <c r="Z1127" s="83"/>
    </row>
    <row r="1128" ht="15.75" customHeight="1">
      <c r="A1128" s="227"/>
      <c r="B1128" s="225"/>
      <c r="C1128" s="228"/>
      <c r="D1128" s="227"/>
      <c r="E1128" s="225"/>
      <c r="F1128" s="225"/>
      <c r="G1128" s="225"/>
      <c r="H1128" s="225"/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  <c r="X1128" s="83"/>
      <c r="Y1128" s="83"/>
      <c r="Z1128" s="83"/>
    </row>
    <row r="1129" ht="15.75" customHeight="1">
      <c r="A1129" s="223">
        <v>45812.0</v>
      </c>
      <c r="B1129" s="39" t="s">
        <v>240</v>
      </c>
      <c r="C1129" s="41" t="s">
        <v>241</v>
      </c>
      <c r="D1129" s="224">
        <v>82.0</v>
      </c>
      <c r="E1129" s="225"/>
      <c r="F1129" s="225"/>
      <c r="G1129" s="225"/>
      <c r="H1129" s="225"/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  <c r="X1129" s="83"/>
      <c r="Y1129" s="83"/>
      <c r="Z1129" s="83"/>
    </row>
    <row r="1130" ht="15.75" customHeight="1">
      <c r="A1130" s="227"/>
      <c r="B1130" s="39" t="s">
        <v>254</v>
      </c>
      <c r="C1130" s="41" t="s">
        <v>255</v>
      </c>
      <c r="D1130" s="224">
        <f>112+91</f>
        <v>203</v>
      </c>
      <c r="E1130" s="225"/>
      <c r="F1130" s="225"/>
      <c r="G1130" s="225"/>
      <c r="H1130" s="225"/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  <c r="X1130" s="83"/>
      <c r="Y1130" s="83"/>
      <c r="Z1130" s="83"/>
    </row>
    <row r="1131" ht="15.75" customHeight="1">
      <c r="A1131" s="227"/>
      <c r="B1131" s="64" t="s">
        <v>242</v>
      </c>
      <c r="C1131" s="64" t="s">
        <v>243</v>
      </c>
      <c r="D1131" s="224">
        <v>32.0</v>
      </c>
      <c r="E1131" s="225"/>
      <c r="F1131" s="225"/>
      <c r="G1131" s="225"/>
      <c r="H1131" s="225"/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  <c r="X1131" s="83"/>
      <c r="Y1131" s="83"/>
      <c r="Z1131" s="83"/>
    </row>
    <row r="1132" ht="15.75" customHeight="1">
      <c r="A1132" s="227"/>
      <c r="B1132" s="134" t="s">
        <v>317</v>
      </c>
      <c r="C1132" s="138" t="s">
        <v>318</v>
      </c>
      <c r="D1132" s="224">
        <v>37.0</v>
      </c>
      <c r="E1132" s="225"/>
      <c r="F1132" s="225"/>
      <c r="G1132" s="225"/>
      <c r="H1132" s="225"/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  <c r="X1132" s="83"/>
      <c r="Y1132" s="83"/>
      <c r="Z1132" s="83"/>
    </row>
    <row r="1133" ht="15.75" customHeight="1">
      <c r="A1133" s="227"/>
      <c r="B1133" s="31" t="s">
        <v>319</v>
      </c>
      <c r="C1133" s="31" t="s">
        <v>320</v>
      </c>
      <c r="D1133" s="224">
        <v>36.0</v>
      </c>
      <c r="E1133" s="225"/>
      <c r="F1133" s="225"/>
      <c r="G1133" s="225"/>
      <c r="H1133" s="225"/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  <c r="X1133" s="83"/>
      <c r="Y1133" s="83"/>
      <c r="Z1133" s="83"/>
    </row>
    <row r="1134" ht="15.75" customHeight="1">
      <c r="A1134" s="227"/>
      <c r="B1134" s="72" t="s">
        <v>669</v>
      </c>
      <c r="C1134" s="108" t="s">
        <v>670</v>
      </c>
      <c r="D1134" s="227">
        <f>25+25</f>
        <v>50</v>
      </c>
      <c r="E1134" s="225"/>
      <c r="F1134" s="225"/>
      <c r="G1134" s="225"/>
      <c r="H1134" s="225"/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  <c r="X1134" s="83"/>
      <c r="Y1134" s="83"/>
      <c r="Z1134" s="83"/>
    </row>
    <row r="1135" ht="15.75" customHeight="1">
      <c r="A1135" s="227"/>
      <c r="B1135" s="106" t="s">
        <v>315</v>
      </c>
      <c r="C1135" s="135" t="s">
        <v>316</v>
      </c>
      <c r="D1135" s="224">
        <v>11.0</v>
      </c>
      <c r="E1135" s="225"/>
      <c r="F1135" s="225"/>
      <c r="G1135" s="225"/>
      <c r="H1135" s="225"/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  <c r="X1135" s="83"/>
      <c r="Y1135" s="83"/>
      <c r="Z1135" s="83"/>
    </row>
    <row r="1136" ht="15.75" customHeight="1">
      <c r="A1136" s="227"/>
      <c r="B1136" s="225"/>
      <c r="C1136" s="229"/>
      <c r="D1136" s="227"/>
      <c r="E1136" s="225"/>
      <c r="F1136" s="225"/>
      <c r="G1136" s="225"/>
      <c r="H1136" s="225"/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  <c r="X1136" s="83"/>
      <c r="Y1136" s="83"/>
      <c r="Z1136" s="83"/>
    </row>
    <row r="1137" ht="15.75" customHeight="1">
      <c r="A1137" s="223">
        <v>45813.0</v>
      </c>
      <c r="B1137" s="39" t="s">
        <v>254</v>
      </c>
      <c r="C1137" s="41" t="s">
        <v>255</v>
      </c>
      <c r="D1137" s="227">
        <f>72+58+62</f>
        <v>192</v>
      </c>
      <c r="E1137" s="225"/>
      <c r="F1137" s="225"/>
      <c r="G1137" s="225"/>
      <c r="H1137" s="225"/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  <c r="X1137" s="83"/>
      <c r="Y1137" s="83"/>
      <c r="Z1137" s="83"/>
    </row>
    <row r="1138" ht="15.75" customHeight="1">
      <c r="A1138" s="227"/>
      <c r="B1138" s="130" t="s">
        <v>246</v>
      </c>
      <c r="C1138" s="130" t="s">
        <v>247</v>
      </c>
      <c r="D1138" s="227">
        <f>31+44+44</f>
        <v>119</v>
      </c>
      <c r="E1138" s="225"/>
      <c r="F1138" s="225"/>
      <c r="G1138" s="225"/>
      <c r="H1138" s="225"/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  <c r="X1138" s="83"/>
      <c r="Y1138" s="83"/>
      <c r="Z1138" s="83"/>
    </row>
    <row r="1139" ht="15.75" customHeight="1">
      <c r="A1139" s="227"/>
      <c r="B1139" s="134" t="s">
        <v>413</v>
      </c>
      <c r="C1139" s="135" t="s">
        <v>414</v>
      </c>
      <c r="D1139" s="224">
        <v>45.0</v>
      </c>
      <c r="E1139" s="225"/>
      <c r="F1139" s="225"/>
      <c r="G1139" s="225"/>
      <c r="H1139" s="225"/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  <c r="X1139" s="83"/>
      <c r="Y1139" s="83"/>
      <c r="Z1139" s="83"/>
    </row>
    <row r="1140" ht="15.75" customHeight="1">
      <c r="A1140" s="227"/>
      <c r="B1140" s="134" t="s">
        <v>291</v>
      </c>
      <c r="C1140" s="135" t="s">
        <v>292</v>
      </c>
      <c r="D1140" s="227">
        <f>42+51</f>
        <v>93</v>
      </c>
      <c r="E1140" s="225"/>
      <c r="F1140" s="225"/>
      <c r="G1140" s="225"/>
      <c r="H1140" s="225"/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  <c r="X1140" s="83"/>
      <c r="Y1140" s="83"/>
      <c r="Z1140" s="83"/>
    </row>
    <row r="1141" ht="15.75" customHeight="1">
      <c r="A1141" s="227"/>
      <c r="B1141" s="31" t="s">
        <v>375</v>
      </c>
      <c r="C1141" s="31" t="s">
        <v>376</v>
      </c>
      <c r="D1141" s="224">
        <v>36.0</v>
      </c>
      <c r="E1141" s="225"/>
      <c r="F1141" s="225"/>
      <c r="G1141" s="225"/>
      <c r="H1141" s="225"/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  <c r="X1141" s="83"/>
      <c r="Y1141" s="83"/>
      <c r="Z1141" s="83"/>
    </row>
    <row r="1142" ht="15.75" customHeight="1">
      <c r="A1142" s="227"/>
      <c r="B1142" s="31" t="s">
        <v>349</v>
      </c>
      <c r="C1142" s="31" t="s">
        <v>350</v>
      </c>
      <c r="D1142" s="227">
        <f>29+34</f>
        <v>63</v>
      </c>
      <c r="E1142" s="225"/>
      <c r="F1142" s="225"/>
      <c r="G1142" s="225"/>
      <c r="H1142" s="225"/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  <c r="X1142" s="83"/>
      <c r="Y1142" s="83"/>
      <c r="Z1142" s="83"/>
    </row>
    <row r="1143" ht="15.75" customHeight="1">
      <c r="A1143" s="227"/>
      <c r="B1143" s="72" t="s">
        <v>669</v>
      </c>
      <c r="C1143" s="108" t="s">
        <v>670</v>
      </c>
      <c r="D1143" s="227">
        <f>25+25</f>
        <v>50</v>
      </c>
      <c r="E1143" s="225"/>
      <c r="F1143" s="225"/>
      <c r="G1143" s="225"/>
      <c r="H1143" s="225"/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  <c r="X1143" s="83"/>
      <c r="Y1143" s="83"/>
      <c r="Z1143" s="83"/>
    </row>
    <row r="1144" ht="15.75" customHeight="1">
      <c r="A1144" s="227"/>
      <c r="B1144" s="130" t="s">
        <v>673</v>
      </c>
      <c r="C1144" s="130" t="s">
        <v>674</v>
      </c>
      <c r="D1144" s="224">
        <v>43.0</v>
      </c>
      <c r="E1144" s="225"/>
      <c r="F1144" s="225"/>
      <c r="G1144" s="225"/>
      <c r="H1144" s="225"/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  <c r="X1144" s="83"/>
      <c r="Y1144" s="83"/>
      <c r="Z1144" s="83"/>
    </row>
    <row r="1145" ht="15.75" customHeight="1">
      <c r="A1145" s="227"/>
      <c r="B1145" s="72" t="s">
        <v>675</v>
      </c>
      <c r="C1145" s="108" t="s">
        <v>676</v>
      </c>
      <c r="D1145" s="224">
        <v>20.0</v>
      </c>
      <c r="E1145" s="225"/>
      <c r="F1145" s="225"/>
      <c r="G1145" s="225"/>
      <c r="H1145" s="225"/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  <c r="X1145" s="83"/>
      <c r="Y1145" s="83"/>
      <c r="Z1145" s="83"/>
    </row>
    <row r="1146" ht="15.75" customHeight="1">
      <c r="A1146" s="227"/>
      <c r="B1146" s="230"/>
      <c r="C1146" s="229"/>
      <c r="D1146" s="227"/>
      <c r="E1146" s="225"/>
      <c r="F1146" s="225"/>
      <c r="G1146" s="225"/>
      <c r="H1146" s="225"/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  <c r="X1146" s="83"/>
      <c r="Y1146" s="83"/>
      <c r="Z1146" s="83"/>
    </row>
    <row r="1147" ht="15.75" customHeight="1">
      <c r="A1147" s="223">
        <v>45814.0</v>
      </c>
      <c r="B1147" s="125" t="s">
        <v>240</v>
      </c>
      <c r="C1147" s="64" t="s">
        <v>241</v>
      </c>
      <c r="D1147" s="224">
        <v>48.0</v>
      </c>
      <c r="E1147" s="225"/>
      <c r="F1147" s="225"/>
      <c r="G1147" s="225"/>
      <c r="H1147" s="225"/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  <c r="X1147" s="83"/>
      <c r="Y1147" s="83"/>
      <c r="Z1147" s="83"/>
    </row>
    <row r="1148" ht="15.75" customHeight="1">
      <c r="A1148" s="227"/>
      <c r="B1148" s="125" t="s">
        <v>254</v>
      </c>
      <c r="C1148" s="64" t="s">
        <v>255</v>
      </c>
      <c r="D1148" s="227">
        <f>93+56</f>
        <v>149</v>
      </c>
      <c r="E1148" s="225"/>
      <c r="F1148" s="225"/>
      <c r="G1148" s="225"/>
      <c r="H1148" s="225"/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  <c r="X1148" s="83"/>
      <c r="Y1148" s="83"/>
      <c r="Z1148" s="83"/>
    </row>
    <row r="1149" ht="15.75" customHeight="1">
      <c r="A1149" s="227"/>
      <c r="B1149" s="64" t="s">
        <v>248</v>
      </c>
      <c r="C1149" s="64" t="s">
        <v>249</v>
      </c>
      <c r="D1149" s="227">
        <f>75+131</f>
        <v>206</v>
      </c>
      <c r="E1149" s="225"/>
      <c r="F1149" s="225"/>
      <c r="G1149" s="225"/>
      <c r="H1149" s="225"/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83"/>
      <c r="V1149" s="83"/>
      <c r="W1149" s="83"/>
      <c r="X1149" s="83"/>
      <c r="Y1149" s="83"/>
      <c r="Z1149" s="83"/>
    </row>
    <row r="1150" ht="15.75" customHeight="1">
      <c r="A1150" s="227"/>
      <c r="B1150" s="231" t="s">
        <v>415</v>
      </c>
      <c r="C1150" s="232" t="s">
        <v>416</v>
      </c>
      <c r="D1150" s="224">
        <v>35.0</v>
      </c>
      <c r="E1150" s="225"/>
      <c r="F1150" s="225"/>
      <c r="G1150" s="225"/>
      <c r="H1150" s="225"/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  <c r="X1150" s="83"/>
      <c r="Y1150" s="83"/>
      <c r="Z1150" s="83"/>
    </row>
    <row r="1151" ht="15.75" customHeight="1">
      <c r="A1151" s="227"/>
      <c r="B1151" s="31" t="s">
        <v>375</v>
      </c>
      <c r="C1151" s="31" t="s">
        <v>376</v>
      </c>
      <c r="D1151" s="224">
        <v>36.0</v>
      </c>
      <c r="E1151" s="225"/>
      <c r="F1151" s="225"/>
      <c r="G1151" s="225"/>
      <c r="H1151" s="225"/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83"/>
      <c r="V1151" s="83"/>
      <c r="W1151" s="83"/>
      <c r="X1151" s="83"/>
      <c r="Y1151" s="83"/>
      <c r="Z1151" s="83"/>
    </row>
    <row r="1152" ht="15.75" customHeight="1">
      <c r="A1152" s="227"/>
      <c r="B1152" s="134" t="s">
        <v>347</v>
      </c>
      <c r="C1152" s="135" t="s">
        <v>348</v>
      </c>
      <c r="D1152" s="224">
        <v>35.0</v>
      </c>
      <c r="E1152" s="225"/>
      <c r="F1152" s="225"/>
      <c r="G1152" s="225"/>
      <c r="H1152" s="225"/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83"/>
      <c r="V1152" s="83"/>
      <c r="W1152" s="83"/>
      <c r="X1152" s="83"/>
      <c r="Y1152" s="83"/>
      <c r="Z1152" s="83"/>
    </row>
    <row r="1153" ht="15.75" customHeight="1">
      <c r="A1153" s="227"/>
      <c r="B1153" s="134" t="s">
        <v>343</v>
      </c>
      <c r="C1153" s="135" t="s">
        <v>344</v>
      </c>
      <c r="D1153" s="224">
        <v>49.0</v>
      </c>
      <c r="E1153" s="225"/>
      <c r="F1153" s="225"/>
      <c r="G1153" s="225"/>
      <c r="H1153" s="225"/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83"/>
      <c r="V1153" s="83"/>
      <c r="W1153" s="83"/>
      <c r="X1153" s="83"/>
      <c r="Y1153" s="83"/>
      <c r="Z1153" s="83"/>
    </row>
    <row r="1154" ht="15.75" customHeight="1">
      <c r="A1154" s="227"/>
      <c r="B1154" s="134" t="s">
        <v>291</v>
      </c>
      <c r="C1154" s="135" t="s">
        <v>292</v>
      </c>
      <c r="D1154" s="224">
        <v>55.0</v>
      </c>
      <c r="E1154" s="225"/>
      <c r="F1154" s="225"/>
      <c r="G1154" s="225"/>
      <c r="H1154" s="225"/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  <c r="X1154" s="83"/>
      <c r="Y1154" s="83"/>
      <c r="Z1154" s="83"/>
    </row>
    <row r="1155" ht="15.75" customHeight="1">
      <c r="A1155" s="227"/>
      <c r="B1155" s="31" t="s">
        <v>349</v>
      </c>
      <c r="C1155" s="31" t="s">
        <v>350</v>
      </c>
      <c r="D1155" s="227">
        <f>30</f>
        <v>30</v>
      </c>
      <c r="E1155" s="225"/>
      <c r="F1155" s="225"/>
      <c r="G1155" s="225"/>
      <c r="H1155" s="225"/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  <c r="X1155" s="83"/>
      <c r="Y1155" s="83"/>
      <c r="Z1155" s="83"/>
    </row>
    <row r="1156" ht="15.75" customHeight="1">
      <c r="A1156" s="227"/>
      <c r="B1156" s="106" t="s">
        <v>325</v>
      </c>
      <c r="C1156" s="106" t="s">
        <v>326</v>
      </c>
      <c r="D1156" s="224">
        <v>46.0</v>
      </c>
      <c r="E1156" s="225"/>
      <c r="F1156" s="225"/>
      <c r="G1156" s="225"/>
      <c r="H1156" s="225"/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83"/>
      <c r="V1156" s="83"/>
      <c r="W1156" s="83"/>
      <c r="X1156" s="83"/>
      <c r="Y1156" s="83"/>
      <c r="Z1156" s="83"/>
    </row>
    <row r="1157" ht="15.75" customHeight="1">
      <c r="A1157" s="227"/>
      <c r="B1157" s="124" t="s">
        <v>669</v>
      </c>
      <c r="C1157" s="107" t="s">
        <v>670</v>
      </c>
      <c r="D1157" s="227">
        <f>25+25</f>
        <v>50</v>
      </c>
      <c r="E1157" s="225"/>
      <c r="F1157" s="225"/>
      <c r="G1157" s="225"/>
      <c r="H1157" s="225"/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83"/>
      <c r="V1157" s="83"/>
      <c r="W1157" s="83"/>
      <c r="X1157" s="83"/>
      <c r="Y1157" s="83"/>
      <c r="Z1157" s="83"/>
    </row>
    <row r="1158" ht="15.75" customHeight="1">
      <c r="A1158" s="227"/>
      <c r="B1158" s="72" t="s">
        <v>677</v>
      </c>
      <c r="C1158" s="108" t="s">
        <v>678</v>
      </c>
      <c r="D1158" s="224">
        <v>20.0</v>
      </c>
      <c r="E1158" s="225"/>
      <c r="F1158" s="225"/>
      <c r="G1158" s="225"/>
      <c r="H1158" s="225"/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83"/>
      <c r="V1158" s="83"/>
      <c r="W1158" s="83"/>
      <c r="X1158" s="83"/>
      <c r="Y1158" s="83"/>
      <c r="Z1158" s="83"/>
    </row>
    <row r="1159" ht="15.75" customHeight="1">
      <c r="A1159" s="227"/>
      <c r="B1159" s="225"/>
      <c r="C1159" s="228"/>
      <c r="D1159" s="227"/>
      <c r="E1159" s="225"/>
      <c r="F1159" s="225"/>
      <c r="G1159" s="225"/>
      <c r="H1159" s="225"/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83"/>
      <c r="V1159" s="83"/>
      <c r="W1159" s="83"/>
      <c r="X1159" s="83"/>
      <c r="Y1159" s="83"/>
      <c r="Z1159" s="83"/>
    </row>
    <row r="1160" ht="15.75" customHeight="1">
      <c r="A1160" s="223">
        <v>45815.0</v>
      </c>
      <c r="B1160" s="31" t="s">
        <v>357</v>
      </c>
      <c r="C1160" s="31" t="s">
        <v>358</v>
      </c>
      <c r="D1160" s="227">
        <f>37</f>
        <v>37</v>
      </c>
      <c r="E1160" s="225"/>
      <c r="F1160" s="225"/>
      <c r="G1160" s="225"/>
      <c r="H1160" s="225"/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  <c r="X1160" s="83"/>
      <c r="Y1160" s="83"/>
      <c r="Z1160" s="83"/>
    </row>
    <row r="1161" ht="15.75" customHeight="1">
      <c r="A1161" s="118"/>
      <c r="B1161" s="134" t="s">
        <v>671</v>
      </c>
      <c r="C1161" s="135" t="s">
        <v>672</v>
      </c>
      <c r="D1161" s="118">
        <f>19</f>
        <v>19</v>
      </c>
      <c r="E1161" s="118"/>
      <c r="F1161" s="118"/>
      <c r="G1161" s="118"/>
      <c r="H1161" s="118"/>
    </row>
    <row r="1162" ht="15.75" customHeight="1">
      <c r="A1162" s="118"/>
      <c r="B1162" s="134" t="s">
        <v>363</v>
      </c>
      <c r="C1162" s="135" t="s">
        <v>364</v>
      </c>
      <c r="D1162" s="207">
        <v>65.0</v>
      </c>
      <c r="E1162" s="118"/>
      <c r="F1162" s="118"/>
      <c r="G1162" s="118"/>
      <c r="H1162" s="118"/>
    </row>
    <row r="1163" ht="15.75" customHeight="1">
      <c r="A1163" s="118"/>
      <c r="B1163" s="134" t="s">
        <v>291</v>
      </c>
      <c r="C1163" s="135" t="s">
        <v>292</v>
      </c>
      <c r="D1163" s="207">
        <v>55.0</v>
      </c>
      <c r="E1163" s="118"/>
      <c r="F1163" s="118"/>
      <c r="G1163" s="118"/>
      <c r="H1163" s="118"/>
    </row>
    <row r="1164" ht="15.75" customHeight="1">
      <c r="A1164" s="118"/>
      <c r="B1164" s="130" t="s">
        <v>289</v>
      </c>
      <c r="C1164" s="130" t="s">
        <v>290</v>
      </c>
      <c r="D1164" s="207">
        <v>55.0</v>
      </c>
      <c r="E1164" s="118"/>
      <c r="F1164" s="118"/>
      <c r="G1164" s="118"/>
      <c r="H1164" s="118"/>
    </row>
    <row r="1165" ht="15.75" customHeight="1">
      <c r="A1165" s="118"/>
      <c r="B1165" s="125" t="s">
        <v>240</v>
      </c>
      <c r="C1165" s="64" t="s">
        <v>241</v>
      </c>
      <c r="D1165" s="118">
        <f>23+20</f>
        <v>43</v>
      </c>
      <c r="E1165" s="118"/>
      <c r="F1165" s="118"/>
      <c r="G1165" s="118"/>
      <c r="H1165" s="118"/>
    </row>
    <row r="1166" ht="15.75" customHeight="1">
      <c r="A1166" s="118"/>
      <c r="B1166" s="130" t="s">
        <v>264</v>
      </c>
      <c r="C1166" s="130" t="s">
        <v>265</v>
      </c>
      <c r="D1166" s="207">
        <v>36.0</v>
      </c>
      <c r="E1166" s="118"/>
      <c r="F1166" s="118"/>
      <c r="G1166" s="118"/>
      <c r="H1166" s="118"/>
    </row>
    <row r="1167" ht="15.75" customHeight="1">
      <c r="A1167" s="118"/>
      <c r="B1167" s="39" t="s">
        <v>254</v>
      </c>
      <c r="C1167" s="41" t="s">
        <v>255</v>
      </c>
      <c r="D1167" s="207">
        <v>65.0</v>
      </c>
      <c r="E1167" s="118"/>
      <c r="F1167" s="118"/>
      <c r="G1167" s="118"/>
      <c r="H1167" s="118"/>
    </row>
    <row r="1168" ht="15.75" customHeight="1">
      <c r="A1168" s="118"/>
      <c r="B1168" s="124" t="s">
        <v>669</v>
      </c>
      <c r="C1168" s="107" t="s">
        <v>670</v>
      </c>
      <c r="D1168" s="118">
        <f>25+25</f>
        <v>50</v>
      </c>
      <c r="E1168" s="118"/>
      <c r="F1168" s="118"/>
      <c r="G1168" s="118"/>
      <c r="H1168" s="118"/>
    </row>
    <row r="1169" ht="15.75" customHeight="1">
      <c r="A1169" s="118"/>
      <c r="B1169" s="118"/>
      <c r="C1169" s="118"/>
      <c r="D1169" s="118"/>
      <c r="E1169" s="118"/>
      <c r="F1169" s="118"/>
      <c r="G1169" s="118"/>
      <c r="H1169" s="118"/>
    </row>
    <row r="1170" ht="15.75" customHeight="1">
      <c r="A1170" s="223">
        <v>45817.0</v>
      </c>
      <c r="B1170" s="134" t="s">
        <v>353</v>
      </c>
      <c r="C1170" s="135" t="s">
        <v>354</v>
      </c>
      <c r="D1170" s="207">
        <v>48.0</v>
      </c>
      <c r="E1170" s="118"/>
      <c r="F1170" s="118"/>
      <c r="G1170" s="118"/>
      <c r="H1170" s="118"/>
    </row>
    <row r="1171" ht="15.75" customHeight="1">
      <c r="A1171" s="118"/>
      <c r="B1171" s="125" t="s">
        <v>254</v>
      </c>
      <c r="C1171" s="64" t="s">
        <v>255</v>
      </c>
      <c r="D1171" s="207">
        <v>61.0</v>
      </c>
      <c r="E1171" s="118"/>
      <c r="F1171" s="118"/>
      <c r="G1171" s="118"/>
      <c r="H1171" s="118"/>
    </row>
    <row r="1172" ht="15.75" customHeight="1">
      <c r="A1172" s="118"/>
      <c r="B1172" s="64" t="s">
        <v>242</v>
      </c>
      <c r="C1172" s="64" t="s">
        <v>243</v>
      </c>
      <c r="D1172" s="118">
        <f>146+134+84</f>
        <v>364</v>
      </c>
      <c r="E1172" s="118"/>
      <c r="F1172" s="118"/>
      <c r="G1172" s="118"/>
      <c r="H1172" s="118"/>
    </row>
    <row r="1173" ht="15.75" customHeight="1">
      <c r="A1173" s="118"/>
      <c r="B1173" s="72" t="s">
        <v>669</v>
      </c>
      <c r="C1173" s="108" t="s">
        <v>670</v>
      </c>
      <c r="D1173" s="118">
        <f>25+25</f>
        <v>50</v>
      </c>
      <c r="E1173" s="118"/>
      <c r="F1173" s="118"/>
      <c r="G1173" s="118"/>
      <c r="H1173" s="118"/>
    </row>
    <row r="1174" ht="15.75" customHeight="1">
      <c r="A1174" s="118"/>
      <c r="B1174" s="134" t="s">
        <v>291</v>
      </c>
      <c r="C1174" s="135" t="s">
        <v>292</v>
      </c>
      <c r="D1174" s="207">
        <v>53.0</v>
      </c>
      <c r="E1174" s="118"/>
      <c r="F1174" s="118"/>
      <c r="G1174" s="118"/>
      <c r="H1174" s="118"/>
    </row>
    <row r="1175" ht="15.75" customHeight="1">
      <c r="A1175" s="118"/>
      <c r="B1175" s="31" t="s">
        <v>357</v>
      </c>
      <c r="C1175" s="31" t="s">
        <v>358</v>
      </c>
      <c r="D1175" s="207">
        <v>36.0</v>
      </c>
      <c r="E1175" s="118"/>
      <c r="F1175" s="118"/>
      <c r="G1175" s="118"/>
      <c r="H1175" s="118"/>
    </row>
    <row r="1176" ht="15.75" customHeight="1">
      <c r="A1176" s="118"/>
      <c r="B1176" s="134" t="s">
        <v>355</v>
      </c>
      <c r="C1176" s="135" t="s">
        <v>356</v>
      </c>
      <c r="D1176" s="207">
        <v>52.0</v>
      </c>
      <c r="E1176" s="118"/>
      <c r="F1176" s="118"/>
      <c r="G1176" s="118"/>
      <c r="H1176" s="118"/>
    </row>
    <row r="1177" ht="15.75" customHeight="1">
      <c r="A1177" s="118"/>
      <c r="B1177" s="31" t="s">
        <v>293</v>
      </c>
      <c r="C1177" s="31" t="s">
        <v>294</v>
      </c>
      <c r="D1177" s="207">
        <v>33.0</v>
      </c>
      <c r="E1177" s="118"/>
      <c r="F1177" s="118"/>
      <c r="G1177" s="118"/>
      <c r="H1177" s="118"/>
    </row>
    <row r="1178" ht="15.75" customHeight="1">
      <c r="A1178" s="118"/>
      <c r="B1178" s="134" t="s">
        <v>363</v>
      </c>
      <c r="C1178" s="135" t="s">
        <v>364</v>
      </c>
      <c r="D1178" s="207">
        <v>67.0</v>
      </c>
      <c r="E1178" s="118"/>
      <c r="F1178" s="118"/>
      <c r="G1178" s="118"/>
      <c r="H1178" s="118"/>
    </row>
    <row r="1179" ht="15.75" customHeight="1">
      <c r="A1179" s="118"/>
      <c r="B1179" s="119"/>
      <c r="C1179" s="120"/>
      <c r="D1179" s="118"/>
      <c r="E1179" s="118"/>
      <c r="F1179" s="118"/>
      <c r="G1179" s="118"/>
      <c r="H1179" s="118"/>
    </row>
    <row r="1180" ht="15.75" customHeight="1">
      <c r="A1180" s="223">
        <v>45818.0</v>
      </c>
      <c r="B1180" s="134" t="s">
        <v>355</v>
      </c>
      <c r="C1180" s="135" t="s">
        <v>356</v>
      </c>
      <c r="D1180" s="207">
        <v>50.0</v>
      </c>
      <c r="E1180" s="118"/>
      <c r="F1180" s="118"/>
      <c r="G1180" s="118"/>
      <c r="H1180" s="118"/>
    </row>
    <row r="1181" ht="15.75" customHeight="1">
      <c r="A1181" s="118"/>
      <c r="B1181" s="31" t="s">
        <v>375</v>
      </c>
      <c r="C1181" s="31" t="s">
        <v>376</v>
      </c>
      <c r="D1181" s="207">
        <v>37.0</v>
      </c>
      <c r="E1181" s="118"/>
      <c r="F1181" s="118"/>
      <c r="G1181" s="118"/>
      <c r="H1181" s="118"/>
    </row>
    <row r="1182" ht="15.75" customHeight="1">
      <c r="A1182" s="118"/>
      <c r="B1182" s="106" t="s">
        <v>667</v>
      </c>
      <c r="C1182" s="138" t="s">
        <v>668</v>
      </c>
      <c r="D1182" s="207">
        <v>52.0</v>
      </c>
      <c r="E1182" s="118"/>
      <c r="F1182" s="118"/>
      <c r="G1182" s="118"/>
      <c r="H1182" s="118"/>
    </row>
    <row r="1183" ht="15.75" customHeight="1">
      <c r="A1183" s="118"/>
      <c r="B1183" s="31" t="s">
        <v>357</v>
      </c>
      <c r="C1183" s="31" t="s">
        <v>358</v>
      </c>
      <c r="D1183" s="118">
        <f>32+28+33+33</f>
        <v>126</v>
      </c>
      <c r="E1183" s="118"/>
      <c r="F1183" s="118"/>
      <c r="G1183" s="118"/>
      <c r="H1183" s="118"/>
    </row>
    <row r="1184" ht="15.75" customHeight="1">
      <c r="A1184" s="118"/>
      <c r="B1184" s="72" t="s">
        <v>679</v>
      </c>
      <c r="C1184" s="108" t="s">
        <v>680</v>
      </c>
      <c r="D1184" s="207">
        <v>25.0</v>
      </c>
      <c r="E1184" s="118"/>
      <c r="F1184" s="118"/>
      <c r="G1184" s="118"/>
      <c r="H1184" s="118"/>
    </row>
    <row r="1185" ht="15.75" customHeight="1">
      <c r="A1185" s="118"/>
      <c r="B1185" s="72" t="s">
        <v>669</v>
      </c>
      <c r="C1185" s="108" t="s">
        <v>670</v>
      </c>
      <c r="D1185" s="118">
        <f>25+25</f>
        <v>50</v>
      </c>
      <c r="E1185" s="118"/>
      <c r="F1185" s="118"/>
      <c r="G1185" s="118"/>
      <c r="H1185" s="118"/>
    </row>
    <row r="1186" ht="15.75" customHeight="1">
      <c r="A1186" s="118"/>
      <c r="B1186" s="39" t="s">
        <v>240</v>
      </c>
      <c r="C1186" s="41" t="s">
        <v>241</v>
      </c>
      <c r="D1186" s="118">
        <f>156</f>
        <v>156</v>
      </c>
      <c r="E1186" s="118"/>
      <c r="F1186" s="118"/>
      <c r="G1186" s="118"/>
      <c r="H1186" s="118"/>
    </row>
    <row r="1187" ht="15.75" customHeight="1">
      <c r="A1187" s="118"/>
      <c r="B1187" s="130" t="s">
        <v>248</v>
      </c>
      <c r="C1187" s="130" t="s">
        <v>249</v>
      </c>
      <c r="D1187" s="207">
        <v>35.0</v>
      </c>
      <c r="E1187" s="118"/>
      <c r="F1187" s="118"/>
      <c r="G1187" s="118"/>
      <c r="H1187" s="118"/>
    </row>
    <row r="1188" ht="15.75" customHeight="1">
      <c r="A1188" s="118"/>
      <c r="B1188" s="76" t="s">
        <v>291</v>
      </c>
      <c r="C1188" s="77" t="s">
        <v>292</v>
      </c>
      <c r="D1188" s="207">
        <v>52.0</v>
      </c>
      <c r="E1188" s="118"/>
      <c r="F1188" s="118"/>
      <c r="G1188" s="118"/>
      <c r="H1188" s="118"/>
    </row>
    <row r="1189" ht="15.75" customHeight="1">
      <c r="A1189" s="118"/>
      <c r="B1189" s="76"/>
      <c r="C1189" s="77"/>
      <c r="D1189" s="207"/>
      <c r="E1189" s="118"/>
      <c r="F1189" s="118"/>
      <c r="G1189" s="118"/>
      <c r="H1189" s="118"/>
    </row>
    <row r="1190" ht="15.75" customHeight="1">
      <c r="A1190" s="223">
        <v>45819.0</v>
      </c>
      <c r="B1190" s="139" t="s">
        <v>325</v>
      </c>
      <c r="C1190" s="140" t="s">
        <v>326</v>
      </c>
      <c r="D1190" s="207">
        <v>43.0</v>
      </c>
      <c r="E1190" s="118"/>
      <c r="F1190" s="118"/>
      <c r="G1190" s="118"/>
      <c r="H1190" s="118"/>
    </row>
    <row r="1191" ht="15.75" customHeight="1">
      <c r="A1191" s="118"/>
      <c r="B1191" s="39" t="s">
        <v>240</v>
      </c>
      <c r="C1191" s="41" t="s">
        <v>241</v>
      </c>
      <c r="D1191" s="118">
        <f>32+81</f>
        <v>113</v>
      </c>
      <c r="E1191" s="118"/>
      <c r="F1191" s="118"/>
      <c r="G1191" s="118"/>
      <c r="H1191" s="118"/>
    </row>
    <row r="1192" ht="15.75" customHeight="1">
      <c r="A1192" s="118"/>
      <c r="B1192" s="39" t="s">
        <v>258</v>
      </c>
      <c r="C1192" s="41" t="s">
        <v>259</v>
      </c>
      <c r="D1192" s="207">
        <v>26.0</v>
      </c>
      <c r="E1192" s="118"/>
      <c r="F1192" s="118"/>
      <c r="G1192" s="118"/>
      <c r="H1192" s="118"/>
    </row>
    <row r="1193" ht="15.75" customHeight="1">
      <c r="A1193" s="118"/>
      <c r="B1193" s="130" t="s">
        <v>673</v>
      </c>
      <c r="C1193" s="130" t="s">
        <v>674</v>
      </c>
      <c r="D1193" s="207">
        <v>55.0</v>
      </c>
      <c r="E1193" s="118"/>
      <c r="F1193" s="118"/>
      <c r="G1193" s="118"/>
      <c r="H1193" s="118"/>
    </row>
    <row r="1194" ht="15.75" customHeight="1">
      <c r="A1194" s="118"/>
      <c r="B1194" s="39" t="s">
        <v>254</v>
      </c>
      <c r="C1194" s="41" t="s">
        <v>255</v>
      </c>
      <c r="D1194" s="207">
        <v>33.0</v>
      </c>
      <c r="E1194" s="118"/>
      <c r="F1194" s="118"/>
      <c r="G1194" s="118"/>
      <c r="H1194" s="118"/>
    </row>
    <row r="1195" ht="15.75" customHeight="1">
      <c r="A1195" s="118"/>
      <c r="B1195" s="134" t="s">
        <v>353</v>
      </c>
      <c r="C1195" s="135" t="s">
        <v>354</v>
      </c>
      <c r="D1195" s="207">
        <v>35.0</v>
      </c>
      <c r="E1195" s="118"/>
      <c r="F1195" s="118"/>
      <c r="G1195" s="118"/>
      <c r="H1195" s="118"/>
    </row>
    <row r="1196" ht="15.75" customHeight="1">
      <c r="A1196" s="118"/>
      <c r="B1196" s="31" t="s">
        <v>429</v>
      </c>
      <c r="C1196" s="31" t="s">
        <v>430</v>
      </c>
      <c r="D1196" s="118">
        <f>32+30</f>
        <v>62</v>
      </c>
      <c r="E1196" s="118"/>
      <c r="F1196" s="118"/>
      <c r="G1196" s="118"/>
      <c r="H1196" s="118"/>
    </row>
    <row r="1197" ht="15.75" customHeight="1">
      <c r="A1197" s="118"/>
      <c r="B1197" s="72" t="s">
        <v>669</v>
      </c>
      <c r="C1197" s="108" t="s">
        <v>670</v>
      </c>
      <c r="D1197" s="118">
        <f>25+25</f>
        <v>50</v>
      </c>
      <c r="E1197" s="118"/>
      <c r="F1197" s="118"/>
      <c r="G1197" s="118"/>
      <c r="H1197" s="118"/>
    </row>
    <row r="1198" ht="15.75" customHeight="1">
      <c r="A1198" s="118"/>
      <c r="B1198" s="134" t="s">
        <v>373</v>
      </c>
      <c r="C1198" s="135" t="s">
        <v>374</v>
      </c>
      <c r="D1198" s="207">
        <v>43.0</v>
      </c>
      <c r="E1198" s="118"/>
      <c r="F1198" s="118"/>
      <c r="G1198" s="118"/>
      <c r="H1198" s="118"/>
    </row>
    <row r="1199" ht="15.75" customHeight="1">
      <c r="A1199" s="118"/>
      <c r="B1199" s="134" t="s">
        <v>381</v>
      </c>
      <c r="C1199" s="135" t="s">
        <v>382</v>
      </c>
      <c r="D1199" s="207">
        <v>20.0</v>
      </c>
      <c r="E1199" s="118"/>
      <c r="F1199" s="118"/>
      <c r="G1199" s="118"/>
      <c r="H1199" s="118"/>
    </row>
    <row r="1200" ht="15.75" customHeight="1">
      <c r="A1200" s="118"/>
      <c r="B1200" s="119"/>
      <c r="C1200" s="120"/>
      <c r="D1200" s="118"/>
      <c r="E1200" s="118"/>
      <c r="F1200" s="118"/>
      <c r="G1200" s="118"/>
      <c r="H1200" s="118"/>
    </row>
    <row r="1201" ht="15.75" customHeight="1">
      <c r="A1201" s="223">
        <v>45820.0</v>
      </c>
      <c r="B1201" s="130" t="s">
        <v>248</v>
      </c>
      <c r="C1201" s="130" t="s">
        <v>249</v>
      </c>
      <c r="D1201" s="118">
        <f>50+50+51+97</f>
        <v>248</v>
      </c>
      <c r="E1201" s="118"/>
      <c r="F1201" s="118"/>
      <c r="G1201" s="118"/>
      <c r="H1201" s="118"/>
    </row>
    <row r="1202" ht="15.75" customHeight="1">
      <c r="A1202" s="118"/>
      <c r="B1202" s="134" t="s">
        <v>381</v>
      </c>
      <c r="C1202" s="135" t="s">
        <v>382</v>
      </c>
      <c r="D1202" s="118">
        <f>32+48</f>
        <v>80</v>
      </c>
      <c r="E1202" s="118"/>
      <c r="F1202" s="118"/>
      <c r="G1202" s="118"/>
      <c r="H1202" s="118"/>
    </row>
    <row r="1203" ht="15.75" customHeight="1">
      <c r="A1203" s="118"/>
      <c r="B1203" s="106" t="s">
        <v>411</v>
      </c>
      <c r="C1203" s="135" t="s">
        <v>412</v>
      </c>
      <c r="D1203" s="207">
        <v>55.0</v>
      </c>
      <c r="E1203" s="118"/>
      <c r="F1203" s="118"/>
      <c r="G1203" s="118"/>
      <c r="H1203" s="118"/>
    </row>
    <row r="1204" ht="15.75" customHeight="1">
      <c r="A1204" s="118"/>
      <c r="B1204" s="130" t="s">
        <v>242</v>
      </c>
      <c r="C1204" s="130" t="s">
        <v>243</v>
      </c>
      <c r="D1204" s="118">
        <f>168+135</f>
        <v>303</v>
      </c>
      <c r="E1204" s="118"/>
      <c r="F1204" s="118"/>
      <c r="G1204" s="118"/>
      <c r="H1204" s="118"/>
    </row>
    <row r="1205" ht="15.75" customHeight="1">
      <c r="A1205" s="118"/>
      <c r="B1205" s="134" t="s">
        <v>291</v>
      </c>
      <c r="C1205" s="135" t="s">
        <v>292</v>
      </c>
      <c r="D1205" s="207">
        <v>52.0</v>
      </c>
      <c r="E1205" s="118"/>
      <c r="F1205" s="118"/>
      <c r="G1205" s="118"/>
      <c r="H1205" s="118"/>
    </row>
    <row r="1206" ht="15.75" customHeight="1">
      <c r="A1206" s="118"/>
      <c r="B1206" s="130" t="s">
        <v>681</v>
      </c>
      <c r="C1206" s="130" t="s">
        <v>682</v>
      </c>
      <c r="D1206" s="207">
        <v>40.0</v>
      </c>
      <c r="E1206" s="118"/>
      <c r="F1206" s="118"/>
      <c r="G1206" s="118"/>
      <c r="H1206" s="118"/>
    </row>
    <row r="1207" ht="15.75" customHeight="1">
      <c r="A1207" s="118"/>
      <c r="B1207" s="72" t="s">
        <v>669</v>
      </c>
      <c r="C1207" s="108" t="s">
        <v>670</v>
      </c>
      <c r="D1207" s="118">
        <f>25+25</f>
        <v>50</v>
      </c>
      <c r="E1207" s="118"/>
      <c r="F1207" s="118"/>
      <c r="G1207" s="118"/>
      <c r="H1207" s="118"/>
    </row>
    <row r="1208" ht="15.75" customHeight="1">
      <c r="A1208" s="118"/>
      <c r="B1208" s="72" t="s">
        <v>683</v>
      </c>
      <c r="C1208" s="108" t="s">
        <v>684</v>
      </c>
      <c r="D1208" s="207">
        <v>20.0</v>
      </c>
      <c r="E1208" s="118"/>
      <c r="F1208" s="118"/>
      <c r="G1208" s="118"/>
      <c r="H1208" s="118"/>
    </row>
    <row r="1209" ht="15.75" customHeight="1">
      <c r="A1209" s="118"/>
      <c r="B1209" s="134" t="s">
        <v>671</v>
      </c>
      <c r="C1209" s="135" t="s">
        <v>672</v>
      </c>
      <c r="D1209" s="207">
        <v>56.0</v>
      </c>
      <c r="E1209" s="118"/>
      <c r="F1209" s="118"/>
      <c r="G1209" s="118"/>
      <c r="H1209" s="118"/>
    </row>
    <row r="1210" ht="15.75" customHeight="1">
      <c r="A1210" s="118"/>
      <c r="B1210" s="119"/>
      <c r="C1210" s="130" t="s">
        <v>392</v>
      </c>
      <c r="D1210" s="207">
        <v>51.0</v>
      </c>
      <c r="E1210" s="118"/>
      <c r="F1210" s="118"/>
      <c r="G1210" s="118"/>
      <c r="H1210" s="118"/>
    </row>
    <row r="1211" ht="15.75" customHeight="1">
      <c r="A1211" s="118"/>
      <c r="B1211" s="106" t="s">
        <v>325</v>
      </c>
      <c r="C1211" s="106" t="s">
        <v>326</v>
      </c>
      <c r="D1211" s="207">
        <v>45.0</v>
      </c>
      <c r="E1211" s="118"/>
      <c r="F1211" s="118"/>
      <c r="G1211" s="118"/>
      <c r="H1211" s="118"/>
    </row>
    <row r="1212" ht="15.75" customHeight="1">
      <c r="A1212" s="118"/>
      <c r="B1212" s="118"/>
      <c r="C1212" s="118"/>
      <c r="D1212" s="118"/>
      <c r="E1212" s="118"/>
      <c r="F1212" s="118"/>
      <c r="G1212" s="118"/>
      <c r="H1212" s="118"/>
    </row>
    <row r="1213" ht="15.75" customHeight="1">
      <c r="A1213" s="223">
        <v>45821.0</v>
      </c>
      <c r="B1213" s="130" t="s">
        <v>242</v>
      </c>
      <c r="C1213" s="130" t="s">
        <v>243</v>
      </c>
      <c r="D1213" s="118">
        <f>61+66</f>
        <v>127</v>
      </c>
      <c r="E1213" s="118"/>
      <c r="F1213" s="118"/>
      <c r="G1213" s="118"/>
      <c r="H1213" s="118"/>
    </row>
    <row r="1214" ht="15.75" customHeight="1">
      <c r="A1214" s="118"/>
      <c r="B1214" s="130" t="s">
        <v>248</v>
      </c>
      <c r="C1214" s="130" t="s">
        <v>249</v>
      </c>
      <c r="D1214" s="118">
        <f>21+38</f>
        <v>59</v>
      </c>
      <c r="E1214" s="118"/>
      <c r="F1214" s="118"/>
      <c r="G1214" s="118"/>
      <c r="H1214" s="118"/>
    </row>
    <row r="1215" ht="15.75" customHeight="1">
      <c r="A1215" s="118"/>
      <c r="B1215" s="130" t="s">
        <v>681</v>
      </c>
      <c r="C1215" s="130" t="s">
        <v>682</v>
      </c>
      <c r="D1215" s="207">
        <v>46.0</v>
      </c>
      <c r="E1215" s="118"/>
      <c r="F1215" s="118"/>
      <c r="G1215" s="118"/>
      <c r="H1215" s="118"/>
    </row>
    <row r="1216" ht="15.75" customHeight="1">
      <c r="A1216" s="118"/>
      <c r="B1216" s="134" t="s">
        <v>291</v>
      </c>
      <c r="C1216" s="135" t="s">
        <v>292</v>
      </c>
      <c r="D1216" s="207">
        <v>55.0</v>
      </c>
      <c r="E1216" s="118"/>
      <c r="F1216" s="118"/>
      <c r="G1216" s="118"/>
      <c r="H1216" s="118"/>
    </row>
    <row r="1217" ht="15.75" customHeight="1">
      <c r="A1217" s="118"/>
      <c r="B1217" s="134" t="s">
        <v>685</v>
      </c>
      <c r="C1217" s="135" t="s">
        <v>686</v>
      </c>
      <c r="D1217" s="207">
        <v>53.0</v>
      </c>
      <c r="E1217" s="118"/>
      <c r="F1217" s="118"/>
      <c r="G1217" s="118"/>
      <c r="H1217" s="118"/>
    </row>
    <row r="1218" ht="15.75" customHeight="1">
      <c r="A1218" s="118"/>
      <c r="B1218" s="39" t="s">
        <v>240</v>
      </c>
      <c r="C1218" s="41" t="s">
        <v>241</v>
      </c>
      <c r="D1218" s="207">
        <v>162.0</v>
      </c>
      <c r="E1218" s="118"/>
      <c r="F1218" s="118"/>
      <c r="G1218" s="118"/>
      <c r="H1218" s="118"/>
    </row>
    <row r="1219" ht="15.75" customHeight="1">
      <c r="A1219" s="118"/>
      <c r="B1219" s="72" t="s">
        <v>669</v>
      </c>
      <c r="C1219" s="108" t="s">
        <v>670</v>
      </c>
      <c r="D1219" s="118">
        <f>25+25</f>
        <v>50</v>
      </c>
      <c r="E1219" s="118"/>
      <c r="F1219" s="118"/>
      <c r="G1219" s="118"/>
      <c r="H1219" s="118"/>
    </row>
    <row r="1220" ht="15.75" customHeight="1">
      <c r="A1220" s="118"/>
      <c r="B1220" s="31" t="s">
        <v>429</v>
      </c>
      <c r="C1220" s="31" t="s">
        <v>430</v>
      </c>
      <c r="D1220" s="207">
        <v>32.0</v>
      </c>
      <c r="E1220" s="118"/>
      <c r="F1220" s="118"/>
      <c r="G1220" s="118"/>
      <c r="H1220" s="118"/>
    </row>
    <row r="1221" ht="15.75" customHeight="1">
      <c r="A1221" s="118"/>
      <c r="B1221" s="31" t="s">
        <v>357</v>
      </c>
      <c r="C1221" s="31" t="s">
        <v>358</v>
      </c>
      <c r="D1221" s="118">
        <f>33+35</f>
        <v>68</v>
      </c>
      <c r="E1221" s="118"/>
      <c r="F1221" s="118"/>
      <c r="G1221" s="118"/>
      <c r="H1221" s="118"/>
    </row>
    <row r="1222" ht="15.75" customHeight="1">
      <c r="A1222" s="118"/>
      <c r="B1222" s="118"/>
      <c r="C1222" s="135" t="s">
        <v>400</v>
      </c>
      <c r="D1222" s="207">
        <v>63.0</v>
      </c>
      <c r="E1222" s="118"/>
      <c r="F1222" s="118"/>
      <c r="G1222" s="118"/>
      <c r="H1222" s="118"/>
    </row>
    <row r="1223" ht="15.75" customHeight="1">
      <c r="A1223" s="118"/>
      <c r="B1223" s="134" t="s">
        <v>381</v>
      </c>
      <c r="C1223" s="135" t="s">
        <v>382</v>
      </c>
      <c r="D1223" s="118">
        <f>32+62</f>
        <v>94</v>
      </c>
      <c r="E1223" s="118"/>
      <c r="F1223" s="118"/>
      <c r="G1223" s="118"/>
      <c r="H1223" s="118"/>
    </row>
    <row r="1224" ht="15.75" customHeight="1">
      <c r="A1224" s="118"/>
      <c r="B1224" s="134"/>
      <c r="C1224" s="135" t="s">
        <v>687</v>
      </c>
      <c r="D1224" s="207">
        <v>45.0</v>
      </c>
      <c r="E1224" s="118"/>
      <c r="F1224" s="118"/>
      <c r="G1224" s="118"/>
      <c r="H1224" s="118"/>
    </row>
    <row r="1225" ht="15.75" customHeight="1">
      <c r="A1225" s="118"/>
      <c r="B1225" s="119"/>
      <c r="C1225" s="120"/>
      <c r="D1225" s="118"/>
      <c r="E1225" s="118"/>
      <c r="F1225" s="118"/>
      <c r="G1225" s="118"/>
      <c r="H1225" s="118"/>
    </row>
    <row r="1226" ht="15.75" customHeight="1">
      <c r="A1226" s="223">
        <v>45822.0</v>
      </c>
      <c r="B1226" s="134" t="s">
        <v>373</v>
      </c>
      <c r="C1226" s="135" t="s">
        <v>374</v>
      </c>
      <c r="D1226" s="207">
        <v>30.0</v>
      </c>
      <c r="E1226" s="118"/>
      <c r="F1226" s="118"/>
      <c r="G1226" s="118"/>
      <c r="H1226" s="118"/>
    </row>
    <row r="1227" ht="15.75" customHeight="1">
      <c r="A1227" s="118"/>
      <c r="B1227" s="130" t="s">
        <v>242</v>
      </c>
      <c r="C1227" s="130" t="s">
        <v>243</v>
      </c>
      <c r="D1227" s="118">
        <f>41+40+114</f>
        <v>195</v>
      </c>
      <c r="E1227" s="118"/>
      <c r="F1227" s="118"/>
      <c r="G1227" s="118"/>
      <c r="H1227" s="118"/>
    </row>
    <row r="1228" ht="15.75" customHeight="1">
      <c r="A1228" s="118"/>
      <c r="B1228" s="106" t="s">
        <v>411</v>
      </c>
      <c r="C1228" s="135" t="s">
        <v>412</v>
      </c>
      <c r="D1228" s="207">
        <v>75.0</v>
      </c>
      <c r="E1228" s="118"/>
      <c r="F1228" s="118"/>
      <c r="G1228" s="118"/>
      <c r="H1228" s="118"/>
    </row>
    <row r="1229" ht="15.75" customHeight="1">
      <c r="A1229" s="118"/>
      <c r="B1229" s="72" t="s">
        <v>683</v>
      </c>
      <c r="C1229" s="108" t="s">
        <v>684</v>
      </c>
      <c r="D1229" s="207">
        <v>20.0</v>
      </c>
      <c r="E1229" s="118"/>
      <c r="F1229" s="118"/>
      <c r="G1229" s="118"/>
      <c r="H1229" s="118"/>
    </row>
    <row r="1230" ht="15.75" customHeight="1">
      <c r="A1230" s="118"/>
      <c r="B1230" s="130" t="s">
        <v>264</v>
      </c>
      <c r="C1230" s="130" t="s">
        <v>265</v>
      </c>
      <c r="D1230" s="118">
        <f>41+84+199</f>
        <v>324</v>
      </c>
      <c r="E1230" s="118"/>
      <c r="F1230" s="118"/>
      <c r="G1230" s="118"/>
      <c r="H1230" s="118"/>
    </row>
    <row r="1231" ht="15.75" customHeight="1">
      <c r="A1231" s="118"/>
      <c r="B1231" s="31" t="s">
        <v>375</v>
      </c>
      <c r="C1231" s="31" t="s">
        <v>376</v>
      </c>
      <c r="D1231" s="207">
        <v>35.0</v>
      </c>
      <c r="E1231" s="118"/>
      <c r="F1231" s="118"/>
      <c r="G1231" s="118"/>
      <c r="H1231" s="118"/>
    </row>
    <row r="1232" ht="15.75" customHeight="1">
      <c r="A1232" s="118"/>
      <c r="B1232" s="130" t="s">
        <v>681</v>
      </c>
      <c r="C1232" s="130" t="s">
        <v>682</v>
      </c>
      <c r="D1232" s="207">
        <v>5.0</v>
      </c>
      <c r="E1232" s="118"/>
      <c r="F1232" s="118"/>
      <c r="G1232" s="118"/>
      <c r="H1232" s="118"/>
    </row>
    <row r="1233" ht="15.75" customHeight="1">
      <c r="A1233" s="118"/>
      <c r="B1233" s="106" t="s">
        <v>325</v>
      </c>
      <c r="C1233" s="106" t="s">
        <v>326</v>
      </c>
      <c r="D1233" s="207">
        <v>40.0</v>
      </c>
      <c r="E1233" s="118"/>
      <c r="F1233" s="118"/>
      <c r="G1233" s="118"/>
      <c r="H1233" s="118"/>
    </row>
    <row r="1234" ht="15.75" customHeight="1">
      <c r="A1234" s="118"/>
      <c r="B1234" s="118"/>
      <c r="C1234" s="118"/>
      <c r="D1234" s="118"/>
      <c r="E1234" s="118"/>
      <c r="F1234" s="118"/>
      <c r="G1234" s="118"/>
      <c r="H1234" s="118"/>
    </row>
    <row r="1235" ht="15.75" customHeight="1">
      <c r="A1235" s="223">
        <v>45824.0</v>
      </c>
      <c r="B1235" s="31" t="s">
        <v>357</v>
      </c>
      <c r="C1235" s="31" t="s">
        <v>358</v>
      </c>
      <c r="D1235" s="207">
        <v>36.0</v>
      </c>
      <c r="E1235" s="118"/>
      <c r="F1235" s="118"/>
      <c r="G1235" s="118"/>
      <c r="H1235" s="118"/>
    </row>
    <row r="1236" ht="15.75" customHeight="1">
      <c r="A1236" s="118"/>
      <c r="B1236" s="130" t="s">
        <v>242</v>
      </c>
      <c r="C1236" s="130" t="s">
        <v>243</v>
      </c>
      <c r="D1236" s="118">
        <f>69+126</f>
        <v>195</v>
      </c>
      <c r="E1236" s="118"/>
      <c r="F1236" s="118"/>
      <c r="G1236" s="118"/>
      <c r="H1236" s="118"/>
    </row>
    <row r="1237" ht="15.75" customHeight="1">
      <c r="A1237" s="118"/>
      <c r="B1237" s="134" t="s">
        <v>401</v>
      </c>
      <c r="C1237" s="135" t="s">
        <v>402</v>
      </c>
      <c r="D1237" s="207">
        <v>55.0</v>
      </c>
      <c r="E1237" s="118"/>
      <c r="F1237" s="118"/>
      <c r="G1237" s="118"/>
      <c r="H1237" s="118"/>
    </row>
    <row r="1238" ht="15.75" customHeight="1">
      <c r="A1238" s="118"/>
      <c r="B1238" s="39" t="s">
        <v>254</v>
      </c>
      <c r="C1238" s="41" t="s">
        <v>255</v>
      </c>
      <c r="D1238" s="118">
        <f>93+63+25</f>
        <v>181</v>
      </c>
      <c r="E1238" s="118"/>
      <c r="F1238" s="118"/>
      <c r="G1238" s="118"/>
      <c r="H1238" s="118"/>
    </row>
    <row r="1239" ht="15.75" customHeight="1">
      <c r="A1239" s="118"/>
      <c r="B1239" s="31" t="s">
        <v>429</v>
      </c>
      <c r="C1239" s="31" t="s">
        <v>430</v>
      </c>
      <c r="D1239" s="207">
        <v>32.0</v>
      </c>
      <c r="E1239" s="118"/>
      <c r="F1239" s="118"/>
      <c r="G1239" s="118"/>
      <c r="H1239" s="118"/>
    </row>
    <row r="1240" ht="15.75" customHeight="1">
      <c r="A1240" s="118"/>
      <c r="B1240" s="31" t="s">
        <v>375</v>
      </c>
      <c r="C1240" s="31" t="s">
        <v>376</v>
      </c>
      <c r="D1240" s="207">
        <v>35.0</v>
      </c>
      <c r="E1240" s="118"/>
      <c r="F1240" s="118"/>
      <c r="G1240" s="118"/>
      <c r="H1240" s="118"/>
    </row>
    <row r="1241" ht="15.75" customHeight="1">
      <c r="A1241" s="118"/>
      <c r="B1241" s="134" t="s">
        <v>291</v>
      </c>
      <c r="C1241" s="135" t="s">
        <v>292</v>
      </c>
      <c r="D1241" s="207">
        <v>46.0</v>
      </c>
      <c r="E1241" s="118"/>
      <c r="F1241" s="118"/>
      <c r="G1241" s="118"/>
      <c r="H1241" s="118"/>
    </row>
    <row r="1242" ht="15.75" customHeight="1">
      <c r="A1242" s="118"/>
      <c r="B1242" s="72" t="s">
        <v>688</v>
      </c>
      <c r="C1242" s="108" t="s">
        <v>689</v>
      </c>
      <c r="D1242" s="207">
        <v>20.0</v>
      </c>
      <c r="E1242" s="118"/>
      <c r="F1242" s="118"/>
      <c r="G1242" s="118"/>
      <c r="H1242" s="118"/>
    </row>
    <row r="1243" ht="15.75" customHeight="1">
      <c r="A1243" s="118"/>
      <c r="B1243" s="72" t="s">
        <v>669</v>
      </c>
      <c r="C1243" s="108" t="s">
        <v>670</v>
      </c>
      <c r="D1243" s="118">
        <f>25+25</f>
        <v>50</v>
      </c>
      <c r="E1243" s="118"/>
      <c r="F1243" s="118"/>
      <c r="G1243" s="118"/>
      <c r="H1243" s="118"/>
    </row>
    <row r="1244" ht="15.75" customHeight="1">
      <c r="A1244" s="118"/>
      <c r="B1244" s="141" t="s">
        <v>325</v>
      </c>
      <c r="C1244" s="142" t="s">
        <v>326</v>
      </c>
      <c r="D1244" s="207">
        <v>45.0</v>
      </c>
      <c r="E1244" s="118"/>
      <c r="F1244" s="118"/>
      <c r="G1244" s="118"/>
      <c r="H1244" s="118"/>
    </row>
    <row r="1245" ht="15.75" customHeight="1">
      <c r="A1245" s="118"/>
      <c r="B1245" s="118"/>
      <c r="C1245" s="118"/>
      <c r="D1245" s="118"/>
      <c r="E1245" s="118"/>
      <c r="F1245" s="118"/>
      <c r="G1245" s="118"/>
      <c r="H1245" s="118"/>
    </row>
    <row r="1246" ht="15.75" customHeight="1">
      <c r="A1246" s="223">
        <v>45825.0</v>
      </c>
      <c r="B1246" s="130" t="s">
        <v>242</v>
      </c>
      <c r="C1246" s="130" t="s">
        <v>243</v>
      </c>
      <c r="D1246" s="118">
        <f>53+106+62+135</f>
        <v>356</v>
      </c>
      <c r="E1246" s="118"/>
      <c r="F1246" s="118"/>
      <c r="G1246" s="118"/>
      <c r="H1246" s="118"/>
    </row>
    <row r="1247" ht="15.75" customHeight="1">
      <c r="A1247" s="118"/>
      <c r="B1247" s="134" t="s">
        <v>343</v>
      </c>
      <c r="C1247" s="135" t="s">
        <v>344</v>
      </c>
      <c r="D1247" s="207">
        <v>47.0</v>
      </c>
      <c r="E1247" s="118"/>
      <c r="F1247" s="118"/>
      <c r="G1247" s="118"/>
      <c r="H1247" s="118"/>
    </row>
    <row r="1248" ht="15.75" customHeight="1">
      <c r="A1248" s="118"/>
      <c r="B1248" s="134" t="s">
        <v>401</v>
      </c>
      <c r="C1248" s="135" t="s">
        <v>402</v>
      </c>
      <c r="D1248" s="207">
        <v>44.0</v>
      </c>
      <c r="E1248" s="118"/>
      <c r="F1248" s="118"/>
      <c r="G1248" s="118"/>
      <c r="H1248" s="118"/>
    </row>
    <row r="1249" ht="15.75" customHeight="1">
      <c r="A1249" s="118"/>
      <c r="B1249" s="31" t="s">
        <v>429</v>
      </c>
      <c r="C1249" s="31" t="s">
        <v>430</v>
      </c>
      <c r="D1249" s="207">
        <f>31+32</f>
        <v>63</v>
      </c>
      <c r="E1249" s="118"/>
      <c r="F1249" s="118"/>
      <c r="G1249" s="118"/>
      <c r="H1249" s="118"/>
    </row>
    <row r="1250" ht="15.75" customHeight="1">
      <c r="A1250" s="118"/>
      <c r="B1250" s="106" t="s">
        <v>411</v>
      </c>
      <c r="C1250" s="135" t="s">
        <v>412</v>
      </c>
      <c r="D1250" s="118">
        <f>30+17</f>
        <v>47</v>
      </c>
      <c r="E1250" s="118"/>
      <c r="F1250" s="118"/>
      <c r="G1250" s="118"/>
      <c r="H1250" s="118"/>
    </row>
    <row r="1251" ht="15.75" customHeight="1">
      <c r="A1251" s="118"/>
      <c r="B1251" s="39" t="s">
        <v>240</v>
      </c>
      <c r="C1251" s="41" t="s">
        <v>241</v>
      </c>
      <c r="D1251" s="207">
        <v>80.0</v>
      </c>
      <c r="E1251" s="118"/>
      <c r="F1251" s="118"/>
      <c r="G1251" s="118"/>
      <c r="H1251" s="118"/>
    </row>
    <row r="1252" ht="15.75" customHeight="1">
      <c r="A1252" s="118"/>
      <c r="B1252" s="72" t="s">
        <v>669</v>
      </c>
      <c r="C1252" s="108" t="s">
        <v>670</v>
      </c>
      <c r="D1252" s="118">
        <f>25+25</f>
        <v>50</v>
      </c>
      <c r="E1252" s="118"/>
      <c r="F1252" s="118"/>
      <c r="G1252" s="118"/>
      <c r="H1252" s="118"/>
    </row>
    <row r="1253" ht="15.75" customHeight="1">
      <c r="A1253" s="118"/>
      <c r="B1253" s="31" t="s">
        <v>375</v>
      </c>
      <c r="C1253" s="31" t="s">
        <v>376</v>
      </c>
      <c r="D1253" s="207">
        <v>35.0</v>
      </c>
      <c r="E1253" s="118"/>
      <c r="F1253" s="118"/>
      <c r="G1253" s="118"/>
      <c r="H1253" s="118"/>
    </row>
    <row r="1254" ht="15.75" customHeight="1">
      <c r="A1254" s="118"/>
      <c r="B1254" s="31" t="s">
        <v>357</v>
      </c>
      <c r="C1254" s="31" t="s">
        <v>358</v>
      </c>
      <c r="D1254" s="118">
        <f>36+29</f>
        <v>65</v>
      </c>
      <c r="E1254" s="118"/>
      <c r="F1254" s="118"/>
      <c r="G1254" s="118"/>
      <c r="H1254" s="118"/>
    </row>
    <row r="1255" ht="15.75" customHeight="1">
      <c r="A1255" s="118"/>
      <c r="B1255" s="134" t="s">
        <v>291</v>
      </c>
      <c r="C1255" s="135" t="s">
        <v>292</v>
      </c>
      <c r="D1255" s="207">
        <v>22.0</v>
      </c>
      <c r="E1255" s="118"/>
      <c r="F1255" s="118"/>
      <c r="G1255" s="118"/>
      <c r="H1255" s="118"/>
    </row>
    <row r="1256" ht="15.75" customHeight="1">
      <c r="A1256" s="118"/>
      <c r="B1256" s="134" t="s">
        <v>685</v>
      </c>
      <c r="C1256" s="135" t="s">
        <v>686</v>
      </c>
      <c r="D1256" s="207">
        <v>53.0</v>
      </c>
      <c r="E1256" s="118"/>
      <c r="F1256" s="118"/>
      <c r="G1256" s="118"/>
      <c r="H1256" s="118"/>
    </row>
    <row r="1257" ht="15.75" customHeight="1">
      <c r="A1257" s="118"/>
      <c r="B1257" s="119"/>
      <c r="C1257" s="120"/>
      <c r="D1257" s="118"/>
      <c r="E1257" s="118"/>
      <c r="F1257" s="118"/>
      <c r="G1257" s="118"/>
      <c r="H1257" s="118"/>
    </row>
    <row r="1258" ht="15.75" customHeight="1">
      <c r="A1258" s="223">
        <v>45827.0</v>
      </c>
      <c r="B1258" s="130" t="s">
        <v>266</v>
      </c>
      <c r="C1258" s="130" t="s">
        <v>267</v>
      </c>
      <c r="D1258" s="118">
        <f>123</f>
        <v>123</v>
      </c>
      <c r="E1258" s="118"/>
      <c r="F1258" s="118"/>
      <c r="G1258" s="118"/>
      <c r="H1258" s="118"/>
    </row>
    <row r="1259" ht="15.75" customHeight="1">
      <c r="A1259" s="118"/>
      <c r="B1259" s="39" t="s">
        <v>254</v>
      </c>
      <c r="C1259" s="41" t="s">
        <v>255</v>
      </c>
      <c r="D1259" s="207">
        <v>23.0</v>
      </c>
      <c r="E1259" s="118"/>
      <c r="F1259" s="118"/>
      <c r="G1259" s="118"/>
      <c r="H1259" s="118"/>
    </row>
    <row r="1260" ht="15.75" customHeight="1">
      <c r="A1260" s="118"/>
      <c r="B1260" s="31" t="s">
        <v>429</v>
      </c>
      <c r="C1260" s="31" t="s">
        <v>430</v>
      </c>
      <c r="D1260" s="207">
        <v>33.0</v>
      </c>
      <c r="E1260" s="118"/>
      <c r="F1260" s="118"/>
      <c r="G1260" s="118"/>
      <c r="H1260" s="118"/>
    </row>
    <row r="1261" ht="15.75" customHeight="1">
      <c r="A1261" s="118"/>
      <c r="B1261" s="39" t="s">
        <v>240</v>
      </c>
      <c r="C1261" s="41" t="s">
        <v>241</v>
      </c>
      <c r="D1261" s="118">
        <f>36+71+76</f>
        <v>183</v>
      </c>
      <c r="E1261" s="118"/>
      <c r="F1261" s="118"/>
      <c r="G1261" s="118"/>
      <c r="H1261" s="118"/>
    </row>
    <row r="1262" ht="15.75" customHeight="1">
      <c r="A1262" s="118"/>
      <c r="B1262" s="130" t="s">
        <v>397</v>
      </c>
      <c r="C1262" s="130" t="s">
        <v>398</v>
      </c>
      <c r="D1262" s="207">
        <v>35.0</v>
      </c>
      <c r="E1262" s="118"/>
      <c r="F1262" s="118"/>
      <c r="G1262" s="118"/>
      <c r="H1262" s="118"/>
    </row>
    <row r="1263" ht="15.75" customHeight="1">
      <c r="A1263" s="118"/>
      <c r="B1263" s="72" t="s">
        <v>669</v>
      </c>
      <c r="C1263" s="108" t="s">
        <v>670</v>
      </c>
      <c r="D1263" s="118">
        <f>25+25</f>
        <v>50</v>
      </c>
      <c r="E1263" s="118"/>
      <c r="F1263" s="118"/>
      <c r="G1263" s="118"/>
      <c r="H1263" s="118"/>
    </row>
    <row r="1264" ht="15.75" customHeight="1">
      <c r="A1264" s="118"/>
      <c r="B1264" s="39" t="s">
        <v>268</v>
      </c>
      <c r="C1264" s="41" t="s">
        <v>269</v>
      </c>
      <c r="D1264" s="207">
        <v>35.0</v>
      </c>
      <c r="E1264" s="118"/>
      <c r="F1264" s="118"/>
      <c r="G1264" s="118"/>
      <c r="H1264" s="118"/>
    </row>
    <row r="1265" ht="15.75" customHeight="1">
      <c r="A1265" s="118"/>
      <c r="B1265" s="134" t="s">
        <v>413</v>
      </c>
      <c r="C1265" s="135" t="s">
        <v>414</v>
      </c>
      <c r="D1265" s="207">
        <v>37.0</v>
      </c>
      <c r="E1265" s="118"/>
      <c r="F1265" s="118"/>
      <c r="G1265" s="118"/>
      <c r="H1265" s="118"/>
    </row>
    <row r="1266" ht="15.75" customHeight="1">
      <c r="A1266" s="118"/>
      <c r="B1266" s="31" t="s">
        <v>421</v>
      </c>
      <c r="C1266" s="31" t="s">
        <v>422</v>
      </c>
      <c r="D1266" s="207">
        <v>25.0</v>
      </c>
      <c r="E1266" s="118"/>
      <c r="F1266" s="118"/>
      <c r="G1266" s="118"/>
      <c r="H1266" s="118"/>
    </row>
    <row r="1267" ht="15.75" customHeight="1">
      <c r="A1267" s="118"/>
      <c r="B1267" s="134" t="s">
        <v>419</v>
      </c>
      <c r="C1267" s="135" t="s">
        <v>420</v>
      </c>
      <c r="D1267" s="207">
        <v>12.0</v>
      </c>
      <c r="E1267" s="118"/>
      <c r="F1267" s="118"/>
      <c r="G1267" s="118"/>
      <c r="H1267" s="118"/>
    </row>
    <row r="1268" ht="15.75" customHeight="1">
      <c r="A1268" s="118"/>
      <c r="B1268" s="106" t="s">
        <v>415</v>
      </c>
      <c r="C1268" s="106" t="s">
        <v>416</v>
      </c>
      <c r="D1268" s="207">
        <v>56.0</v>
      </c>
      <c r="E1268" s="118"/>
      <c r="F1268" s="118"/>
      <c r="G1268" s="118"/>
      <c r="H1268" s="118"/>
    </row>
    <row r="1269" ht="15.75" customHeight="1">
      <c r="A1269" s="118"/>
      <c r="B1269" s="106" t="s">
        <v>401</v>
      </c>
      <c r="C1269" s="143" t="s">
        <v>402</v>
      </c>
      <c r="D1269" s="207">
        <v>55.0</v>
      </c>
      <c r="E1269" s="118"/>
      <c r="F1269" s="118"/>
      <c r="G1269" s="118"/>
      <c r="H1269" s="118"/>
    </row>
    <row r="1270" ht="15.75" customHeight="1">
      <c r="A1270" s="118"/>
      <c r="B1270" s="31" t="s">
        <v>357</v>
      </c>
      <c r="C1270" s="31" t="s">
        <v>358</v>
      </c>
      <c r="D1270" s="207">
        <v>30.0</v>
      </c>
      <c r="E1270" s="118"/>
      <c r="F1270" s="118"/>
      <c r="G1270" s="118"/>
      <c r="H1270" s="118"/>
    </row>
    <row r="1271" ht="15.75" customHeight="1">
      <c r="A1271" s="118"/>
      <c r="B1271" s="118"/>
      <c r="C1271" s="118"/>
      <c r="D1271" s="118"/>
      <c r="E1271" s="118"/>
      <c r="F1271" s="118"/>
      <c r="G1271" s="118"/>
      <c r="H1271" s="118"/>
    </row>
    <row r="1272" ht="15.75" customHeight="1">
      <c r="A1272" s="223">
        <v>45828.0</v>
      </c>
      <c r="B1272" s="125" t="s">
        <v>240</v>
      </c>
      <c r="C1272" s="64" t="s">
        <v>241</v>
      </c>
      <c r="D1272" s="207">
        <v>56.0</v>
      </c>
      <c r="E1272" s="118"/>
      <c r="F1272" s="118"/>
      <c r="G1272" s="118"/>
      <c r="H1272" s="118"/>
    </row>
    <row r="1273" ht="15.75" customHeight="1">
      <c r="A1273" s="118"/>
      <c r="B1273" s="64" t="s">
        <v>248</v>
      </c>
      <c r="C1273" s="64" t="s">
        <v>249</v>
      </c>
      <c r="D1273" s="207">
        <v>164.0</v>
      </c>
      <c r="E1273" s="118"/>
      <c r="F1273" s="118"/>
      <c r="G1273" s="118"/>
      <c r="H1273" s="118"/>
    </row>
    <row r="1274" ht="15.75" customHeight="1">
      <c r="A1274" s="118"/>
      <c r="B1274" s="130" t="s">
        <v>242</v>
      </c>
      <c r="C1274" s="130" t="s">
        <v>243</v>
      </c>
      <c r="D1274" s="207">
        <v>12.0</v>
      </c>
      <c r="E1274" s="118"/>
      <c r="F1274" s="118"/>
      <c r="G1274" s="118"/>
      <c r="H1274" s="118"/>
    </row>
    <row r="1275" ht="15.75" customHeight="1">
      <c r="A1275" s="118"/>
      <c r="B1275" s="39" t="s">
        <v>254</v>
      </c>
      <c r="C1275" s="41" t="s">
        <v>255</v>
      </c>
      <c r="D1275" s="118">
        <f>68+63+32</f>
        <v>163</v>
      </c>
      <c r="E1275" s="118"/>
      <c r="F1275" s="118"/>
      <c r="G1275" s="118"/>
      <c r="H1275" s="118"/>
    </row>
    <row r="1276" ht="15.75" customHeight="1">
      <c r="A1276" s="118"/>
      <c r="B1276" s="72" t="s">
        <v>669</v>
      </c>
      <c r="C1276" s="108" t="s">
        <v>670</v>
      </c>
      <c r="D1276" s="118">
        <f>25+25</f>
        <v>50</v>
      </c>
      <c r="E1276" s="118"/>
      <c r="F1276" s="118"/>
      <c r="G1276" s="118"/>
      <c r="H1276" s="118"/>
    </row>
    <row r="1277" ht="15.75" customHeight="1">
      <c r="A1277" s="118"/>
      <c r="B1277" s="31" t="s">
        <v>690</v>
      </c>
      <c r="C1277" s="31" t="s">
        <v>691</v>
      </c>
      <c r="D1277" s="207">
        <v>43.0</v>
      </c>
      <c r="E1277" s="118"/>
      <c r="F1277" s="118"/>
      <c r="G1277" s="118"/>
      <c r="H1277" s="118"/>
    </row>
    <row r="1278" ht="15.75" customHeight="1">
      <c r="A1278" s="118"/>
      <c r="B1278" s="31" t="s">
        <v>375</v>
      </c>
      <c r="C1278" s="31" t="s">
        <v>376</v>
      </c>
      <c r="D1278" s="207">
        <v>37.0</v>
      </c>
      <c r="E1278" s="118"/>
      <c r="F1278" s="118"/>
      <c r="G1278" s="118"/>
      <c r="H1278" s="118"/>
    </row>
    <row r="1279" ht="15.75" customHeight="1">
      <c r="A1279" s="118"/>
      <c r="B1279" s="134" t="s">
        <v>291</v>
      </c>
      <c r="C1279" s="135" t="s">
        <v>292</v>
      </c>
      <c r="D1279" s="207">
        <v>55.0</v>
      </c>
      <c r="E1279" s="118"/>
      <c r="F1279" s="118"/>
      <c r="G1279" s="118"/>
      <c r="H1279" s="118"/>
    </row>
    <row r="1280" ht="15.75" customHeight="1">
      <c r="A1280" s="118"/>
      <c r="B1280" s="31" t="s">
        <v>421</v>
      </c>
      <c r="C1280" s="31" t="s">
        <v>422</v>
      </c>
      <c r="D1280" s="207">
        <v>25.0</v>
      </c>
      <c r="E1280" s="118"/>
      <c r="F1280" s="118"/>
      <c r="G1280" s="118"/>
      <c r="H1280" s="118"/>
    </row>
    <row r="1281" ht="15.75" customHeight="1">
      <c r="A1281" s="118"/>
      <c r="B1281" s="134" t="s">
        <v>343</v>
      </c>
      <c r="C1281" s="135" t="s">
        <v>344</v>
      </c>
      <c r="D1281" s="207">
        <v>53.0</v>
      </c>
      <c r="E1281" s="118"/>
      <c r="F1281" s="118"/>
      <c r="G1281" s="118"/>
      <c r="H1281" s="118"/>
    </row>
    <row r="1282" ht="15.75" customHeight="1">
      <c r="A1282" s="118"/>
      <c r="B1282" s="233" t="s">
        <v>325</v>
      </c>
      <c r="C1282" s="234" t="s">
        <v>326</v>
      </c>
      <c r="D1282" s="207">
        <v>44.0</v>
      </c>
      <c r="E1282" s="118"/>
      <c r="F1282" s="118"/>
      <c r="G1282" s="118"/>
      <c r="H1282" s="118"/>
    </row>
    <row r="1283" ht="15.75" customHeight="1">
      <c r="A1283" s="118"/>
      <c r="B1283" s="125" t="s">
        <v>429</v>
      </c>
      <c r="C1283" s="125" t="s">
        <v>430</v>
      </c>
      <c r="D1283" s="118">
        <f>33+32</f>
        <v>65</v>
      </c>
      <c r="E1283" s="118"/>
      <c r="F1283" s="118"/>
      <c r="G1283" s="118"/>
      <c r="H1283" s="118"/>
    </row>
    <row r="1284" ht="15.75" customHeight="1">
      <c r="A1284" s="118"/>
      <c r="B1284" s="64" t="s">
        <v>289</v>
      </c>
      <c r="C1284" s="64" t="s">
        <v>290</v>
      </c>
      <c r="D1284" s="207">
        <v>17.0</v>
      </c>
      <c r="E1284" s="118"/>
      <c r="F1284" s="118"/>
      <c r="G1284" s="118"/>
      <c r="H1284" s="118"/>
    </row>
    <row r="1285" ht="15.75" customHeight="1">
      <c r="A1285" s="118"/>
      <c r="B1285" s="64" t="s">
        <v>397</v>
      </c>
      <c r="C1285" s="64" t="s">
        <v>398</v>
      </c>
      <c r="D1285" s="207">
        <v>61.0</v>
      </c>
      <c r="E1285" s="118"/>
      <c r="F1285" s="118"/>
      <c r="G1285" s="118"/>
      <c r="H1285" s="118"/>
    </row>
    <row r="1286" ht="15.75" customHeight="1">
      <c r="A1286" s="118"/>
      <c r="B1286" s="119"/>
      <c r="C1286" s="120"/>
      <c r="D1286" s="118"/>
      <c r="E1286" s="118"/>
      <c r="F1286" s="118"/>
      <c r="G1286" s="118"/>
      <c r="H1286" s="118"/>
    </row>
    <row r="1287" ht="15.75" customHeight="1">
      <c r="A1287" s="223">
        <v>45829.0</v>
      </c>
      <c r="B1287" s="134" t="s">
        <v>291</v>
      </c>
      <c r="C1287" s="135" t="s">
        <v>292</v>
      </c>
      <c r="D1287" s="207">
        <v>55.0</v>
      </c>
      <c r="E1287" s="118"/>
      <c r="F1287" s="118"/>
      <c r="G1287" s="118"/>
      <c r="H1287" s="118"/>
    </row>
    <row r="1288" ht="15.75" customHeight="1">
      <c r="A1288" s="118"/>
      <c r="B1288" s="39" t="s">
        <v>254</v>
      </c>
      <c r="C1288" s="41" t="s">
        <v>255</v>
      </c>
      <c r="D1288" s="207">
        <v>65.0</v>
      </c>
      <c r="E1288" s="118"/>
      <c r="F1288" s="118"/>
      <c r="G1288" s="118"/>
      <c r="H1288" s="118"/>
    </row>
    <row r="1289" ht="15.75" customHeight="1">
      <c r="A1289" s="118"/>
      <c r="B1289" s="106" t="s">
        <v>427</v>
      </c>
      <c r="C1289" s="144" t="s">
        <v>428</v>
      </c>
      <c r="D1289" s="207">
        <v>46.0</v>
      </c>
      <c r="E1289" s="118"/>
      <c r="F1289" s="118"/>
      <c r="G1289" s="118"/>
      <c r="H1289" s="118"/>
    </row>
    <row r="1290" ht="15.75" customHeight="1">
      <c r="A1290" s="118"/>
      <c r="B1290" s="72" t="s">
        <v>669</v>
      </c>
      <c r="C1290" s="108" t="s">
        <v>670</v>
      </c>
      <c r="D1290" s="118">
        <f>25+25</f>
        <v>50</v>
      </c>
      <c r="E1290" s="118"/>
      <c r="F1290" s="118"/>
      <c r="G1290" s="118"/>
      <c r="H1290" s="118"/>
    </row>
    <row r="1291" ht="15.75" customHeight="1">
      <c r="A1291" s="118"/>
      <c r="B1291" s="134" t="s">
        <v>363</v>
      </c>
      <c r="C1291" s="135" t="s">
        <v>364</v>
      </c>
      <c r="D1291" s="118">
        <f>60</f>
        <v>60</v>
      </c>
      <c r="E1291" s="118"/>
      <c r="F1291" s="118"/>
      <c r="G1291" s="118"/>
      <c r="H1291" s="118"/>
    </row>
    <row r="1292" ht="15.75" customHeight="1">
      <c r="A1292" s="118"/>
      <c r="B1292" s="134" t="s">
        <v>275</v>
      </c>
      <c r="C1292" s="135" t="s">
        <v>276</v>
      </c>
      <c r="D1292" s="207">
        <v>44.0</v>
      </c>
      <c r="E1292" s="118"/>
      <c r="F1292" s="118"/>
      <c r="G1292" s="118"/>
      <c r="H1292" s="118"/>
    </row>
    <row r="1293" ht="15.75" customHeight="1">
      <c r="A1293" s="118"/>
      <c r="B1293" s="31" t="s">
        <v>690</v>
      </c>
      <c r="C1293" s="31" t="s">
        <v>691</v>
      </c>
      <c r="D1293" s="207">
        <v>43.0</v>
      </c>
      <c r="E1293" s="118"/>
      <c r="F1293" s="118"/>
      <c r="G1293" s="118"/>
      <c r="H1293" s="118"/>
    </row>
    <row r="1294" ht="15.75" customHeight="1">
      <c r="A1294" s="118"/>
      <c r="B1294" s="39" t="s">
        <v>252</v>
      </c>
      <c r="C1294" s="41" t="s">
        <v>253</v>
      </c>
      <c r="D1294" s="207">
        <v>111.0</v>
      </c>
      <c r="E1294" s="118"/>
      <c r="F1294" s="118"/>
      <c r="G1294" s="118"/>
      <c r="H1294" s="118"/>
    </row>
    <row r="1295" ht="15.75" customHeight="1">
      <c r="A1295" s="118"/>
      <c r="B1295" s="119"/>
      <c r="C1295" s="120"/>
      <c r="D1295" s="118"/>
      <c r="E1295" s="118"/>
      <c r="F1295" s="118"/>
      <c r="G1295" s="118"/>
      <c r="H1295" s="118"/>
    </row>
    <row r="1296" ht="15.75" customHeight="1">
      <c r="A1296" s="118"/>
      <c r="B1296" s="119"/>
      <c r="C1296" s="120"/>
      <c r="D1296" s="118"/>
      <c r="E1296" s="118"/>
      <c r="F1296" s="118"/>
      <c r="G1296" s="118"/>
      <c r="H1296" s="118"/>
    </row>
    <row r="1297" ht="15.75" customHeight="1">
      <c r="A1297" s="118"/>
      <c r="B1297" s="119"/>
      <c r="C1297" s="120"/>
      <c r="D1297" s="118"/>
      <c r="E1297" s="118"/>
      <c r="F1297" s="118"/>
      <c r="G1297" s="118"/>
      <c r="H1297" s="118"/>
    </row>
    <row r="1298" ht="15.75" customHeight="1">
      <c r="A1298" s="118"/>
      <c r="B1298" s="119"/>
      <c r="C1298" s="120"/>
      <c r="D1298" s="118"/>
      <c r="E1298" s="118"/>
      <c r="F1298" s="118"/>
      <c r="G1298" s="118"/>
      <c r="H1298" s="118"/>
    </row>
    <row r="1299" ht="15.75" customHeight="1">
      <c r="A1299" s="118"/>
      <c r="B1299" s="119"/>
      <c r="C1299" s="120"/>
      <c r="D1299" s="118"/>
      <c r="E1299" s="118"/>
      <c r="F1299" s="118"/>
      <c r="G1299" s="118"/>
      <c r="H1299" s="118"/>
    </row>
    <row r="1300" ht="15.75" customHeight="1">
      <c r="A1300" s="118"/>
      <c r="B1300" s="119"/>
      <c r="C1300" s="120"/>
      <c r="D1300" s="118"/>
      <c r="E1300" s="118"/>
      <c r="F1300" s="118"/>
      <c r="G1300" s="118"/>
      <c r="H1300" s="118"/>
    </row>
    <row r="1301" ht="15.75" customHeight="1">
      <c r="A1301" s="118"/>
      <c r="B1301" s="119"/>
      <c r="C1301" s="120"/>
      <c r="D1301" s="118"/>
      <c r="E1301" s="118"/>
      <c r="F1301" s="118"/>
      <c r="G1301" s="118"/>
      <c r="H1301" s="118"/>
    </row>
    <row r="1302" ht="15.75" customHeight="1">
      <c r="A1302" s="118"/>
      <c r="B1302" s="119"/>
      <c r="C1302" s="120"/>
      <c r="D1302" s="118"/>
      <c r="E1302" s="118"/>
      <c r="F1302" s="118"/>
      <c r="G1302" s="118"/>
      <c r="H1302" s="118"/>
    </row>
    <row r="1303" ht="15.75" customHeight="1">
      <c r="A1303" s="118"/>
      <c r="B1303" s="119"/>
      <c r="C1303" s="120"/>
      <c r="D1303" s="118"/>
      <c r="E1303" s="118"/>
      <c r="F1303" s="118"/>
      <c r="G1303" s="118"/>
      <c r="H1303" s="118"/>
    </row>
    <row r="1304" ht="15.75" customHeight="1">
      <c r="A1304" s="118"/>
      <c r="B1304" s="119"/>
      <c r="C1304" s="120"/>
      <c r="D1304" s="118"/>
      <c r="E1304" s="118"/>
      <c r="F1304" s="118"/>
      <c r="G1304" s="118"/>
      <c r="H1304" s="118"/>
    </row>
    <row r="1305" ht="15.75" customHeight="1">
      <c r="A1305" s="118"/>
      <c r="B1305" s="118"/>
      <c r="C1305" s="118"/>
      <c r="D1305" s="118"/>
      <c r="E1305" s="118"/>
      <c r="F1305" s="118"/>
      <c r="G1305" s="118"/>
      <c r="H1305" s="118"/>
    </row>
    <row r="1306" ht="15.75" customHeight="1">
      <c r="A1306" s="95"/>
      <c r="B1306" s="95"/>
      <c r="C1306" s="24" t="s">
        <v>692</v>
      </c>
      <c r="D1306" s="95"/>
      <c r="E1306" s="95"/>
      <c r="F1306" s="95"/>
      <c r="G1306" s="95"/>
      <c r="H1306" s="95"/>
    </row>
    <row r="1307" ht="15.75" customHeight="1">
      <c r="A1307" s="190">
        <v>45808.0</v>
      </c>
      <c r="B1307" s="31" t="s">
        <v>446</v>
      </c>
      <c r="C1307" s="31" t="s">
        <v>447</v>
      </c>
      <c r="D1307" s="100">
        <f>329+35+328</f>
        <v>692</v>
      </c>
      <c r="E1307" s="100"/>
      <c r="F1307" s="100"/>
      <c r="G1307" s="100"/>
      <c r="H1307" s="100"/>
      <c r="I1307" s="191"/>
      <c r="J1307" s="191"/>
      <c r="K1307" s="191"/>
      <c r="L1307" s="191"/>
      <c r="M1307" s="191"/>
      <c r="N1307" s="191"/>
      <c r="O1307" s="191"/>
      <c r="P1307" s="191"/>
      <c r="Q1307" s="191"/>
      <c r="R1307" s="191"/>
      <c r="S1307" s="191"/>
      <c r="T1307" s="191"/>
      <c r="U1307" s="191"/>
      <c r="V1307" s="191"/>
      <c r="W1307" s="191"/>
      <c r="X1307" s="191"/>
      <c r="Y1307" s="191"/>
      <c r="Z1307" s="191"/>
    </row>
    <row r="1308" ht="15.75" customHeight="1">
      <c r="A1308" s="192"/>
      <c r="B1308" s="72" t="s">
        <v>436</v>
      </c>
      <c r="C1308" s="116" t="s">
        <v>437</v>
      </c>
      <c r="D1308" s="100">
        <f>78</f>
        <v>78</v>
      </c>
      <c r="E1308" s="100"/>
      <c r="F1308" s="100"/>
      <c r="G1308" s="100"/>
      <c r="H1308" s="100"/>
      <c r="I1308" s="191"/>
      <c r="J1308" s="191"/>
      <c r="K1308" s="191"/>
      <c r="L1308" s="191"/>
      <c r="M1308" s="191"/>
      <c r="N1308" s="191"/>
      <c r="O1308" s="191"/>
      <c r="P1308" s="191"/>
      <c r="Q1308" s="191"/>
      <c r="R1308" s="191"/>
      <c r="S1308" s="191"/>
      <c r="T1308" s="191"/>
      <c r="U1308" s="191"/>
      <c r="V1308" s="191"/>
      <c r="W1308" s="191"/>
      <c r="X1308" s="191"/>
      <c r="Y1308" s="191"/>
      <c r="Z1308" s="191"/>
    </row>
    <row r="1309" ht="15.75" customHeight="1">
      <c r="A1309" s="192"/>
      <c r="B1309" s="72" t="s">
        <v>438</v>
      </c>
      <c r="C1309" s="116" t="s">
        <v>439</v>
      </c>
      <c r="D1309" s="100">
        <f>138+117+57</f>
        <v>312</v>
      </c>
      <c r="E1309" s="100"/>
      <c r="F1309" s="100"/>
      <c r="G1309" s="100"/>
      <c r="H1309" s="100"/>
      <c r="I1309" s="191"/>
      <c r="J1309" s="191"/>
      <c r="K1309" s="191"/>
      <c r="L1309" s="191"/>
      <c r="M1309" s="191"/>
      <c r="N1309" s="191"/>
      <c r="O1309" s="191"/>
      <c r="P1309" s="191"/>
      <c r="Q1309" s="191"/>
      <c r="R1309" s="191"/>
      <c r="S1309" s="191"/>
      <c r="T1309" s="191"/>
      <c r="U1309" s="191"/>
      <c r="V1309" s="191"/>
      <c r="W1309" s="191"/>
      <c r="X1309" s="191"/>
      <c r="Y1309" s="191"/>
      <c r="Z1309" s="191"/>
    </row>
    <row r="1310" ht="15.75" customHeight="1">
      <c r="A1310" s="192"/>
      <c r="B1310" s="72" t="s">
        <v>434</v>
      </c>
      <c r="C1310" s="116" t="s">
        <v>435</v>
      </c>
      <c r="D1310" s="99">
        <v>95.0</v>
      </c>
      <c r="E1310" s="100"/>
      <c r="F1310" s="100"/>
      <c r="G1310" s="100"/>
      <c r="H1310" s="100"/>
      <c r="I1310" s="191"/>
      <c r="J1310" s="191"/>
      <c r="K1310" s="191"/>
      <c r="L1310" s="191"/>
      <c r="M1310" s="191"/>
      <c r="N1310" s="191"/>
      <c r="O1310" s="191"/>
      <c r="P1310" s="191"/>
      <c r="Q1310" s="191"/>
      <c r="R1310" s="191"/>
      <c r="S1310" s="191"/>
      <c r="T1310" s="191"/>
      <c r="U1310" s="191"/>
      <c r="V1310" s="191"/>
      <c r="W1310" s="191"/>
      <c r="X1310" s="191"/>
      <c r="Y1310" s="191"/>
      <c r="Z1310" s="191"/>
    </row>
    <row r="1311" ht="15.75" customHeight="1">
      <c r="A1311" s="192"/>
      <c r="B1311" s="72" t="s">
        <v>442</v>
      </c>
      <c r="C1311" s="116" t="s">
        <v>443</v>
      </c>
      <c r="D1311" s="100">
        <f>344+314+116</f>
        <v>774</v>
      </c>
      <c r="E1311" s="100"/>
      <c r="F1311" s="100"/>
      <c r="G1311" s="100"/>
      <c r="H1311" s="100"/>
      <c r="I1311" s="191"/>
      <c r="J1311" s="191"/>
      <c r="K1311" s="191"/>
      <c r="L1311" s="191"/>
      <c r="M1311" s="191"/>
      <c r="N1311" s="191"/>
      <c r="O1311" s="191"/>
      <c r="P1311" s="191"/>
      <c r="Q1311" s="191"/>
      <c r="R1311" s="191"/>
      <c r="S1311" s="191"/>
      <c r="T1311" s="191"/>
      <c r="U1311" s="191"/>
      <c r="V1311" s="191"/>
      <c r="W1311" s="191"/>
      <c r="X1311" s="191"/>
      <c r="Y1311" s="191"/>
      <c r="Z1311" s="191"/>
    </row>
    <row r="1312" ht="15.75" customHeight="1">
      <c r="A1312" s="192"/>
      <c r="B1312" s="72" t="s">
        <v>444</v>
      </c>
      <c r="C1312" s="148" t="s">
        <v>445</v>
      </c>
      <c r="D1312" s="100">
        <f>99+301</f>
        <v>400</v>
      </c>
      <c r="E1312" s="100"/>
      <c r="F1312" s="100"/>
      <c r="G1312" s="100"/>
      <c r="H1312" s="100"/>
      <c r="I1312" s="191"/>
      <c r="J1312" s="191"/>
      <c r="K1312" s="191"/>
      <c r="L1312" s="191"/>
      <c r="M1312" s="191"/>
      <c r="N1312" s="191"/>
      <c r="O1312" s="191"/>
      <c r="P1312" s="191"/>
      <c r="Q1312" s="191"/>
      <c r="R1312" s="191"/>
      <c r="S1312" s="191"/>
      <c r="T1312" s="191"/>
      <c r="U1312" s="191"/>
      <c r="V1312" s="191"/>
      <c r="W1312" s="191"/>
      <c r="X1312" s="191"/>
      <c r="Y1312" s="191"/>
      <c r="Z1312" s="191"/>
    </row>
    <row r="1313" ht="15.75" customHeight="1">
      <c r="A1313" s="192"/>
      <c r="B1313" s="72" t="s">
        <v>448</v>
      </c>
      <c r="C1313" s="116" t="s">
        <v>449</v>
      </c>
      <c r="D1313" s="99">
        <f>184+170</f>
        <v>354</v>
      </c>
      <c r="E1313" s="100"/>
      <c r="F1313" s="100"/>
      <c r="G1313" s="100"/>
      <c r="H1313" s="100"/>
      <c r="I1313" s="191"/>
      <c r="J1313" s="191"/>
      <c r="K1313" s="191"/>
      <c r="L1313" s="191"/>
      <c r="M1313" s="191"/>
      <c r="N1313" s="191"/>
      <c r="O1313" s="191"/>
      <c r="P1313" s="191"/>
      <c r="Q1313" s="191"/>
      <c r="R1313" s="191"/>
      <c r="S1313" s="191"/>
      <c r="T1313" s="191"/>
      <c r="U1313" s="191"/>
      <c r="V1313" s="191"/>
      <c r="W1313" s="191"/>
      <c r="X1313" s="191"/>
      <c r="Y1313" s="191"/>
      <c r="Z1313" s="191"/>
    </row>
    <row r="1314" ht="15.75" customHeight="1">
      <c r="A1314" s="192"/>
      <c r="B1314" s="72" t="s">
        <v>450</v>
      </c>
      <c r="C1314" s="149" t="s">
        <v>451</v>
      </c>
      <c r="D1314" s="100">
        <f>421+101+541</f>
        <v>1063</v>
      </c>
      <c r="E1314" s="100"/>
      <c r="F1314" s="100"/>
      <c r="G1314" s="100"/>
      <c r="H1314" s="100"/>
      <c r="I1314" s="191"/>
      <c r="J1314" s="191"/>
      <c r="K1314" s="191"/>
      <c r="L1314" s="191"/>
      <c r="M1314" s="191"/>
      <c r="N1314" s="191"/>
      <c r="O1314" s="191"/>
      <c r="P1314" s="191"/>
      <c r="Q1314" s="191"/>
      <c r="R1314" s="191"/>
      <c r="S1314" s="191"/>
      <c r="T1314" s="191"/>
      <c r="U1314" s="191"/>
      <c r="V1314" s="191"/>
      <c r="W1314" s="191"/>
      <c r="X1314" s="191"/>
      <c r="Y1314" s="191"/>
      <c r="Z1314" s="191"/>
    </row>
    <row r="1315" ht="15.75" customHeight="1">
      <c r="A1315" s="192"/>
      <c r="B1315" s="76" t="s">
        <v>454</v>
      </c>
      <c r="C1315" s="235" t="s">
        <v>455</v>
      </c>
      <c r="D1315" s="100">
        <f>186+176</f>
        <v>362</v>
      </c>
      <c r="E1315" s="100"/>
      <c r="F1315" s="100"/>
      <c r="G1315" s="100"/>
      <c r="H1315" s="100"/>
      <c r="I1315" s="191"/>
      <c r="J1315" s="191"/>
      <c r="K1315" s="191"/>
      <c r="L1315" s="191"/>
      <c r="M1315" s="191"/>
      <c r="N1315" s="191"/>
      <c r="O1315" s="191"/>
      <c r="P1315" s="191"/>
      <c r="Q1315" s="191"/>
      <c r="R1315" s="191"/>
      <c r="S1315" s="191"/>
      <c r="T1315" s="191"/>
      <c r="U1315" s="191"/>
      <c r="V1315" s="191"/>
      <c r="W1315" s="191"/>
      <c r="X1315" s="191"/>
      <c r="Y1315" s="191"/>
      <c r="Z1315" s="191"/>
    </row>
    <row r="1316" ht="15.75" customHeight="1">
      <c r="A1316" s="192"/>
      <c r="B1316" s="76" t="s">
        <v>452</v>
      </c>
      <c r="C1316" s="77" t="s">
        <v>453</v>
      </c>
      <c r="D1316" s="100">
        <f>635+65+388</f>
        <v>1088</v>
      </c>
      <c r="E1316" s="100"/>
      <c r="F1316" s="100"/>
      <c r="G1316" s="100"/>
      <c r="H1316" s="100"/>
      <c r="I1316" s="191"/>
      <c r="J1316" s="191"/>
      <c r="K1316" s="191"/>
      <c r="L1316" s="191"/>
      <c r="M1316" s="191"/>
      <c r="N1316" s="191"/>
      <c r="O1316" s="191"/>
      <c r="P1316" s="191"/>
      <c r="Q1316" s="191"/>
      <c r="R1316" s="191"/>
      <c r="S1316" s="191"/>
      <c r="T1316" s="191"/>
      <c r="U1316" s="191"/>
      <c r="V1316" s="191"/>
      <c r="W1316" s="191"/>
      <c r="X1316" s="191"/>
      <c r="Y1316" s="191"/>
      <c r="Z1316" s="191"/>
    </row>
    <row r="1317" ht="15.75" customHeight="1">
      <c r="A1317" s="192"/>
      <c r="B1317" s="76" t="s">
        <v>456</v>
      </c>
      <c r="C1317" s="77" t="s">
        <v>457</v>
      </c>
      <c r="D1317" s="100">
        <f>484+175+320</f>
        <v>979</v>
      </c>
      <c r="E1317" s="100"/>
      <c r="F1317" s="100"/>
      <c r="G1317" s="100"/>
      <c r="H1317" s="100"/>
      <c r="I1317" s="191"/>
      <c r="J1317" s="191"/>
      <c r="K1317" s="191"/>
      <c r="L1317" s="191"/>
      <c r="M1317" s="191"/>
      <c r="N1317" s="191"/>
      <c r="O1317" s="191"/>
      <c r="P1317" s="191"/>
      <c r="Q1317" s="191"/>
      <c r="R1317" s="191"/>
      <c r="S1317" s="191"/>
      <c r="T1317" s="191"/>
      <c r="U1317" s="191"/>
      <c r="V1317" s="191"/>
      <c r="W1317" s="191"/>
      <c r="X1317" s="191"/>
      <c r="Y1317" s="191"/>
      <c r="Z1317" s="191"/>
    </row>
    <row r="1318" ht="15.75" customHeight="1">
      <c r="A1318" s="192"/>
      <c r="B1318" s="72" t="s">
        <v>458</v>
      </c>
      <c r="C1318" s="149" t="s">
        <v>459</v>
      </c>
      <c r="D1318" s="100">
        <f>418+111+244+149</f>
        <v>922</v>
      </c>
      <c r="E1318" s="100"/>
      <c r="F1318" s="100"/>
      <c r="G1318" s="100"/>
      <c r="H1318" s="100"/>
      <c r="I1318" s="191"/>
      <c r="J1318" s="191"/>
      <c r="K1318" s="191"/>
      <c r="L1318" s="191"/>
      <c r="M1318" s="191"/>
      <c r="N1318" s="191"/>
      <c r="O1318" s="191"/>
      <c r="P1318" s="191"/>
      <c r="Q1318" s="191"/>
      <c r="R1318" s="191"/>
      <c r="S1318" s="191"/>
      <c r="T1318" s="191"/>
      <c r="U1318" s="191"/>
      <c r="V1318" s="191"/>
      <c r="W1318" s="191"/>
      <c r="X1318" s="191"/>
      <c r="Y1318" s="191"/>
      <c r="Z1318" s="191"/>
    </row>
    <row r="1319" ht="15.75" customHeight="1">
      <c r="A1319" s="192"/>
      <c r="B1319" s="72" t="s">
        <v>524</v>
      </c>
      <c r="C1319" s="116" t="s">
        <v>525</v>
      </c>
      <c r="D1319" s="99">
        <v>1042.0</v>
      </c>
      <c r="E1319" s="100"/>
      <c r="F1319" s="100"/>
      <c r="G1319" s="100"/>
      <c r="H1319" s="100"/>
      <c r="I1319" s="191"/>
      <c r="J1319" s="191"/>
      <c r="K1319" s="191"/>
      <c r="L1319" s="191"/>
      <c r="M1319" s="191"/>
      <c r="N1319" s="191"/>
      <c r="O1319" s="191"/>
      <c r="P1319" s="191"/>
      <c r="Q1319" s="191"/>
      <c r="R1319" s="191"/>
      <c r="S1319" s="191"/>
      <c r="T1319" s="191"/>
      <c r="U1319" s="191"/>
      <c r="V1319" s="191"/>
      <c r="W1319" s="191"/>
      <c r="X1319" s="191"/>
      <c r="Y1319" s="191"/>
      <c r="Z1319" s="191"/>
    </row>
    <row r="1320" ht="15.75" customHeight="1">
      <c r="A1320" s="192"/>
      <c r="B1320" s="124" t="s">
        <v>546</v>
      </c>
      <c r="C1320" s="116" t="s">
        <v>547</v>
      </c>
      <c r="D1320" s="99">
        <v>240.0</v>
      </c>
      <c r="E1320" s="100"/>
      <c r="F1320" s="100"/>
      <c r="G1320" s="100"/>
      <c r="H1320" s="100"/>
      <c r="I1320" s="191"/>
      <c r="J1320" s="191"/>
      <c r="K1320" s="191"/>
      <c r="L1320" s="191"/>
      <c r="M1320" s="191"/>
      <c r="N1320" s="191"/>
      <c r="O1320" s="191"/>
      <c r="P1320" s="191"/>
      <c r="Q1320" s="191"/>
      <c r="R1320" s="191"/>
      <c r="S1320" s="191"/>
      <c r="T1320" s="191"/>
      <c r="U1320" s="191"/>
      <c r="V1320" s="191"/>
      <c r="W1320" s="191"/>
      <c r="X1320" s="191"/>
      <c r="Y1320" s="191"/>
      <c r="Z1320" s="191"/>
    </row>
    <row r="1321" ht="15.75" customHeight="1">
      <c r="A1321" s="192"/>
      <c r="B1321" s="31" t="s">
        <v>440</v>
      </c>
      <c r="C1321" s="31" t="s">
        <v>441</v>
      </c>
      <c r="D1321" s="100">
        <f>54+295</f>
        <v>349</v>
      </c>
      <c r="E1321" s="100"/>
      <c r="F1321" s="100"/>
      <c r="G1321" s="100"/>
      <c r="H1321" s="100"/>
      <c r="I1321" s="101"/>
      <c r="J1321" s="101"/>
      <c r="K1321" s="101"/>
      <c r="L1321" s="101"/>
      <c r="M1321" s="101"/>
      <c r="N1321" s="101"/>
      <c r="O1321" s="101"/>
      <c r="P1321" s="101"/>
      <c r="Q1321" s="101"/>
      <c r="R1321" s="101"/>
      <c r="S1321" s="101"/>
      <c r="T1321" s="101"/>
      <c r="U1321" s="101"/>
      <c r="V1321" s="101"/>
      <c r="W1321" s="101"/>
      <c r="X1321" s="101"/>
      <c r="Y1321" s="101"/>
      <c r="Z1321" s="101"/>
    </row>
    <row r="1322" ht="15.75" customHeight="1">
      <c r="A1322" s="192"/>
      <c r="B1322" s="109"/>
      <c r="C1322" s="236"/>
      <c r="D1322" s="100"/>
      <c r="E1322" s="100"/>
      <c r="F1322" s="100"/>
      <c r="G1322" s="100"/>
      <c r="H1322" s="100"/>
      <c r="I1322" s="101"/>
      <c r="J1322" s="101"/>
      <c r="K1322" s="101"/>
      <c r="L1322" s="101"/>
      <c r="M1322" s="101"/>
      <c r="N1322" s="101"/>
      <c r="O1322" s="101"/>
      <c r="P1322" s="101"/>
      <c r="Q1322" s="101"/>
      <c r="R1322" s="101"/>
      <c r="S1322" s="101"/>
      <c r="T1322" s="101"/>
      <c r="U1322" s="101"/>
      <c r="V1322" s="101"/>
      <c r="W1322" s="101"/>
      <c r="X1322" s="101"/>
      <c r="Y1322" s="101"/>
      <c r="Z1322" s="101"/>
    </row>
    <row r="1323" ht="15.75" customHeight="1">
      <c r="A1323" s="190">
        <v>45810.0</v>
      </c>
      <c r="B1323" s="31" t="s">
        <v>446</v>
      </c>
      <c r="C1323" s="31" t="s">
        <v>447</v>
      </c>
      <c r="D1323" s="100">
        <f>246+198+76</f>
        <v>520</v>
      </c>
      <c r="E1323" s="100"/>
      <c r="F1323" s="100"/>
      <c r="G1323" s="100"/>
      <c r="H1323" s="100"/>
      <c r="I1323" s="101"/>
      <c r="J1323" s="101"/>
      <c r="K1323" s="101"/>
      <c r="L1323" s="101"/>
      <c r="M1323" s="101"/>
      <c r="N1323" s="101"/>
      <c r="O1323" s="101"/>
      <c r="P1323" s="101"/>
      <c r="Q1323" s="101"/>
      <c r="R1323" s="101"/>
      <c r="S1323" s="101"/>
      <c r="T1323" s="101"/>
      <c r="U1323" s="101"/>
      <c r="V1323" s="101"/>
      <c r="W1323" s="101"/>
      <c r="X1323" s="101"/>
      <c r="Y1323" s="101"/>
      <c r="Z1323" s="101"/>
    </row>
    <row r="1324" ht="15.75" customHeight="1">
      <c r="A1324" s="192"/>
      <c r="B1324" s="31" t="s">
        <v>440</v>
      </c>
      <c r="C1324" s="31" t="s">
        <v>441</v>
      </c>
      <c r="D1324" s="100">
        <f>494+211</f>
        <v>705</v>
      </c>
      <c r="E1324" s="100"/>
      <c r="F1324" s="100"/>
      <c r="G1324" s="100"/>
      <c r="H1324" s="100"/>
      <c r="I1324" s="101"/>
      <c r="J1324" s="101"/>
      <c r="K1324" s="101"/>
      <c r="L1324" s="101"/>
      <c r="M1324" s="101"/>
      <c r="N1324" s="101"/>
      <c r="O1324" s="101"/>
      <c r="P1324" s="101"/>
      <c r="Q1324" s="101"/>
      <c r="R1324" s="101"/>
      <c r="S1324" s="101"/>
      <c r="T1324" s="101"/>
      <c r="U1324" s="101"/>
      <c r="V1324" s="101"/>
      <c r="W1324" s="101"/>
      <c r="X1324" s="101"/>
      <c r="Y1324" s="101"/>
      <c r="Z1324" s="101"/>
    </row>
    <row r="1325" ht="15.75" customHeight="1">
      <c r="A1325" s="192"/>
      <c r="B1325" s="72" t="s">
        <v>442</v>
      </c>
      <c r="C1325" s="116" t="s">
        <v>443</v>
      </c>
      <c r="D1325" s="100">
        <f>183</f>
        <v>183</v>
      </c>
      <c r="E1325" s="100"/>
      <c r="F1325" s="100"/>
      <c r="G1325" s="100"/>
      <c r="H1325" s="100"/>
      <c r="I1325" s="101"/>
      <c r="J1325" s="101"/>
      <c r="K1325" s="101"/>
      <c r="L1325" s="101"/>
      <c r="M1325" s="101"/>
      <c r="N1325" s="101"/>
      <c r="O1325" s="101"/>
      <c r="P1325" s="101"/>
      <c r="Q1325" s="101"/>
      <c r="R1325" s="101"/>
      <c r="S1325" s="101"/>
      <c r="T1325" s="101"/>
      <c r="U1325" s="101"/>
      <c r="V1325" s="101"/>
      <c r="W1325" s="101"/>
      <c r="X1325" s="101"/>
      <c r="Y1325" s="101"/>
      <c r="Z1325" s="101"/>
    </row>
    <row r="1326" ht="15.75" customHeight="1">
      <c r="A1326" s="192"/>
      <c r="B1326" s="72" t="s">
        <v>444</v>
      </c>
      <c r="C1326" s="148" t="s">
        <v>445</v>
      </c>
      <c r="D1326" s="100">
        <f>224+378</f>
        <v>602</v>
      </c>
      <c r="E1326" s="100"/>
      <c r="F1326" s="100"/>
      <c r="G1326" s="100"/>
      <c r="H1326" s="100"/>
      <c r="I1326" s="101"/>
      <c r="J1326" s="101"/>
      <c r="K1326" s="101"/>
      <c r="L1326" s="101"/>
      <c r="M1326" s="101"/>
      <c r="N1326" s="101"/>
      <c r="O1326" s="101"/>
      <c r="P1326" s="101"/>
      <c r="Q1326" s="101"/>
      <c r="R1326" s="101"/>
      <c r="S1326" s="101"/>
      <c r="T1326" s="101"/>
      <c r="U1326" s="101"/>
      <c r="V1326" s="101"/>
      <c r="W1326" s="101"/>
      <c r="X1326" s="101"/>
      <c r="Y1326" s="101"/>
      <c r="Z1326" s="101"/>
    </row>
    <row r="1327" ht="15.75" customHeight="1">
      <c r="A1327" s="192"/>
      <c r="B1327" s="72" t="s">
        <v>438</v>
      </c>
      <c r="C1327" s="116" t="s">
        <v>439</v>
      </c>
      <c r="D1327" s="99">
        <v>225.0</v>
      </c>
      <c r="E1327" s="100"/>
      <c r="F1327" s="100"/>
      <c r="G1327" s="100"/>
      <c r="H1327" s="100"/>
      <c r="I1327" s="101"/>
      <c r="J1327" s="101"/>
      <c r="K1327" s="101"/>
      <c r="L1327" s="101"/>
      <c r="M1327" s="101"/>
      <c r="N1327" s="101"/>
      <c r="O1327" s="101"/>
      <c r="P1327" s="101"/>
      <c r="Q1327" s="101"/>
      <c r="R1327" s="101"/>
      <c r="S1327" s="101"/>
      <c r="T1327" s="101"/>
      <c r="U1327" s="101"/>
      <c r="V1327" s="101"/>
      <c r="W1327" s="101"/>
      <c r="X1327" s="101"/>
      <c r="Y1327" s="101"/>
      <c r="Z1327" s="101"/>
    </row>
    <row r="1328" ht="15.75" customHeight="1">
      <c r="A1328" s="192"/>
      <c r="B1328" s="72" t="s">
        <v>472</v>
      </c>
      <c r="C1328" s="116" t="s">
        <v>473</v>
      </c>
      <c r="D1328" s="99">
        <v>235.0</v>
      </c>
      <c r="E1328" s="100"/>
      <c r="F1328" s="100"/>
      <c r="G1328" s="100"/>
      <c r="H1328" s="100"/>
      <c r="I1328" s="101"/>
      <c r="J1328" s="101"/>
      <c r="K1328" s="101"/>
      <c r="L1328" s="101"/>
      <c r="M1328" s="101"/>
      <c r="N1328" s="101"/>
      <c r="O1328" s="101"/>
      <c r="P1328" s="101"/>
      <c r="Q1328" s="101"/>
      <c r="R1328" s="101"/>
      <c r="S1328" s="101"/>
      <c r="T1328" s="101"/>
      <c r="U1328" s="101"/>
      <c r="V1328" s="101"/>
      <c r="W1328" s="101"/>
      <c r="X1328" s="101"/>
      <c r="Y1328" s="101"/>
      <c r="Z1328" s="101"/>
    </row>
    <row r="1329" ht="15.75" customHeight="1">
      <c r="A1329" s="192"/>
      <c r="B1329" s="124" t="s">
        <v>464</v>
      </c>
      <c r="C1329" s="116" t="s">
        <v>465</v>
      </c>
      <c r="D1329" s="100">
        <f>923+652</f>
        <v>1575</v>
      </c>
      <c r="E1329" s="100"/>
      <c r="F1329" s="100"/>
      <c r="G1329" s="100"/>
      <c r="H1329" s="100"/>
      <c r="I1329" s="101"/>
      <c r="J1329" s="101"/>
      <c r="K1329" s="101"/>
      <c r="L1329" s="101"/>
      <c r="M1329" s="101"/>
      <c r="N1329" s="101"/>
      <c r="O1329" s="101"/>
      <c r="P1329" s="101"/>
      <c r="Q1329" s="101"/>
      <c r="R1329" s="101"/>
      <c r="S1329" s="101"/>
      <c r="T1329" s="101"/>
      <c r="U1329" s="101"/>
      <c r="V1329" s="101"/>
      <c r="W1329" s="101"/>
      <c r="X1329" s="101"/>
      <c r="Y1329" s="101"/>
      <c r="Z1329" s="101"/>
    </row>
    <row r="1330" ht="15.75" customHeight="1">
      <c r="A1330" s="192"/>
      <c r="B1330" s="31" t="s">
        <v>462</v>
      </c>
      <c r="C1330" s="31" t="s">
        <v>463</v>
      </c>
      <c r="D1330" s="99">
        <f>744+347+48</f>
        <v>1139</v>
      </c>
      <c r="E1330" s="100"/>
      <c r="F1330" s="100"/>
      <c r="G1330" s="100"/>
      <c r="H1330" s="100"/>
      <c r="I1330" s="101"/>
      <c r="J1330" s="101"/>
      <c r="K1330" s="101"/>
      <c r="L1330" s="101"/>
      <c r="M1330" s="101"/>
      <c r="N1330" s="101"/>
      <c r="O1330" s="101"/>
      <c r="P1330" s="101"/>
      <c r="Q1330" s="101"/>
      <c r="R1330" s="101"/>
      <c r="S1330" s="101"/>
      <c r="T1330" s="101"/>
      <c r="U1330" s="101"/>
      <c r="V1330" s="101"/>
      <c r="W1330" s="101"/>
      <c r="X1330" s="101"/>
      <c r="Y1330" s="101"/>
      <c r="Z1330" s="101"/>
    </row>
    <row r="1331" ht="15.75" customHeight="1">
      <c r="A1331" s="192"/>
      <c r="B1331" s="76" t="s">
        <v>466</v>
      </c>
      <c r="C1331" s="235" t="s">
        <v>467</v>
      </c>
      <c r="D1331" s="99">
        <f>2988+1045</f>
        <v>4033</v>
      </c>
      <c r="E1331" s="100"/>
      <c r="F1331" s="100"/>
      <c r="G1331" s="100"/>
      <c r="H1331" s="100"/>
      <c r="I1331" s="101"/>
      <c r="J1331" s="101"/>
      <c r="K1331" s="101"/>
      <c r="L1331" s="101"/>
      <c r="M1331" s="101"/>
      <c r="N1331" s="101"/>
      <c r="O1331" s="101"/>
      <c r="P1331" s="101"/>
      <c r="Q1331" s="101"/>
      <c r="R1331" s="101"/>
      <c r="S1331" s="101"/>
      <c r="T1331" s="101"/>
      <c r="U1331" s="101"/>
      <c r="V1331" s="101"/>
      <c r="W1331" s="101"/>
      <c r="X1331" s="101"/>
      <c r="Y1331" s="101"/>
      <c r="Z1331" s="101"/>
    </row>
    <row r="1332" ht="15.75" customHeight="1">
      <c r="A1332" s="192"/>
      <c r="B1332" s="76" t="s">
        <v>456</v>
      </c>
      <c r="C1332" s="77" t="s">
        <v>457</v>
      </c>
      <c r="D1332" s="99">
        <v>137.0</v>
      </c>
      <c r="E1332" s="100"/>
      <c r="F1332" s="100"/>
      <c r="G1332" s="100"/>
      <c r="H1332" s="100"/>
      <c r="I1332" s="101"/>
      <c r="J1332" s="101"/>
      <c r="K1332" s="101"/>
      <c r="L1332" s="101"/>
      <c r="M1332" s="101"/>
      <c r="N1332" s="101"/>
      <c r="O1332" s="101"/>
      <c r="P1332" s="101"/>
      <c r="Q1332" s="101"/>
      <c r="R1332" s="101"/>
      <c r="S1332" s="101"/>
      <c r="T1332" s="101"/>
      <c r="U1332" s="101"/>
      <c r="V1332" s="101"/>
      <c r="W1332" s="101"/>
      <c r="X1332" s="101"/>
      <c r="Y1332" s="101"/>
      <c r="Z1332" s="101"/>
    </row>
    <row r="1333" ht="15.75" customHeight="1">
      <c r="A1333" s="192"/>
      <c r="B1333" s="76" t="s">
        <v>450</v>
      </c>
      <c r="C1333" s="235" t="s">
        <v>451</v>
      </c>
      <c r="D1333" s="99">
        <v>360.0</v>
      </c>
      <c r="E1333" s="100"/>
      <c r="F1333" s="100"/>
      <c r="G1333" s="100"/>
      <c r="H1333" s="100"/>
      <c r="I1333" s="101"/>
      <c r="J1333" s="101"/>
      <c r="K1333" s="101"/>
      <c r="L1333" s="101"/>
      <c r="M1333" s="101"/>
      <c r="N1333" s="101"/>
      <c r="O1333" s="101"/>
      <c r="P1333" s="101"/>
      <c r="Q1333" s="101"/>
      <c r="R1333" s="101"/>
      <c r="S1333" s="101"/>
      <c r="T1333" s="101"/>
      <c r="U1333" s="101"/>
      <c r="V1333" s="101"/>
      <c r="W1333" s="101"/>
      <c r="X1333" s="101"/>
      <c r="Y1333" s="101"/>
      <c r="Z1333" s="101"/>
    </row>
    <row r="1334" ht="15.75" customHeight="1">
      <c r="A1334" s="192"/>
      <c r="B1334" s="72" t="s">
        <v>448</v>
      </c>
      <c r="C1334" s="116" t="s">
        <v>449</v>
      </c>
      <c r="D1334" s="99">
        <v>212.0</v>
      </c>
      <c r="E1334" s="100"/>
      <c r="F1334" s="100"/>
      <c r="G1334" s="100"/>
      <c r="H1334" s="100"/>
      <c r="I1334" s="101"/>
      <c r="J1334" s="101"/>
      <c r="K1334" s="101"/>
      <c r="L1334" s="101"/>
      <c r="M1334" s="101"/>
      <c r="N1334" s="101"/>
      <c r="O1334" s="101"/>
      <c r="P1334" s="101"/>
      <c r="Q1334" s="101"/>
      <c r="R1334" s="101"/>
      <c r="S1334" s="101"/>
      <c r="T1334" s="101"/>
      <c r="U1334" s="101"/>
      <c r="V1334" s="101"/>
      <c r="W1334" s="101"/>
      <c r="X1334" s="101"/>
      <c r="Y1334" s="101"/>
      <c r="Z1334" s="101"/>
    </row>
    <row r="1335" ht="15.75" customHeight="1">
      <c r="A1335" s="192"/>
      <c r="B1335" s="31" t="s">
        <v>490</v>
      </c>
      <c r="C1335" s="31" t="s">
        <v>491</v>
      </c>
      <c r="D1335" s="100">
        <f>95+45</f>
        <v>140</v>
      </c>
      <c r="E1335" s="100"/>
      <c r="F1335" s="100"/>
      <c r="G1335" s="100"/>
      <c r="H1335" s="100"/>
      <c r="I1335" s="101"/>
      <c r="J1335" s="101"/>
      <c r="K1335" s="101"/>
      <c r="L1335" s="101"/>
      <c r="M1335" s="101"/>
      <c r="N1335" s="101"/>
      <c r="O1335" s="101"/>
      <c r="P1335" s="101"/>
      <c r="Q1335" s="101"/>
      <c r="R1335" s="101"/>
      <c r="S1335" s="101"/>
      <c r="T1335" s="101"/>
      <c r="U1335" s="101"/>
      <c r="V1335" s="101"/>
      <c r="W1335" s="101"/>
      <c r="X1335" s="101"/>
      <c r="Y1335" s="101"/>
      <c r="Z1335" s="101"/>
    </row>
    <row r="1336" ht="15.75" customHeight="1">
      <c r="A1336" s="192"/>
      <c r="B1336" s="72" t="s">
        <v>434</v>
      </c>
      <c r="C1336" s="116" t="s">
        <v>435</v>
      </c>
      <c r="D1336" s="99">
        <v>72.0</v>
      </c>
      <c r="E1336" s="100"/>
      <c r="F1336" s="100"/>
      <c r="G1336" s="100"/>
      <c r="H1336" s="100"/>
      <c r="I1336" s="101"/>
      <c r="J1336" s="101"/>
      <c r="K1336" s="101"/>
      <c r="L1336" s="101"/>
      <c r="M1336" s="101"/>
      <c r="N1336" s="101"/>
      <c r="O1336" s="101"/>
      <c r="P1336" s="101"/>
      <c r="Q1336" s="101"/>
      <c r="R1336" s="101"/>
      <c r="S1336" s="101"/>
      <c r="T1336" s="101"/>
      <c r="U1336" s="101"/>
      <c r="V1336" s="101"/>
      <c r="W1336" s="101"/>
      <c r="X1336" s="101"/>
      <c r="Y1336" s="101"/>
      <c r="Z1336" s="101"/>
    </row>
    <row r="1337" ht="15.75" customHeight="1">
      <c r="A1337" s="192"/>
      <c r="B1337" s="109"/>
      <c r="C1337" s="236"/>
      <c r="D1337" s="100"/>
      <c r="E1337" s="100"/>
      <c r="F1337" s="100"/>
      <c r="G1337" s="100"/>
      <c r="H1337" s="100"/>
      <c r="I1337" s="101"/>
      <c r="J1337" s="101"/>
      <c r="K1337" s="101"/>
      <c r="L1337" s="101"/>
      <c r="M1337" s="101"/>
      <c r="N1337" s="101"/>
      <c r="O1337" s="101"/>
      <c r="P1337" s="101"/>
      <c r="Q1337" s="101"/>
      <c r="R1337" s="101"/>
      <c r="S1337" s="101"/>
      <c r="T1337" s="101"/>
      <c r="U1337" s="101"/>
      <c r="V1337" s="101"/>
      <c r="W1337" s="101"/>
      <c r="X1337" s="101"/>
      <c r="Y1337" s="101"/>
      <c r="Z1337" s="101"/>
    </row>
    <row r="1338" ht="15.75" customHeight="1">
      <c r="A1338" s="190">
        <v>45811.0</v>
      </c>
      <c r="B1338" s="72" t="s">
        <v>438</v>
      </c>
      <c r="C1338" s="116" t="s">
        <v>439</v>
      </c>
      <c r="D1338" s="100">
        <f>376+68</f>
        <v>444</v>
      </c>
      <c r="E1338" s="100"/>
      <c r="F1338" s="100"/>
      <c r="G1338" s="100"/>
      <c r="H1338" s="100"/>
      <c r="I1338" s="101"/>
      <c r="J1338" s="101"/>
      <c r="K1338" s="101"/>
      <c r="L1338" s="101"/>
      <c r="M1338" s="101"/>
      <c r="N1338" s="101"/>
      <c r="O1338" s="101"/>
      <c r="P1338" s="101"/>
      <c r="Q1338" s="101"/>
      <c r="R1338" s="101"/>
      <c r="S1338" s="101"/>
      <c r="T1338" s="101"/>
      <c r="U1338" s="101"/>
      <c r="V1338" s="101"/>
      <c r="W1338" s="101"/>
      <c r="X1338" s="101"/>
      <c r="Y1338" s="101"/>
      <c r="Z1338" s="101"/>
    </row>
    <row r="1339" ht="15.75" customHeight="1">
      <c r="A1339" s="192"/>
      <c r="B1339" s="31" t="s">
        <v>440</v>
      </c>
      <c r="C1339" s="31" t="s">
        <v>441</v>
      </c>
      <c r="D1339" s="99">
        <v>220.0</v>
      </c>
      <c r="E1339" s="100"/>
      <c r="F1339" s="100"/>
      <c r="G1339" s="100"/>
      <c r="H1339" s="100"/>
      <c r="I1339" s="101"/>
      <c r="J1339" s="101"/>
      <c r="K1339" s="101"/>
      <c r="L1339" s="101"/>
      <c r="M1339" s="101"/>
      <c r="N1339" s="101"/>
      <c r="O1339" s="101"/>
      <c r="P1339" s="101"/>
      <c r="Q1339" s="101"/>
      <c r="R1339" s="101"/>
      <c r="S1339" s="101"/>
      <c r="T1339" s="101"/>
      <c r="U1339" s="101"/>
      <c r="V1339" s="101"/>
      <c r="W1339" s="101"/>
      <c r="X1339" s="101"/>
      <c r="Y1339" s="101"/>
      <c r="Z1339" s="101"/>
    </row>
    <row r="1340" ht="15.75" customHeight="1">
      <c r="A1340" s="192"/>
      <c r="B1340" s="124" t="s">
        <v>464</v>
      </c>
      <c r="C1340" s="116" t="s">
        <v>465</v>
      </c>
      <c r="D1340" s="100">
        <f>1175+815</f>
        <v>1990</v>
      </c>
      <c r="E1340" s="100"/>
      <c r="F1340" s="100"/>
      <c r="G1340" s="100"/>
      <c r="H1340" s="100"/>
      <c r="I1340" s="101"/>
      <c r="J1340" s="101"/>
      <c r="K1340" s="101"/>
      <c r="L1340" s="101"/>
      <c r="M1340" s="101"/>
      <c r="N1340" s="101"/>
      <c r="O1340" s="101"/>
      <c r="P1340" s="101"/>
      <c r="Q1340" s="101"/>
      <c r="R1340" s="101"/>
      <c r="S1340" s="101"/>
      <c r="T1340" s="101"/>
      <c r="U1340" s="101"/>
      <c r="V1340" s="101"/>
      <c r="W1340" s="101"/>
      <c r="X1340" s="101"/>
      <c r="Y1340" s="101"/>
      <c r="Z1340" s="101"/>
    </row>
    <row r="1341" ht="15.75" customHeight="1">
      <c r="A1341" s="192"/>
      <c r="B1341" s="31" t="s">
        <v>480</v>
      </c>
      <c r="C1341" s="31" t="s">
        <v>481</v>
      </c>
      <c r="D1341" s="99">
        <f>164+67</f>
        <v>231</v>
      </c>
      <c r="E1341" s="100"/>
      <c r="F1341" s="100"/>
      <c r="G1341" s="100"/>
      <c r="H1341" s="100"/>
      <c r="I1341" s="101"/>
      <c r="J1341" s="101"/>
      <c r="K1341" s="101"/>
      <c r="L1341" s="101"/>
      <c r="M1341" s="101"/>
      <c r="N1341" s="101"/>
      <c r="O1341" s="101"/>
      <c r="P1341" s="101"/>
      <c r="Q1341" s="101"/>
      <c r="R1341" s="101"/>
      <c r="S1341" s="101"/>
      <c r="T1341" s="101"/>
      <c r="U1341" s="101"/>
      <c r="V1341" s="101"/>
      <c r="W1341" s="101"/>
      <c r="X1341" s="101"/>
      <c r="Y1341" s="101"/>
      <c r="Z1341" s="101"/>
    </row>
    <row r="1342" ht="15.75" customHeight="1">
      <c r="A1342" s="192"/>
      <c r="B1342" s="72" t="s">
        <v>468</v>
      </c>
      <c r="C1342" s="149" t="s">
        <v>469</v>
      </c>
      <c r="D1342" s="99">
        <f>385+1079</f>
        <v>1464</v>
      </c>
      <c r="E1342" s="100"/>
      <c r="F1342" s="100"/>
      <c r="G1342" s="100"/>
      <c r="H1342" s="100"/>
      <c r="I1342" s="101"/>
      <c r="J1342" s="101"/>
      <c r="K1342" s="101"/>
      <c r="L1342" s="101"/>
      <c r="M1342" s="101"/>
      <c r="N1342" s="101"/>
      <c r="O1342" s="101"/>
      <c r="P1342" s="101"/>
      <c r="Q1342" s="101"/>
      <c r="R1342" s="101"/>
      <c r="S1342" s="101"/>
      <c r="T1342" s="101"/>
      <c r="U1342" s="101"/>
      <c r="V1342" s="101"/>
      <c r="W1342" s="101"/>
      <c r="X1342" s="101"/>
      <c r="Y1342" s="101"/>
      <c r="Z1342" s="101"/>
    </row>
    <row r="1343" ht="15.75" customHeight="1">
      <c r="A1343" s="192"/>
      <c r="B1343" s="109"/>
      <c r="C1343" s="149" t="s">
        <v>467</v>
      </c>
      <c r="D1343" s="99">
        <v>274.0</v>
      </c>
      <c r="E1343" s="100"/>
      <c r="F1343" s="100"/>
      <c r="G1343" s="100"/>
      <c r="H1343" s="100"/>
      <c r="I1343" s="101"/>
      <c r="J1343" s="101"/>
      <c r="K1343" s="101"/>
      <c r="L1343" s="101"/>
      <c r="M1343" s="101"/>
      <c r="N1343" s="101"/>
      <c r="O1343" s="101"/>
      <c r="P1343" s="101"/>
      <c r="Q1343" s="101"/>
      <c r="R1343" s="101"/>
      <c r="S1343" s="101"/>
      <c r="T1343" s="101"/>
      <c r="U1343" s="101"/>
      <c r="V1343" s="101"/>
      <c r="W1343" s="101"/>
      <c r="X1343" s="101"/>
      <c r="Y1343" s="101"/>
      <c r="Z1343" s="101"/>
    </row>
    <row r="1344" ht="15.75" customHeight="1">
      <c r="A1344" s="192"/>
      <c r="B1344" s="72" t="s">
        <v>474</v>
      </c>
      <c r="C1344" s="149" t="s">
        <v>475</v>
      </c>
      <c r="D1344" s="99">
        <v>596.0</v>
      </c>
      <c r="E1344" s="100"/>
      <c r="F1344" s="100"/>
      <c r="G1344" s="100"/>
      <c r="H1344" s="100"/>
      <c r="I1344" s="101"/>
      <c r="J1344" s="101"/>
      <c r="K1344" s="101"/>
      <c r="L1344" s="101"/>
      <c r="M1344" s="101"/>
      <c r="N1344" s="101"/>
      <c r="O1344" s="101"/>
      <c r="P1344" s="101"/>
      <c r="Q1344" s="101"/>
      <c r="R1344" s="101"/>
      <c r="S1344" s="101"/>
      <c r="T1344" s="101"/>
      <c r="U1344" s="101"/>
      <c r="V1344" s="101"/>
      <c r="W1344" s="101"/>
      <c r="X1344" s="101"/>
      <c r="Y1344" s="101"/>
      <c r="Z1344" s="101"/>
    </row>
    <row r="1345" ht="15.75" customHeight="1">
      <c r="A1345" s="192"/>
      <c r="B1345" s="31" t="s">
        <v>446</v>
      </c>
      <c r="C1345" s="31" t="s">
        <v>447</v>
      </c>
      <c r="D1345" s="100">
        <f>187+74+308</f>
        <v>569</v>
      </c>
      <c r="E1345" s="100"/>
      <c r="F1345" s="100"/>
      <c r="G1345" s="100"/>
      <c r="H1345" s="100"/>
      <c r="I1345" s="101"/>
      <c r="J1345" s="101"/>
      <c r="K1345" s="101"/>
      <c r="L1345" s="101"/>
      <c r="M1345" s="101"/>
      <c r="N1345" s="101"/>
      <c r="O1345" s="101"/>
      <c r="P1345" s="101"/>
      <c r="Q1345" s="101"/>
      <c r="R1345" s="101"/>
      <c r="S1345" s="101"/>
      <c r="T1345" s="101"/>
      <c r="U1345" s="101"/>
      <c r="V1345" s="101"/>
      <c r="W1345" s="101"/>
      <c r="X1345" s="101"/>
      <c r="Y1345" s="101"/>
      <c r="Z1345" s="101"/>
    </row>
    <row r="1346" ht="15.75" customHeight="1">
      <c r="A1346" s="192"/>
      <c r="B1346" s="72" t="s">
        <v>460</v>
      </c>
      <c r="C1346" s="116" t="s">
        <v>461</v>
      </c>
      <c r="D1346" s="99">
        <v>445.0</v>
      </c>
      <c r="E1346" s="100"/>
      <c r="F1346" s="100"/>
      <c r="G1346" s="100"/>
      <c r="H1346" s="100"/>
      <c r="I1346" s="101"/>
      <c r="J1346" s="101"/>
      <c r="K1346" s="101"/>
      <c r="L1346" s="101"/>
      <c r="M1346" s="101"/>
      <c r="N1346" s="101"/>
      <c r="O1346" s="101"/>
      <c r="P1346" s="101"/>
      <c r="Q1346" s="101"/>
      <c r="R1346" s="101"/>
      <c r="S1346" s="101"/>
      <c r="T1346" s="101"/>
      <c r="U1346" s="101"/>
      <c r="V1346" s="101"/>
      <c r="W1346" s="101"/>
      <c r="X1346" s="101"/>
      <c r="Y1346" s="101"/>
      <c r="Z1346" s="101"/>
    </row>
    <row r="1347" ht="15.75" customHeight="1">
      <c r="A1347" s="192"/>
      <c r="B1347" s="31" t="s">
        <v>482</v>
      </c>
      <c r="C1347" s="31" t="s">
        <v>483</v>
      </c>
      <c r="D1347" s="99">
        <v>118.0</v>
      </c>
      <c r="E1347" s="100"/>
      <c r="F1347" s="100"/>
      <c r="G1347" s="100"/>
      <c r="H1347" s="100"/>
      <c r="I1347" s="101"/>
      <c r="J1347" s="101"/>
      <c r="K1347" s="101"/>
      <c r="L1347" s="101"/>
      <c r="M1347" s="101"/>
      <c r="N1347" s="101"/>
      <c r="O1347" s="101"/>
      <c r="P1347" s="101"/>
      <c r="Q1347" s="101"/>
      <c r="R1347" s="101"/>
      <c r="S1347" s="101"/>
      <c r="T1347" s="101"/>
      <c r="U1347" s="101"/>
      <c r="V1347" s="101"/>
      <c r="W1347" s="101"/>
      <c r="X1347" s="101"/>
      <c r="Y1347" s="101"/>
      <c r="Z1347" s="101"/>
    </row>
    <row r="1348" ht="15.75" customHeight="1">
      <c r="A1348" s="192"/>
      <c r="B1348" s="31" t="s">
        <v>490</v>
      </c>
      <c r="C1348" s="31" t="s">
        <v>491</v>
      </c>
      <c r="D1348" s="99">
        <v>171.0</v>
      </c>
      <c r="E1348" s="100"/>
      <c r="F1348" s="100"/>
      <c r="G1348" s="100"/>
      <c r="H1348" s="100"/>
      <c r="I1348" s="101"/>
      <c r="J1348" s="101"/>
      <c r="K1348" s="101"/>
      <c r="L1348" s="101"/>
      <c r="M1348" s="101"/>
      <c r="N1348" s="101"/>
      <c r="O1348" s="101"/>
      <c r="P1348" s="101"/>
      <c r="Q1348" s="101"/>
      <c r="R1348" s="101"/>
      <c r="S1348" s="101"/>
      <c r="T1348" s="101"/>
      <c r="U1348" s="101"/>
      <c r="V1348" s="101"/>
      <c r="W1348" s="101"/>
      <c r="X1348" s="101"/>
      <c r="Y1348" s="101"/>
      <c r="Z1348" s="101"/>
    </row>
    <row r="1349" ht="15.75" customHeight="1">
      <c r="A1349" s="192"/>
      <c r="B1349" s="109"/>
      <c r="C1349" s="236"/>
      <c r="D1349" s="100"/>
      <c r="E1349" s="100"/>
      <c r="F1349" s="100"/>
      <c r="G1349" s="100"/>
      <c r="H1349" s="100"/>
      <c r="I1349" s="101"/>
      <c r="J1349" s="101"/>
      <c r="K1349" s="101"/>
      <c r="L1349" s="101"/>
      <c r="M1349" s="101"/>
      <c r="N1349" s="101"/>
      <c r="O1349" s="101"/>
      <c r="P1349" s="101"/>
      <c r="Q1349" s="101"/>
      <c r="R1349" s="101"/>
      <c r="S1349" s="101"/>
      <c r="T1349" s="101"/>
      <c r="U1349" s="101"/>
      <c r="V1349" s="101"/>
      <c r="W1349" s="101"/>
      <c r="X1349" s="101"/>
      <c r="Y1349" s="101"/>
      <c r="Z1349" s="101"/>
    </row>
    <row r="1350" ht="15.75" customHeight="1">
      <c r="A1350" s="190">
        <v>45812.0</v>
      </c>
      <c r="B1350" s="72" t="s">
        <v>524</v>
      </c>
      <c r="C1350" s="116" t="s">
        <v>525</v>
      </c>
      <c r="D1350" s="99">
        <v>645.0</v>
      </c>
      <c r="E1350" s="100"/>
      <c r="F1350" s="100"/>
      <c r="G1350" s="100"/>
      <c r="H1350" s="100"/>
      <c r="I1350" s="101"/>
      <c r="J1350" s="101"/>
      <c r="K1350" s="101"/>
      <c r="L1350" s="101"/>
      <c r="M1350" s="101"/>
      <c r="N1350" s="101"/>
      <c r="O1350" s="101"/>
      <c r="P1350" s="101"/>
      <c r="Q1350" s="101"/>
      <c r="R1350" s="101"/>
      <c r="S1350" s="101"/>
      <c r="T1350" s="101"/>
      <c r="U1350" s="101"/>
      <c r="V1350" s="101"/>
      <c r="W1350" s="101"/>
      <c r="X1350" s="101"/>
      <c r="Y1350" s="101"/>
      <c r="Z1350" s="101"/>
    </row>
    <row r="1351" ht="15.75" customHeight="1">
      <c r="A1351" s="192"/>
      <c r="B1351" s="72" t="s">
        <v>460</v>
      </c>
      <c r="C1351" s="116" t="s">
        <v>461</v>
      </c>
      <c r="D1351" s="99">
        <v>209.0</v>
      </c>
      <c r="E1351" s="100"/>
      <c r="F1351" s="100"/>
      <c r="G1351" s="100"/>
      <c r="H1351" s="100"/>
      <c r="I1351" s="101"/>
      <c r="J1351" s="101"/>
      <c r="K1351" s="101"/>
      <c r="L1351" s="101"/>
      <c r="M1351" s="101"/>
      <c r="N1351" s="101"/>
      <c r="O1351" s="101"/>
      <c r="P1351" s="101"/>
      <c r="Q1351" s="101"/>
      <c r="R1351" s="101"/>
      <c r="S1351" s="101"/>
      <c r="T1351" s="101"/>
      <c r="U1351" s="101"/>
      <c r="V1351" s="101"/>
      <c r="W1351" s="101"/>
      <c r="X1351" s="101"/>
      <c r="Y1351" s="101"/>
      <c r="Z1351" s="101"/>
    </row>
    <row r="1352" ht="15.75" customHeight="1">
      <c r="A1352" s="192"/>
      <c r="B1352" s="76" t="s">
        <v>476</v>
      </c>
      <c r="C1352" s="77" t="s">
        <v>477</v>
      </c>
      <c r="D1352" s="99">
        <f>370+252</f>
        <v>622</v>
      </c>
      <c r="E1352" s="100"/>
      <c r="F1352" s="100"/>
      <c r="G1352" s="100"/>
      <c r="H1352" s="100"/>
      <c r="I1352" s="101"/>
      <c r="J1352" s="101"/>
      <c r="K1352" s="101"/>
      <c r="L1352" s="101"/>
      <c r="M1352" s="101"/>
      <c r="N1352" s="101"/>
      <c r="O1352" s="101"/>
      <c r="P1352" s="101"/>
      <c r="Q1352" s="101"/>
      <c r="R1352" s="101"/>
      <c r="S1352" s="101"/>
      <c r="T1352" s="101"/>
      <c r="U1352" s="101"/>
      <c r="V1352" s="101"/>
      <c r="W1352" s="101"/>
      <c r="X1352" s="101"/>
      <c r="Y1352" s="101"/>
      <c r="Z1352" s="101"/>
    </row>
    <row r="1353" ht="15.75" customHeight="1">
      <c r="A1353" s="192"/>
      <c r="B1353" s="76" t="s">
        <v>474</v>
      </c>
      <c r="C1353" s="235" t="s">
        <v>475</v>
      </c>
      <c r="D1353" s="99">
        <v>227.0</v>
      </c>
      <c r="E1353" s="100"/>
      <c r="F1353" s="100"/>
      <c r="G1353" s="100"/>
      <c r="H1353" s="100"/>
      <c r="I1353" s="101"/>
      <c r="J1353" s="101"/>
      <c r="K1353" s="101"/>
      <c r="L1353" s="101"/>
      <c r="M1353" s="101"/>
      <c r="N1353" s="101"/>
      <c r="O1353" s="101"/>
      <c r="P1353" s="101"/>
      <c r="Q1353" s="101"/>
      <c r="R1353" s="101"/>
      <c r="S1353" s="101"/>
      <c r="T1353" s="101"/>
      <c r="U1353" s="101"/>
      <c r="V1353" s="101"/>
      <c r="W1353" s="101"/>
      <c r="X1353" s="101"/>
      <c r="Y1353" s="101"/>
      <c r="Z1353" s="101"/>
    </row>
    <row r="1354" ht="15.75" customHeight="1">
      <c r="A1354" s="192"/>
      <c r="B1354" s="40" t="s">
        <v>464</v>
      </c>
      <c r="C1354" s="77" t="s">
        <v>465</v>
      </c>
      <c r="D1354" s="99">
        <v>332.0</v>
      </c>
      <c r="E1354" s="100"/>
      <c r="F1354" s="100"/>
      <c r="G1354" s="100"/>
      <c r="H1354" s="100"/>
      <c r="I1354" s="101"/>
      <c r="J1354" s="101"/>
      <c r="K1354" s="101"/>
      <c r="L1354" s="101"/>
      <c r="M1354" s="101"/>
      <c r="N1354" s="101"/>
      <c r="O1354" s="101"/>
      <c r="P1354" s="101"/>
      <c r="Q1354" s="101"/>
      <c r="R1354" s="101"/>
      <c r="S1354" s="101"/>
      <c r="T1354" s="101"/>
      <c r="U1354" s="101"/>
      <c r="V1354" s="101"/>
      <c r="W1354" s="101"/>
      <c r="X1354" s="101"/>
      <c r="Y1354" s="101"/>
      <c r="Z1354" s="101"/>
    </row>
    <row r="1355" ht="15.75" customHeight="1">
      <c r="A1355" s="192"/>
      <c r="B1355" s="76" t="s">
        <v>468</v>
      </c>
      <c r="C1355" s="235" t="s">
        <v>469</v>
      </c>
      <c r="D1355" s="99">
        <v>950.0</v>
      </c>
      <c r="E1355" s="100"/>
      <c r="F1355" s="100"/>
      <c r="G1355" s="100"/>
      <c r="H1355" s="100"/>
      <c r="I1355" s="101"/>
      <c r="J1355" s="101"/>
      <c r="K1355" s="101"/>
      <c r="L1355" s="101"/>
      <c r="M1355" s="101"/>
      <c r="N1355" s="101"/>
      <c r="O1355" s="101"/>
      <c r="P1355" s="101"/>
      <c r="Q1355" s="101"/>
      <c r="R1355" s="101"/>
      <c r="S1355" s="101"/>
      <c r="T1355" s="101"/>
      <c r="U1355" s="101"/>
      <c r="V1355" s="101"/>
      <c r="W1355" s="101"/>
      <c r="X1355" s="101"/>
      <c r="Y1355" s="101"/>
      <c r="Z1355" s="101"/>
    </row>
    <row r="1356" ht="15.75" customHeight="1">
      <c r="A1356" s="192"/>
      <c r="B1356" s="72" t="s">
        <v>488</v>
      </c>
      <c r="C1356" s="149" t="s">
        <v>489</v>
      </c>
      <c r="D1356" s="99">
        <v>114.0</v>
      </c>
      <c r="E1356" s="100"/>
      <c r="F1356" s="100"/>
      <c r="G1356" s="100"/>
      <c r="H1356" s="100"/>
      <c r="I1356" s="101"/>
      <c r="J1356" s="101"/>
      <c r="K1356" s="101"/>
      <c r="L1356" s="101"/>
      <c r="M1356" s="101"/>
      <c r="N1356" s="101"/>
      <c r="O1356" s="101"/>
      <c r="P1356" s="101"/>
      <c r="Q1356" s="101"/>
      <c r="R1356" s="101"/>
      <c r="S1356" s="101"/>
      <c r="T1356" s="101"/>
      <c r="U1356" s="101"/>
      <c r="V1356" s="101"/>
      <c r="W1356" s="101"/>
      <c r="X1356" s="101"/>
      <c r="Y1356" s="101"/>
      <c r="Z1356" s="101"/>
    </row>
    <row r="1357" ht="15.75" customHeight="1">
      <c r="A1357" s="192"/>
      <c r="B1357" s="31" t="s">
        <v>482</v>
      </c>
      <c r="C1357" s="31" t="s">
        <v>483</v>
      </c>
      <c r="D1357" s="99">
        <v>251.0</v>
      </c>
      <c r="E1357" s="100"/>
      <c r="F1357" s="100"/>
      <c r="G1357" s="100"/>
      <c r="H1357" s="100"/>
      <c r="I1357" s="101"/>
      <c r="J1357" s="101"/>
      <c r="K1357" s="101"/>
      <c r="L1357" s="101"/>
      <c r="M1357" s="101"/>
      <c r="N1357" s="101"/>
      <c r="O1357" s="101"/>
      <c r="P1357" s="101"/>
      <c r="Q1357" s="101"/>
      <c r="R1357" s="101"/>
      <c r="S1357" s="101"/>
      <c r="T1357" s="101"/>
      <c r="U1357" s="101"/>
      <c r="V1357" s="101"/>
      <c r="W1357" s="101"/>
      <c r="X1357" s="101"/>
      <c r="Y1357" s="101"/>
      <c r="Z1357" s="101"/>
    </row>
    <row r="1358" ht="15.75" customHeight="1">
      <c r="A1358" s="192"/>
      <c r="B1358" s="76" t="s">
        <v>434</v>
      </c>
      <c r="C1358" s="77" t="s">
        <v>435</v>
      </c>
      <c r="D1358" s="99">
        <f>157+113</f>
        <v>270</v>
      </c>
      <c r="E1358" s="100"/>
      <c r="F1358" s="100"/>
      <c r="G1358" s="100"/>
      <c r="H1358" s="100"/>
      <c r="I1358" s="101"/>
      <c r="J1358" s="101"/>
      <c r="K1358" s="101"/>
      <c r="L1358" s="101"/>
      <c r="M1358" s="101"/>
      <c r="N1358" s="101"/>
      <c r="O1358" s="101"/>
      <c r="P1358" s="101"/>
      <c r="Q1358" s="101"/>
      <c r="R1358" s="101"/>
      <c r="S1358" s="101"/>
      <c r="T1358" s="101"/>
      <c r="U1358" s="101"/>
      <c r="V1358" s="101"/>
      <c r="W1358" s="101"/>
      <c r="X1358" s="101"/>
      <c r="Y1358" s="101"/>
      <c r="Z1358" s="101"/>
    </row>
    <row r="1359" ht="15.75" customHeight="1">
      <c r="A1359" s="192"/>
      <c r="B1359" s="76" t="s">
        <v>438</v>
      </c>
      <c r="C1359" s="77" t="s">
        <v>439</v>
      </c>
      <c r="D1359" s="99">
        <v>173.0</v>
      </c>
      <c r="E1359" s="100"/>
      <c r="F1359" s="100"/>
      <c r="G1359" s="100"/>
      <c r="H1359" s="100"/>
      <c r="I1359" s="101"/>
      <c r="J1359" s="101"/>
      <c r="K1359" s="101"/>
      <c r="L1359" s="101"/>
      <c r="M1359" s="101"/>
      <c r="N1359" s="101"/>
      <c r="O1359" s="101"/>
      <c r="P1359" s="101"/>
      <c r="Q1359" s="101"/>
      <c r="R1359" s="101"/>
      <c r="S1359" s="101"/>
      <c r="T1359" s="101"/>
      <c r="U1359" s="101"/>
      <c r="V1359" s="101"/>
      <c r="W1359" s="101"/>
      <c r="X1359" s="101"/>
      <c r="Y1359" s="101"/>
      <c r="Z1359" s="101"/>
    </row>
    <row r="1360" ht="15.75" customHeight="1">
      <c r="A1360" s="192"/>
      <c r="B1360" s="125" t="s">
        <v>446</v>
      </c>
      <c r="C1360" s="125" t="s">
        <v>447</v>
      </c>
      <c r="D1360" s="99">
        <f>308+252</f>
        <v>560</v>
      </c>
      <c r="E1360" s="100"/>
      <c r="F1360" s="100"/>
      <c r="G1360" s="100"/>
      <c r="H1360" s="100"/>
      <c r="I1360" s="101"/>
      <c r="J1360" s="101"/>
      <c r="K1360" s="101"/>
      <c r="L1360" s="101"/>
      <c r="M1360" s="101"/>
      <c r="N1360" s="101"/>
      <c r="O1360" s="101"/>
      <c r="P1360" s="101"/>
      <c r="Q1360" s="101"/>
      <c r="R1360" s="101"/>
      <c r="S1360" s="101"/>
      <c r="T1360" s="101"/>
      <c r="U1360" s="101"/>
      <c r="V1360" s="101"/>
      <c r="W1360" s="101"/>
      <c r="X1360" s="101"/>
      <c r="Y1360" s="101"/>
      <c r="Z1360" s="101"/>
    </row>
    <row r="1361" ht="15.75" customHeight="1">
      <c r="A1361" s="192"/>
      <c r="B1361" s="125" t="s">
        <v>490</v>
      </c>
      <c r="C1361" s="125" t="s">
        <v>491</v>
      </c>
      <c r="D1361" s="99">
        <f>244+171</f>
        <v>415</v>
      </c>
      <c r="E1361" s="100"/>
      <c r="F1361" s="100"/>
      <c r="G1361" s="100"/>
      <c r="H1361" s="100"/>
      <c r="I1361" s="101"/>
      <c r="J1361" s="101"/>
      <c r="K1361" s="101"/>
      <c r="L1361" s="101"/>
      <c r="M1361" s="101"/>
      <c r="N1361" s="101"/>
      <c r="O1361" s="101"/>
      <c r="P1361" s="101"/>
      <c r="Q1361" s="101"/>
      <c r="R1361" s="101"/>
      <c r="S1361" s="101"/>
      <c r="T1361" s="101"/>
      <c r="U1361" s="101"/>
      <c r="V1361" s="101"/>
      <c r="W1361" s="101"/>
      <c r="X1361" s="101"/>
      <c r="Y1361" s="101"/>
      <c r="Z1361" s="101"/>
    </row>
    <row r="1362" ht="15.75" customHeight="1">
      <c r="A1362" s="192"/>
      <c r="B1362" s="31" t="s">
        <v>498</v>
      </c>
      <c r="C1362" s="31" t="s">
        <v>499</v>
      </c>
      <c r="D1362" s="99">
        <v>141.0</v>
      </c>
      <c r="E1362" s="100"/>
      <c r="F1362" s="100"/>
      <c r="G1362" s="100"/>
      <c r="H1362" s="100"/>
      <c r="I1362" s="101"/>
      <c r="J1362" s="101"/>
      <c r="K1362" s="101"/>
      <c r="L1362" s="101"/>
      <c r="M1362" s="101"/>
      <c r="N1362" s="101"/>
      <c r="O1362" s="101"/>
      <c r="P1362" s="101"/>
      <c r="Q1362" s="101"/>
      <c r="R1362" s="101"/>
      <c r="S1362" s="101"/>
      <c r="T1362" s="101"/>
      <c r="U1362" s="101"/>
      <c r="V1362" s="101"/>
      <c r="W1362" s="101"/>
      <c r="X1362" s="101"/>
      <c r="Y1362" s="101"/>
      <c r="Z1362" s="101"/>
    </row>
    <row r="1363" ht="15.75" customHeight="1">
      <c r="A1363" s="192"/>
      <c r="B1363" s="72" t="s">
        <v>500</v>
      </c>
      <c r="C1363" s="149" t="s">
        <v>501</v>
      </c>
      <c r="D1363" s="99">
        <v>181.0</v>
      </c>
      <c r="E1363" s="100"/>
      <c r="F1363" s="100"/>
      <c r="G1363" s="100"/>
      <c r="H1363" s="100"/>
      <c r="I1363" s="101"/>
      <c r="J1363" s="101"/>
      <c r="K1363" s="101"/>
      <c r="L1363" s="101"/>
      <c r="M1363" s="101"/>
      <c r="N1363" s="101"/>
      <c r="O1363" s="101"/>
      <c r="P1363" s="101"/>
      <c r="Q1363" s="101"/>
      <c r="R1363" s="101"/>
      <c r="S1363" s="101"/>
      <c r="T1363" s="101"/>
      <c r="U1363" s="101"/>
      <c r="V1363" s="101"/>
      <c r="W1363" s="101"/>
      <c r="X1363" s="101"/>
      <c r="Y1363" s="101"/>
      <c r="Z1363" s="101"/>
    </row>
    <row r="1364" ht="15.75" customHeight="1">
      <c r="A1364" s="192"/>
      <c r="B1364" s="72" t="s">
        <v>488</v>
      </c>
      <c r="C1364" s="149" t="s">
        <v>489</v>
      </c>
      <c r="D1364" s="99">
        <v>145.0</v>
      </c>
      <c r="E1364" s="100"/>
      <c r="F1364" s="100"/>
      <c r="G1364" s="100"/>
      <c r="H1364" s="100"/>
      <c r="I1364" s="101"/>
      <c r="J1364" s="101"/>
      <c r="K1364" s="101"/>
      <c r="L1364" s="101"/>
      <c r="M1364" s="101"/>
      <c r="N1364" s="101"/>
      <c r="O1364" s="101"/>
      <c r="P1364" s="101"/>
      <c r="Q1364" s="101"/>
      <c r="R1364" s="101"/>
      <c r="S1364" s="101"/>
      <c r="T1364" s="101"/>
      <c r="U1364" s="101"/>
      <c r="V1364" s="101"/>
      <c r="W1364" s="101"/>
      <c r="X1364" s="101"/>
      <c r="Y1364" s="101"/>
      <c r="Z1364" s="101"/>
    </row>
    <row r="1365" ht="15.75" customHeight="1">
      <c r="A1365" s="192"/>
      <c r="B1365" s="72" t="s">
        <v>452</v>
      </c>
      <c r="C1365" s="116" t="s">
        <v>453</v>
      </c>
      <c r="D1365" s="99">
        <v>325.0</v>
      </c>
      <c r="E1365" s="100"/>
      <c r="F1365" s="100"/>
      <c r="G1365" s="100"/>
      <c r="H1365" s="100"/>
      <c r="I1365" s="101"/>
      <c r="J1365" s="101"/>
      <c r="K1365" s="101"/>
      <c r="L1365" s="101"/>
      <c r="M1365" s="101"/>
      <c r="N1365" s="101"/>
      <c r="O1365" s="101"/>
      <c r="P1365" s="101"/>
      <c r="Q1365" s="101"/>
      <c r="R1365" s="101"/>
      <c r="S1365" s="101"/>
      <c r="T1365" s="101"/>
      <c r="U1365" s="101"/>
      <c r="V1365" s="101"/>
      <c r="W1365" s="101"/>
      <c r="X1365" s="101"/>
      <c r="Y1365" s="101"/>
      <c r="Z1365" s="101"/>
    </row>
    <row r="1366" ht="15.75" customHeight="1">
      <c r="A1366" s="192"/>
      <c r="B1366" s="72" t="s">
        <v>458</v>
      </c>
      <c r="C1366" s="149" t="s">
        <v>459</v>
      </c>
      <c r="D1366" s="99">
        <v>160.0</v>
      </c>
      <c r="E1366" s="100"/>
      <c r="F1366" s="100"/>
      <c r="G1366" s="100"/>
      <c r="H1366" s="100"/>
      <c r="I1366" s="101"/>
      <c r="J1366" s="101"/>
      <c r="K1366" s="101"/>
      <c r="L1366" s="101"/>
      <c r="M1366" s="101"/>
      <c r="N1366" s="101"/>
      <c r="O1366" s="101"/>
      <c r="P1366" s="101"/>
      <c r="Q1366" s="101"/>
      <c r="R1366" s="101"/>
      <c r="S1366" s="101"/>
      <c r="T1366" s="101"/>
      <c r="U1366" s="101"/>
      <c r="V1366" s="101"/>
      <c r="W1366" s="101"/>
      <c r="X1366" s="101"/>
      <c r="Y1366" s="101"/>
      <c r="Z1366" s="101"/>
    </row>
    <row r="1367" ht="15.75" customHeight="1">
      <c r="A1367" s="192"/>
      <c r="B1367" s="72" t="s">
        <v>468</v>
      </c>
      <c r="C1367" s="149" t="s">
        <v>469</v>
      </c>
      <c r="D1367" s="99">
        <v>584.0</v>
      </c>
      <c r="E1367" s="100"/>
      <c r="F1367" s="100"/>
      <c r="G1367" s="100"/>
      <c r="H1367" s="100"/>
      <c r="I1367" s="101"/>
      <c r="J1367" s="101"/>
      <c r="K1367" s="101"/>
      <c r="L1367" s="101"/>
      <c r="M1367" s="101"/>
      <c r="N1367" s="101"/>
      <c r="O1367" s="101"/>
      <c r="P1367" s="101"/>
      <c r="Q1367" s="101"/>
      <c r="R1367" s="101"/>
      <c r="S1367" s="101"/>
      <c r="T1367" s="101"/>
      <c r="U1367" s="101"/>
      <c r="V1367" s="101"/>
      <c r="W1367" s="101"/>
      <c r="X1367" s="101"/>
      <c r="Y1367" s="101"/>
      <c r="Z1367" s="101"/>
    </row>
    <row r="1368" ht="15.75" customHeight="1">
      <c r="A1368" s="192"/>
      <c r="B1368" s="31" t="s">
        <v>484</v>
      </c>
      <c r="C1368" s="31" t="s">
        <v>485</v>
      </c>
      <c r="D1368" s="99">
        <v>81.0</v>
      </c>
      <c r="E1368" s="100"/>
      <c r="F1368" s="100"/>
      <c r="G1368" s="100"/>
      <c r="H1368" s="100"/>
      <c r="I1368" s="101"/>
      <c r="J1368" s="101"/>
      <c r="K1368" s="101"/>
      <c r="L1368" s="101"/>
      <c r="M1368" s="101"/>
      <c r="N1368" s="101"/>
      <c r="O1368" s="101"/>
      <c r="P1368" s="101"/>
      <c r="Q1368" s="101"/>
      <c r="R1368" s="101"/>
      <c r="S1368" s="101"/>
      <c r="T1368" s="101"/>
      <c r="U1368" s="101"/>
      <c r="V1368" s="101"/>
      <c r="W1368" s="101"/>
      <c r="X1368" s="101"/>
      <c r="Y1368" s="101"/>
      <c r="Z1368" s="101"/>
    </row>
    <row r="1369" ht="15.75" customHeight="1">
      <c r="A1369" s="192"/>
      <c r="B1369" s="72" t="s">
        <v>472</v>
      </c>
      <c r="C1369" s="116" t="s">
        <v>473</v>
      </c>
      <c r="D1369" s="99">
        <v>250.0</v>
      </c>
      <c r="E1369" s="100"/>
      <c r="F1369" s="100"/>
      <c r="G1369" s="100"/>
      <c r="H1369" s="100"/>
      <c r="I1369" s="101"/>
      <c r="J1369" s="101"/>
      <c r="K1369" s="101"/>
      <c r="L1369" s="101"/>
      <c r="M1369" s="101"/>
      <c r="N1369" s="101"/>
      <c r="O1369" s="101"/>
      <c r="P1369" s="101"/>
      <c r="Q1369" s="101"/>
      <c r="R1369" s="101"/>
      <c r="S1369" s="101"/>
      <c r="T1369" s="101"/>
      <c r="U1369" s="101"/>
      <c r="V1369" s="101"/>
      <c r="W1369" s="101"/>
      <c r="X1369" s="101"/>
      <c r="Y1369" s="101"/>
      <c r="Z1369" s="101"/>
    </row>
    <row r="1370" ht="15.75" customHeight="1">
      <c r="A1370" s="192"/>
      <c r="B1370" s="31" t="s">
        <v>440</v>
      </c>
      <c r="C1370" s="31" t="s">
        <v>441</v>
      </c>
      <c r="D1370" s="99">
        <v>211.0</v>
      </c>
      <c r="E1370" s="100"/>
      <c r="F1370" s="100"/>
      <c r="G1370" s="100"/>
      <c r="H1370" s="100"/>
      <c r="I1370" s="101"/>
      <c r="J1370" s="101"/>
      <c r="K1370" s="101"/>
      <c r="L1370" s="101"/>
      <c r="M1370" s="101"/>
      <c r="N1370" s="101"/>
      <c r="O1370" s="101"/>
      <c r="P1370" s="101"/>
      <c r="Q1370" s="101"/>
      <c r="R1370" s="101"/>
      <c r="S1370" s="101"/>
      <c r="T1370" s="101"/>
      <c r="U1370" s="101"/>
      <c r="V1370" s="101"/>
      <c r="W1370" s="101"/>
      <c r="X1370" s="101"/>
      <c r="Y1370" s="101"/>
      <c r="Z1370" s="101"/>
    </row>
    <row r="1371" ht="15.75" customHeight="1">
      <c r="A1371" s="192"/>
      <c r="B1371" s="31" t="s">
        <v>462</v>
      </c>
      <c r="C1371" s="31" t="s">
        <v>463</v>
      </c>
      <c r="D1371" s="99">
        <v>353.0</v>
      </c>
      <c r="E1371" s="100"/>
      <c r="F1371" s="100"/>
      <c r="G1371" s="100"/>
      <c r="H1371" s="100"/>
      <c r="I1371" s="101"/>
      <c r="J1371" s="101"/>
      <c r="K1371" s="101"/>
      <c r="L1371" s="101"/>
      <c r="M1371" s="101"/>
      <c r="N1371" s="101"/>
      <c r="O1371" s="101"/>
      <c r="P1371" s="101"/>
      <c r="Q1371" s="101"/>
      <c r="R1371" s="101"/>
      <c r="S1371" s="101"/>
      <c r="T1371" s="101"/>
      <c r="U1371" s="101"/>
      <c r="V1371" s="101"/>
      <c r="W1371" s="101"/>
      <c r="X1371" s="101"/>
      <c r="Y1371" s="101"/>
      <c r="Z1371" s="101"/>
    </row>
    <row r="1372" ht="15.75" customHeight="1">
      <c r="A1372" s="192"/>
      <c r="B1372" s="109"/>
      <c r="C1372" s="236"/>
      <c r="D1372" s="100"/>
      <c r="E1372" s="100"/>
      <c r="F1372" s="100"/>
      <c r="G1372" s="100"/>
      <c r="H1372" s="100"/>
      <c r="I1372" s="101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101"/>
      <c r="T1372" s="101"/>
      <c r="U1372" s="101"/>
      <c r="V1372" s="101"/>
      <c r="W1372" s="101"/>
      <c r="X1372" s="101"/>
      <c r="Y1372" s="101"/>
      <c r="Z1372" s="101"/>
    </row>
    <row r="1373" ht="15.75" customHeight="1">
      <c r="A1373" s="190">
        <v>45813.0</v>
      </c>
      <c r="B1373" s="72" t="s">
        <v>470</v>
      </c>
      <c r="C1373" s="149" t="s">
        <v>471</v>
      </c>
      <c r="D1373" s="99">
        <v>256.0</v>
      </c>
      <c r="E1373" s="100"/>
      <c r="F1373" s="100"/>
      <c r="G1373" s="100"/>
      <c r="H1373" s="100"/>
      <c r="I1373" s="101"/>
      <c r="J1373" s="101"/>
      <c r="K1373" s="101"/>
      <c r="L1373" s="101"/>
      <c r="M1373" s="101"/>
      <c r="N1373" s="101"/>
      <c r="O1373" s="101"/>
      <c r="P1373" s="101"/>
      <c r="Q1373" s="101"/>
      <c r="R1373" s="101"/>
      <c r="S1373" s="101"/>
      <c r="T1373" s="101"/>
      <c r="U1373" s="101"/>
      <c r="V1373" s="101"/>
      <c r="W1373" s="101"/>
      <c r="X1373" s="101"/>
      <c r="Y1373" s="101"/>
      <c r="Z1373" s="101"/>
    </row>
    <row r="1374" ht="15.75" customHeight="1">
      <c r="A1374" s="192"/>
      <c r="B1374" s="72" t="s">
        <v>494</v>
      </c>
      <c r="C1374" s="116" t="s">
        <v>495</v>
      </c>
      <c r="D1374" s="99">
        <f>345+304</f>
        <v>649</v>
      </c>
      <c r="E1374" s="100"/>
      <c r="F1374" s="100"/>
      <c r="G1374" s="100"/>
      <c r="H1374" s="100"/>
      <c r="I1374" s="101"/>
      <c r="J1374" s="101"/>
      <c r="K1374" s="101"/>
      <c r="L1374" s="101"/>
      <c r="M1374" s="101"/>
      <c r="N1374" s="101"/>
      <c r="O1374" s="101"/>
      <c r="P1374" s="101"/>
      <c r="Q1374" s="101"/>
      <c r="R1374" s="101"/>
      <c r="S1374" s="101"/>
      <c r="T1374" s="101"/>
      <c r="U1374" s="101"/>
      <c r="V1374" s="101"/>
      <c r="W1374" s="101"/>
      <c r="X1374" s="101"/>
      <c r="Y1374" s="101"/>
      <c r="Z1374" s="101"/>
    </row>
    <row r="1375" ht="15.75" customHeight="1">
      <c r="A1375" s="192"/>
      <c r="B1375" s="72" t="s">
        <v>434</v>
      </c>
      <c r="C1375" s="116" t="s">
        <v>435</v>
      </c>
      <c r="D1375" s="99">
        <f>381+539</f>
        <v>920</v>
      </c>
      <c r="E1375" s="100"/>
      <c r="F1375" s="100"/>
      <c r="G1375" s="100"/>
      <c r="H1375" s="100"/>
      <c r="I1375" s="101"/>
      <c r="J1375" s="101"/>
      <c r="K1375" s="101"/>
      <c r="L1375" s="101"/>
      <c r="M1375" s="101"/>
      <c r="N1375" s="101"/>
      <c r="O1375" s="101"/>
      <c r="P1375" s="101"/>
      <c r="Q1375" s="101"/>
      <c r="R1375" s="101"/>
      <c r="S1375" s="101"/>
      <c r="T1375" s="101"/>
      <c r="U1375" s="101"/>
      <c r="V1375" s="101"/>
      <c r="W1375" s="101"/>
      <c r="X1375" s="101"/>
      <c r="Y1375" s="101"/>
      <c r="Z1375" s="101"/>
    </row>
    <row r="1376" ht="15.75" customHeight="1">
      <c r="A1376" s="192"/>
      <c r="B1376" s="31" t="s">
        <v>498</v>
      </c>
      <c r="C1376" s="31" t="s">
        <v>499</v>
      </c>
      <c r="D1376" s="99">
        <v>173.0</v>
      </c>
      <c r="E1376" s="100"/>
      <c r="F1376" s="100"/>
      <c r="G1376" s="100"/>
      <c r="H1376" s="100"/>
      <c r="I1376" s="101"/>
      <c r="J1376" s="101"/>
      <c r="K1376" s="101"/>
      <c r="L1376" s="101"/>
      <c r="M1376" s="101"/>
      <c r="N1376" s="101"/>
      <c r="O1376" s="101"/>
      <c r="P1376" s="101"/>
      <c r="Q1376" s="101"/>
      <c r="R1376" s="101"/>
      <c r="S1376" s="101"/>
      <c r="T1376" s="101"/>
      <c r="U1376" s="101"/>
      <c r="V1376" s="101"/>
      <c r="W1376" s="101"/>
      <c r="X1376" s="101"/>
      <c r="Y1376" s="101"/>
      <c r="Z1376" s="101"/>
    </row>
    <row r="1377" ht="15.75" customHeight="1">
      <c r="A1377" s="192"/>
      <c r="B1377" s="72" t="s">
        <v>514</v>
      </c>
      <c r="C1377" s="116" t="s">
        <v>515</v>
      </c>
      <c r="D1377" s="99">
        <v>63.0</v>
      </c>
      <c r="E1377" s="100"/>
      <c r="F1377" s="100"/>
      <c r="G1377" s="100"/>
      <c r="H1377" s="100"/>
      <c r="I1377" s="101"/>
      <c r="J1377" s="101"/>
      <c r="K1377" s="101"/>
      <c r="L1377" s="101"/>
      <c r="M1377" s="101"/>
      <c r="N1377" s="101"/>
      <c r="O1377" s="101"/>
      <c r="P1377" s="101"/>
      <c r="Q1377" s="101"/>
      <c r="R1377" s="101"/>
      <c r="S1377" s="101"/>
      <c r="T1377" s="101"/>
      <c r="U1377" s="101"/>
      <c r="V1377" s="101"/>
      <c r="W1377" s="101"/>
      <c r="X1377" s="101"/>
      <c r="Y1377" s="101"/>
      <c r="Z1377" s="101"/>
    </row>
    <row r="1378" ht="15.75" customHeight="1">
      <c r="A1378" s="192"/>
      <c r="B1378" s="72" t="s">
        <v>516</v>
      </c>
      <c r="C1378" s="116" t="s">
        <v>517</v>
      </c>
      <c r="D1378" s="99">
        <f>231+174</f>
        <v>405</v>
      </c>
      <c r="E1378" s="100"/>
      <c r="F1378" s="100"/>
      <c r="G1378" s="100"/>
      <c r="H1378" s="100"/>
      <c r="I1378" s="101"/>
      <c r="J1378" s="101"/>
      <c r="K1378" s="101"/>
      <c r="L1378" s="101"/>
      <c r="M1378" s="101"/>
      <c r="N1378" s="101"/>
      <c r="O1378" s="101"/>
      <c r="P1378" s="101"/>
      <c r="Q1378" s="101"/>
      <c r="R1378" s="101"/>
      <c r="S1378" s="101"/>
      <c r="T1378" s="101"/>
      <c r="U1378" s="101"/>
      <c r="V1378" s="101"/>
      <c r="W1378" s="101"/>
      <c r="X1378" s="101"/>
      <c r="Y1378" s="101"/>
      <c r="Z1378" s="101"/>
    </row>
    <row r="1379" ht="15.75" customHeight="1">
      <c r="A1379" s="192"/>
      <c r="B1379" s="72" t="s">
        <v>442</v>
      </c>
      <c r="C1379" s="116" t="s">
        <v>443</v>
      </c>
      <c r="D1379" s="99">
        <f>225+186</f>
        <v>411</v>
      </c>
      <c r="E1379" s="100"/>
      <c r="F1379" s="100"/>
      <c r="G1379" s="100"/>
      <c r="H1379" s="100"/>
      <c r="I1379" s="101"/>
      <c r="J1379" s="101"/>
      <c r="K1379" s="101"/>
      <c r="L1379" s="101"/>
      <c r="M1379" s="101"/>
      <c r="N1379" s="101"/>
      <c r="O1379" s="101"/>
      <c r="P1379" s="101"/>
      <c r="Q1379" s="101"/>
      <c r="R1379" s="101"/>
      <c r="S1379" s="101"/>
      <c r="T1379" s="101"/>
      <c r="U1379" s="101"/>
      <c r="V1379" s="101"/>
      <c r="W1379" s="101"/>
      <c r="X1379" s="101"/>
      <c r="Y1379" s="101"/>
      <c r="Z1379" s="101"/>
    </row>
    <row r="1380" ht="15.75" customHeight="1">
      <c r="A1380" s="192"/>
      <c r="B1380" s="72" t="s">
        <v>452</v>
      </c>
      <c r="C1380" s="116" t="s">
        <v>453</v>
      </c>
      <c r="D1380" s="100">
        <f>203</f>
        <v>203</v>
      </c>
      <c r="E1380" s="100"/>
      <c r="F1380" s="100"/>
      <c r="G1380" s="100"/>
      <c r="H1380" s="100"/>
      <c r="I1380" s="101"/>
      <c r="J1380" s="101"/>
      <c r="K1380" s="101"/>
      <c r="L1380" s="101"/>
      <c r="M1380" s="101"/>
      <c r="N1380" s="101"/>
      <c r="O1380" s="101"/>
      <c r="P1380" s="101"/>
      <c r="Q1380" s="101"/>
      <c r="R1380" s="101"/>
      <c r="S1380" s="101"/>
      <c r="T1380" s="101"/>
      <c r="U1380" s="101"/>
      <c r="V1380" s="101"/>
      <c r="W1380" s="101"/>
      <c r="X1380" s="101"/>
      <c r="Y1380" s="101"/>
      <c r="Z1380" s="101"/>
    </row>
    <row r="1381" ht="15.75" customHeight="1">
      <c r="A1381" s="192"/>
      <c r="B1381" s="76" t="s">
        <v>506</v>
      </c>
      <c r="C1381" s="235" t="s">
        <v>507</v>
      </c>
      <c r="D1381" s="99">
        <f>279+234</f>
        <v>513</v>
      </c>
      <c r="E1381" s="100"/>
      <c r="F1381" s="100"/>
      <c r="G1381" s="100"/>
      <c r="H1381" s="100"/>
      <c r="I1381" s="101"/>
      <c r="J1381" s="101"/>
      <c r="K1381" s="101"/>
      <c r="L1381" s="101"/>
      <c r="M1381" s="101"/>
      <c r="N1381" s="101"/>
      <c r="O1381" s="101"/>
      <c r="P1381" s="101"/>
      <c r="Q1381" s="101"/>
      <c r="R1381" s="101"/>
      <c r="S1381" s="101"/>
      <c r="T1381" s="101"/>
      <c r="U1381" s="101"/>
      <c r="V1381" s="101"/>
      <c r="W1381" s="101"/>
      <c r="X1381" s="101"/>
      <c r="Y1381" s="101"/>
      <c r="Z1381" s="101"/>
    </row>
    <row r="1382" ht="15.75" customHeight="1">
      <c r="A1382" s="192"/>
      <c r="B1382" s="76" t="s">
        <v>518</v>
      </c>
      <c r="C1382" s="235" t="s">
        <v>519</v>
      </c>
      <c r="D1382" s="99">
        <f>218+174</f>
        <v>392</v>
      </c>
      <c r="E1382" s="100"/>
      <c r="F1382" s="100"/>
      <c r="G1382" s="100"/>
      <c r="H1382" s="100"/>
      <c r="I1382" s="101"/>
      <c r="J1382" s="101"/>
      <c r="K1382" s="101"/>
      <c r="L1382" s="101"/>
      <c r="M1382" s="101"/>
      <c r="N1382" s="101"/>
      <c r="O1382" s="101"/>
      <c r="P1382" s="101"/>
      <c r="Q1382" s="101"/>
      <c r="R1382" s="101"/>
      <c r="S1382" s="101"/>
      <c r="T1382" s="101"/>
      <c r="U1382" s="101"/>
      <c r="V1382" s="101"/>
      <c r="W1382" s="101"/>
      <c r="X1382" s="101"/>
      <c r="Y1382" s="101"/>
      <c r="Z1382" s="101"/>
    </row>
    <row r="1383" ht="15.75" customHeight="1">
      <c r="A1383" s="192"/>
      <c r="B1383" s="76" t="s">
        <v>520</v>
      </c>
      <c r="C1383" s="77" t="s">
        <v>521</v>
      </c>
      <c r="D1383" s="99">
        <v>129.0</v>
      </c>
      <c r="E1383" s="100"/>
      <c r="F1383" s="100"/>
      <c r="G1383" s="100"/>
      <c r="H1383" s="100"/>
      <c r="I1383" s="101"/>
      <c r="J1383" s="101"/>
      <c r="K1383" s="101"/>
      <c r="L1383" s="101"/>
      <c r="M1383" s="101"/>
      <c r="N1383" s="101"/>
      <c r="O1383" s="101"/>
      <c r="P1383" s="101"/>
      <c r="Q1383" s="101"/>
      <c r="R1383" s="101"/>
      <c r="S1383" s="101"/>
      <c r="T1383" s="101"/>
      <c r="U1383" s="101"/>
      <c r="V1383" s="101"/>
      <c r="W1383" s="101"/>
      <c r="X1383" s="101"/>
      <c r="Y1383" s="101"/>
      <c r="Z1383" s="101"/>
    </row>
    <row r="1384" ht="15.75" customHeight="1">
      <c r="A1384" s="192"/>
      <c r="B1384" s="72" t="s">
        <v>512</v>
      </c>
      <c r="C1384" s="149" t="s">
        <v>513</v>
      </c>
      <c r="D1384" s="99">
        <f>324+209</f>
        <v>533</v>
      </c>
      <c r="E1384" s="100"/>
      <c r="F1384" s="100"/>
      <c r="G1384" s="100"/>
      <c r="H1384" s="100"/>
      <c r="I1384" s="101"/>
      <c r="J1384" s="101"/>
      <c r="K1384" s="101"/>
      <c r="L1384" s="101"/>
      <c r="M1384" s="101"/>
      <c r="N1384" s="101"/>
      <c r="O1384" s="101"/>
      <c r="P1384" s="101"/>
      <c r="Q1384" s="101"/>
      <c r="R1384" s="101"/>
      <c r="S1384" s="101"/>
      <c r="T1384" s="101"/>
      <c r="U1384" s="101"/>
      <c r="V1384" s="101"/>
      <c r="W1384" s="101"/>
      <c r="X1384" s="101"/>
      <c r="Y1384" s="101"/>
      <c r="Z1384" s="101"/>
    </row>
    <row r="1385" ht="15.75" customHeight="1">
      <c r="A1385" s="192"/>
      <c r="B1385" s="72" t="s">
        <v>454</v>
      </c>
      <c r="C1385" s="149" t="s">
        <v>455</v>
      </c>
      <c r="D1385" s="99">
        <v>113.0</v>
      </c>
      <c r="E1385" s="100"/>
      <c r="F1385" s="100"/>
      <c r="G1385" s="100"/>
      <c r="H1385" s="100"/>
      <c r="I1385" s="101"/>
      <c r="J1385" s="101"/>
      <c r="K1385" s="101"/>
      <c r="L1385" s="101"/>
      <c r="M1385" s="101"/>
      <c r="N1385" s="101"/>
      <c r="O1385" s="101"/>
      <c r="P1385" s="101"/>
      <c r="Q1385" s="101"/>
      <c r="R1385" s="101"/>
      <c r="S1385" s="101"/>
      <c r="T1385" s="101"/>
      <c r="U1385" s="101"/>
      <c r="V1385" s="101"/>
      <c r="W1385" s="101"/>
      <c r="X1385" s="101"/>
      <c r="Y1385" s="101"/>
      <c r="Z1385" s="101"/>
    </row>
    <row r="1386" ht="15.75" customHeight="1">
      <c r="A1386" s="192"/>
      <c r="B1386" s="125" t="s">
        <v>446</v>
      </c>
      <c r="C1386" s="125" t="s">
        <v>447</v>
      </c>
      <c r="D1386" s="99">
        <f>362+120</f>
        <v>482</v>
      </c>
      <c r="E1386" s="100"/>
      <c r="F1386" s="100"/>
      <c r="G1386" s="100"/>
      <c r="H1386" s="100"/>
      <c r="I1386" s="101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101"/>
      <c r="T1386" s="101"/>
      <c r="U1386" s="101"/>
      <c r="V1386" s="101"/>
      <c r="W1386" s="101"/>
      <c r="X1386" s="101"/>
      <c r="Y1386" s="101"/>
      <c r="Z1386" s="101"/>
    </row>
    <row r="1387" ht="15.75" customHeight="1">
      <c r="A1387" s="192"/>
      <c r="B1387" s="125" t="s">
        <v>490</v>
      </c>
      <c r="C1387" s="125" t="s">
        <v>491</v>
      </c>
      <c r="D1387" s="99">
        <f>254+206</f>
        <v>460</v>
      </c>
      <c r="E1387" s="100"/>
      <c r="F1387" s="100"/>
      <c r="G1387" s="100"/>
      <c r="H1387" s="100"/>
      <c r="I1387" s="101"/>
      <c r="J1387" s="101"/>
      <c r="K1387" s="101"/>
      <c r="L1387" s="101"/>
      <c r="M1387" s="101"/>
      <c r="N1387" s="101"/>
      <c r="O1387" s="101"/>
      <c r="P1387" s="101"/>
      <c r="Q1387" s="101"/>
      <c r="R1387" s="101"/>
      <c r="S1387" s="101"/>
      <c r="T1387" s="101"/>
      <c r="U1387" s="101"/>
      <c r="V1387" s="101"/>
      <c r="W1387" s="101"/>
      <c r="X1387" s="101"/>
      <c r="Y1387" s="101"/>
      <c r="Z1387" s="101"/>
    </row>
    <row r="1388" ht="15.75" customHeight="1">
      <c r="A1388" s="192"/>
      <c r="B1388" s="72" t="s">
        <v>504</v>
      </c>
      <c r="C1388" s="149" t="s">
        <v>505</v>
      </c>
      <c r="D1388" s="99">
        <f>336+198</f>
        <v>534</v>
      </c>
      <c r="E1388" s="100"/>
      <c r="F1388" s="100"/>
      <c r="G1388" s="100"/>
      <c r="H1388" s="100"/>
      <c r="I1388" s="101"/>
      <c r="J1388" s="101"/>
      <c r="K1388" s="101"/>
      <c r="L1388" s="101"/>
      <c r="M1388" s="101"/>
      <c r="N1388" s="101"/>
      <c r="O1388" s="101"/>
      <c r="P1388" s="101"/>
      <c r="Q1388" s="101"/>
      <c r="R1388" s="101"/>
      <c r="S1388" s="101"/>
      <c r="T1388" s="101"/>
      <c r="U1388" s="101"/>
      <c r="V1388" s="101"/>
      <c r="W1388" s="101"/>
      <c r="X1388" s="101"/>
      <c r="Y1388" s="101"/>
      <c r="Z1388" s="101"/>
    </row>
    <row r="1389" ht="15.75" customHeight="1">
      <c r="A1389" s="192"/>
      <c r="B1389" s="31" t="s">
        <v>478</v>
      </c>
      <c r="C1389" s="31" t="s">
        <v>479</v>
      </c>
      <c r="D1389" s="99">
        <v>113.0</v>
      </c>
      <c r="E1389" s="100"/>
      <c r="F1389" s="100"/>
      <c r="G1389" s="100"/>
      <c r="H1389" s="100"/>
      <c r="I1389" s="101"/>
      <c r="J1389" s="101"/>
      <c r="K1389" s="101"/>
      <c r="L1389" s="101"/>
      <c r="M1389" s="101"/>
      <c r="N1389" s="101"/>
      <c r="O1389" s="101"/>
      <c r="P1389" s="101"/>
      <c r="Q1389" s="101"/>
      <c r="R1389" s="101"/>
      <c r="S1389" s="101"/>
      <c r="T1389" s="101"/>
      <c r="U1389" s="101"/>
      <c r="V1389" s="101"/>
      <c r="W1389" s="101"/>
      <c r="X1389" s="101"/>
      <c r="Y1389" s="101"/>
      <c r="Z1389" s="101"/>
    </row>
    <row r="1390" ht="15.75" customHeight="1">
      <c r="A1390" s="192"/>
      <c r="B1390" s="31" t="s">
        <v>496</v>
      </c>
      <c r="C1390" s="31" t="s">
        <v>497</v>
      </c>
      <c r="D1390" s="99">
        <v>150.0</v>
      </c>
      <c r="E1390" s="100"/>
      <c r="F1390" s="100"/>
      <c r="G1390" s="100"/>
      <c r="H1390" s="100"/>
      <c r="I1390" s="101"/>
      <c r="J1390" s="101"/>
      <c r="K1390" s="101"/>
      <c r="L1390" s="101"/>
      <c r="M1390" s="101"/>
      <c r="N1390" s="101"/>
      <c r="O1390" s="101"/>
      <c r="P1390" s="101"/>
      <c r="Q1390" s="101"/>
      <c r="R1390" s="101"/>
      <c r="S1390" s="101"/>
      <c r="T1390" s="101"/>
      <c r="U1390" s="101"/>
      <c r="V1390" s="101"/>
      <c r="W1390" s="101"/>
      <c r="X1390" s="101"/>
      <c r="Y1390" s="101"/>
      <c r="Z1390" s="101"/>
    </row>
    <row r="1391" ht="15.75" customHeight="1">
      <c r="A1391" s="192"/>
      <c r="B1391" s="31" t="s">
        <v>498</v>
      </c>
      <c r="C1391" s="31" t="s">
        <v>499</v>
      </c>
      <c r="D1391" s="99">
        <v>354.0</v>
      </c>
      <c r="E1391" s="100"/>
      <c r="F1391" s="100"/>
      <c r="G1391" s="100"/>
      <c r="H1391" s="100"/>
      <c r="I1391" s="101"/>
      <c r="J1391" s="101"/>
      <c r="K1391" s="101"/>
      <c r="L1391" s="101"/>
      <c r="M1391" s="101"/>
      <c r="N1391" s="101"/>
      <c r="O1391" s="101"/>
      <c r="P1391" s="101"/>
      <c r="Q1391" s="101"/>
      <c r="R1391" s="101"/>
      <c r="S1391" s="101"/>
      <c r="T1391" s="101"/>
      <c r="U1391" s="101"/>
      <c r="V1391" s="101"/>
      <c r="W1391" s="101"/>
      <c r="X1391" s="101"/>
      <c r="Y1391" s="101"/>
      <c r="Z1391" s="101"/>
    </row>
    <row r="1392" ht="15.75" customHeight="1">
      <c r="A1392" s="192"/>
      <c r="B1392" s="109"/>
      <c r="C1392" s="236"/>
      <c r="D1392" s="100"/>
      <c r="E1392" s="100"/>
      <c r="F1392" s="100"/>
      <c r="G1392" s="100"/>
      <c r="H1392" s="100"/>
      <c r="I1392" s="101"/>
      <c r="J1392" s="101"/>
      <c r="K1392" s="101"/>
      <c r="L1392" s="101"/>
      <c r="M1392" s="101"/>
      <c r="N1392" s="101"/>
      <c r="O1392" s="101"/>
      <c r="P1392" s="101"/>
      <c r="Q1392" s="101"/>
      <c r="R1392" s="101"/>
      <c r="S1392" s="101"/>
      <c r="T1392" s="101"/>
      <c r="U1392" s="101"/>
      <c r="V1392" s="101"/>
      <c r="W1392" s="101"/>
      <c r="X1392" s="101"/>
      <c r="Y1392" s="101"/>
      <c r="Z1392" s="101"/>
    </row>
    <row r="1393" ht="15.75" customHeight="1">
      <c r="A1393" s="190">
        <v>45814.0</v>
      </c>
      <c r="B1393" s="124" t="s">
        <v>486</v>
      </c>
      <c r="C1393" s="116" t="s">
        <v>487</v>
      </c>
      <c r="D1393" s="99">
        <v>510.0</v>
      </c>
      <c r="E1393" s="100"/>
      <c r="F1393" s="100"/>
      <c r="G1393" s="100"/>
      <c r="H1393" s="100"/>
      <c r="I1393" s="101"/>
      <c r="J1393" s="101"/>
      <c r="K1393" s="101"/>
      <c r="L1393" s="101"/>
      <c r="M1393" s="101"/>
      <c r="N1393" s="101"/>
      <c r="O1393" s="101"/>
      <c r="P1393" s="101"/>
      <c r="Q1393" s="101"/>
      <c r="R1393" s="101"/>
      <c r="S1393" s="101"/>
      <c r="T1393" s="101"/>
      <c r="U1393" s="101"/>
      <c r="V1393" s="101"/>
      <c r="W1393" s="101"/>
      <c r="X1393" s="101"/>
      <c r="Y1393" s="101"/>
      <c r="Z1393" s="101"/>
    </row>
    <row r="1394" ht="15.75" customHeight="1">
      <c r="A1394" s="192"/>
      <c r="B1394" s="31" t="s">
        <v>440</v>
      </c>
      <c r="C1394" s="31" t="s">
        <v>441</v>
      </c>
      <c r="D1394" s="100">
        <f>428+51</f>
        <v>479</v>
      </c>
      <c r="E1394" s="100"/>
      <c r="F1394" s="100"/>
      <c r="G1394" s="100"/>
      <c r="H1394" s="100"/>
      <c r="I1394" s="101"/>
      <c r="J1394" s="101"/>
      <c r="K1394" s="101"/>
      <c r="L1394" s="101"/>
      <c r="M1394" s="101"/>
      <c r="N1394" s="101"/>
      <c r="O1394" s="101"/>
      <c r="P1394" s="101"/>
      <c r="Q1394" s="101"/>
      <c r="R1394" s="101"/>
      <c r="S1394" s="101"/>
      <c r="T1394" s="101"/>
      <c r="U1394" s="101"/>
      <c r="V1394" s="101"/>
      <c r="W1394" s="101"/>
      <c r="X1394" s="101"/>
      <c r="Y1394" s="101"/>
      <c r="Z1394" s="101"/>
    </row>
    <row r="1395" ht="15.75" customHeight="1">
      <c r="A1395" s="192"/>
      <c r="B1395" s="72" t="s">
        <v>442</v>
      </c>
      <c r="C1395" s="116" t="s">
        <v>443</v>
      </c>
      <c r="D1395" s="100">
        <f>525+166</f>
        <v>691</v>
      </c>
      <c r="E1395" s="100"/>
      <c r="F1395" s="100"/>
      <c r="G1395" s="100"/>
      <c r="H1395" s="100"/>
      <c r="I1395" s="101"/>
      <c r="J1395" s="101"/>
      <c r="K1395" s="101"/>
      <c r="L1395" s="101"/>
      <c r="M1395" s="101"/>
      <c r="N1395" s="101"/>
      <c r="O1395" s="101"/>
      <c r="P1395" s="101"/>
      <c r="Q1395" s="101"/>
      <c r="R1395" s="101"/>
      <c r="S1395" s="101"/>
      <c r="T1395" s="101"/>
      <c r="U1395" s="101"/>
      <c r="V1395" s="101"/>
      <c r="W1395" s="101"/>
      <c r="X1395" s="101"/>
      <c r="Y1395" s="101"/>
      <c r="Z1395" s="101"/>
    </row>
    <row r="1396" ht="15.75" customHeight="1">
      <c r="A1396" s="192"/>
      <c r="B1396" s="76" t="s">
        <v>494</v>
      </c>
      <c r="C1396" s="77" t="s">
        <v>495</v>
      </c>
      <c r="D1396" s="100">
        <f>268+94+233</f>
        <v>595</v>
      </c>
      <c r="E1396" s="100"/>
      <c r="F1396" s="100"/>
      <c r="G1396" s="100"/>
      <c r="H1396" s="100"/>
      <c r="I1396" s="101"/>
      <c r="J1396" s="101"/>
      <c r="K1396" s="101"/>
      <c r="L1396" s="101"/>
      <c r="M1396" s="101"/>
      <c r="N1396" s="101"/>
      <c r="O1396" s="101"/>
      <c r="P1396" s="101"/>
      <c r="Q1396" s="101"/>
      <c r="R1396" s="101"/>
      <c r="S1396" s="101"/>
      <c r="T1396" s="101"/>
      <c r="U1396" s="101"/>
      <c r="V1396" s="101"/>
      <c r="W1396" s="101"/>
      <c r="X1396" s="101"/>
      <c r="Y1396" s="101"/>
      <c r="Z1396" s="101"/>
    </row>
    <row r="1397" ht="15.75" customHeight="1">
      <c r="A1397" s="192"/>
      <c r="B1397" s="76" t="s">
        <v>460</v>
      </c>
      <c r="C1397" s="77" t="s">
        <v>461</v>
      </c>
      <c r="D1397" s="99">
        <v>189.0</v>
      </c>
      <c r="E1397" s="100"/>
      <c r="F1397" s="100"/>
      <c r="G1397" s="100"/>
      <c r="H1397" s="100"/>
      <c r="I1397" s="101"/>
      <c r="J1397" s="101"/>
      <c r="K1397" s="101"/>
      <c r="L1397" s="101"/>
      <c r="M1397" s="101"/>
      <c r="N1397" s="101"/>
      <c r="O1397" s="101"/>
      <c r="P1397" s="101"/>
      <c r="Q1397" s="101"/>
      <c r="R1397" s="101"/>
      <c r="S1397" s="101"/>
      <c r="T1397" s="101"/>
      <c r="U1397" s="101"/>
      <c r="V1397" s="101"/>
      <c r="W1397" s="101"/>
      <c r="X1397" s="101"/>
      <c r="Y1397" s="101"/>
      <c r="Z1397" s="101"/>
    </row>
    <row r="1398" ht="15.75" customHeight="1">
      <c r="A1398" s="192"/>
      <c r="B1398" s="72" t="s">
        <v>448</v>
      </c>
      <c r="C1398" s="116" t="s">
        <v>449</v>
      </c>
      <c r="D1398" s="99">
        <f>318+240</f>
        <v>558</v>
      </c>
      <c r="E1398" s="100"/>
      <c r="F1398" s="100"/>
      <c r="G1398" s="100"/>
      <c r="H1398" s="100"/>
      <c r="I1398" s="101"/>
      <c r="J1398" s="101"/>
      <c r="K1398" s="101"/>
      <c r="L1398" s="101"/>
      <c r="M1398" s="101"/>
      <c r="N1398" s="101"/>
      <c r="O1398" s="101"/>
      <c r="P1398" s="101"/>
      <c r="Q1398" s="101"/>
      <c r="R1398" s="101"/>
      <c r="S1398" s="101"/>
      <c r="T1398" s="101"/>
      <c r="U1398" s="101"/>
      <c r="V1398" s="101"/>
      <c r="W1398" s="101"/>
      <c r="X1398" s="101"/>
      <c r="Y1398" s="101"/>
      <c r="Z1398" s="101"/>
    </row>
    <row r="1399" ht="15.75" customHeight="1">
      <c r="A1399" s="192"/>
      <c r="B1399" s="72" t="s">
        <v>528</v>
      </c>
      <c r="C1399" s="149" t="s">
        <v>529</v>
      </c>
      <c r="D1399" s="100">
        <f>305+121</f>
        <v>426</v>
      </c>
      <c r="E1399" s="100"/>
      <c r="F1399" s="100"/>
      <c r="G1399" s="100"/>
      <c r="H1399" s="100"/>
      <c r="I1399" s="101"/>
      <c r="J1399" s="101"/>
      <c r="K1399" s="101"/>
      <c r="L1399" s="101"/>
      <c r="M1399" s="101"/>
      <c r="N1399" s="101"/>
      <c r="O1399" s="101"/>
      <c r="P1399" s="101"/>
      <c r="Q1399" s="101"/>
      <c r="R1399" s="101"/>
      <c r="S1399" s="101"/>
      <c r="T1399" s="101"/>
      <c r="U1399" s="101"/>
      <c r="V1399" s="101"/>
      <c r="W1399" s="101"/>
      <c r="X1399" s="101"/>
      <c r="Y1399" s="101"/>
      <c r="Z1399" s="101"/>
    </row>
    <row r="1400" ht="15.75" customHeight="1">
      <c r="A1400" s="192"/>
      <c r="B1400" s="31" t="s">
        <v>498</v>
      </c>
      <c r="C1400" s="31" t="s">
        <v>499</v>
      </c>
      <c r="D1400" s="100">
        <f>416+163</f>
        <v>579</v>
      </c>
      <c r="E1400" s="100"/>
      <c r="F1400" s="100"/>
      <c r="G1400" s="100"/>
      <c r="H1400" s="100"/>
      <c r="I1400" s="101"/>
      <c r="J1400" s="101"/>
      <c r="K1400" s="101"/>
      <c r="L1400" s="101"/>
      <c r="M1400" s="101"/>
      <c r="N1400" s="101"/>
      <c r="O1400" s="101"/>
      <c r="P1400" s="101"/>
      <c r="Q1400" s="101"/>
      <c r="R1400" s="101"/>
      <c r="S1400" s="101"/>
      <c r="T1400" s="101"/>
      <c r="U1400" s="101"/>
      <c r="V1400" s="101"/>
      <c r="W1400" s="101"/>
      <c r="X1400" s="101"/>
      <c r="Y1400" s="101"/>
      <c r="Z1400" s="101"/>
    </row>
    <row r="1401" ht="15.75" customHeight="1">
      <c r="A1401" s="192"/>
      <c r="B1401" s="125" t="s">
        <v>446</v>
      </c>
      <c r="C1401" s="125" t="s">
        <v>447</v>
      </c>
      <c r="D1401" s="99">
        <f>270+255</f>
        <v>525</v>
      </c>
      <c r="E1401" s="100"/>
      <c r="F1401" s="100"/>
      <c r="G1401" s="100"/>
      <c r="H1401" s="100"/>
      <c r="I1401" s="101"/>
      <c r="J1401" s="101"/>
      <c r="K1401" s="101"/>
      <c r="L1401" s="101"/>
      <c r="M1401" s="101"/>
      <c r="N1401" s="101"/>
      <c r="O1401" s="101"/>
      <c r="P1401" s="101"/>
      <c r="Q1401" s="101"/>
      <c r="R1401" s="101"/>
      <c r="S1401" s="101"/>
      <c r="T1401" s="101"/>
      <c r="U1401" s="101"/>
      <c r="V1401" s="101"/>
      <c r="W1401" s="101"/>
      <c r="X1401" s="101"/>
      <c r="Y1401" s="101"/>
      <c r="Z1401" s="101"/>
    </row>
    <row r="1402" ht="15.75" customHeight="1">
      <c r="A1402" s="192"/>
      <c r="B1402" s="125" t="s">
        <v>536</v>
      </c>
      <c r="C1402" s="125" t="s">
        <v>537</v>
      </c>
      <c r="D1402" s="99">
        <f>135+155</f>
        <v>290</v>
      </c>
      <c r="E1402" s="100"/>
      <c r="F1402" s="100"/>
      <c r="G1402" s="100"/>
      <c r="H1402" s="100"/>
      <c r="I1402" s="101"/>
      <c r="J1402" s="101"/>
      <c r="K1402" s="101"/>
      <c r="L1402" s="101"/>
      <c r="M1402" s="101"/>
      <c r="N1402" s="101"/>
      <c r="O1402" s="101"/>
      <c r="P1402" s="101"/>
      <c r="Q1402" s="101"/>
      <c r="R1402" s="101"/>
      <c r="S1402" s="101"/>
      <c r="T1402" s="101"/>
      <c r="U1402" s="101"/>
      <c r="V1402" s="101"/>
      <c r="W1402" s="101"/>
      <c r="X1402" s="101"/>
      <c r="Y1402" s="101"/>
      <c r="Z1402" s="101"/>
    </row>
    <row r="1403" ht="15.75" customHeight="1">
      <c r="A1403" s="192"/>
      <c r="B1403" s="72" t="s">
        <v>530</v>
      </c>
      <c r="C1403" s="149" t="s">
        <v>531</v>
      </c>
      <c r="D1403" s="99">
        <f>204+119</f>
        <v>323</v>
      </c>
      <c r="E1403" s="100"/>
      <c r="F1403" s="100"/>
      <c r="G1403" s="100"/>
      <c r="H1403" s="100"/>
      <c r="I1403" s="101"/>
      <c r="J1403" s="101"/>
      <c r="K1403" s="101"/>
      <c r="L1403" s="101"/>
      <c r="M1403" s="101"/>
      <c r="N1403" s="101"/>
      <c r="O1403" s="101"/>
      <c r="P1403" s="101"/>
      <c r="Q1403" s="101"/>
      <c r="R1403" s="101"/>
      <c r="S1403" s="101"/>
      <c r="T1403" s="101"/>
      <c r="U1403" s="101"/>
      <c r="V1403" s="101"/>
      <c r="W1403" s="101"/>
      <c r="X1403" s="101"/>
      <c r="Y1403" s="101"/>
      <c r="Z1403" s="101"/>
    </row>
    <row r="1404" ht="15.75" customHeight="1">
      <c r="A1404" s="192"/>
      <c r="B1404" s="72" t="s">
        <v>524</v>
      </c>
      <c r="C1404" s="116" t="s">
        <v>525</v>
      </c>
      <c r="D1404" s="99">
        <v>962.0</v>
      </c>
      <c r="E1404" s="100"/>
      <c r="F1404" s="100"/>
      <c r="G1404" s="100"/>
      <c r="H1404" s="100"/>
      <c r="I1404" s="101"/>
      <c r="J1404" s="101"/>
      <c r="K1404" s="101"/>
      <c r="L1404" s="101"/>
      <c r="M1404" s="101"/>
      <c r="N1404" s="101"/>
      <c r="O1404" s="101"/>
      <c r="P1404" s="101"/>
      <c r="Q1404" s="101"/>
      <c r="R1404" s="101"/>
      <c r="S1404" s="101"/>
      <c r="T1404" s="101"/>
      <c r="U1404" s="101"/>
      <c r="V1404" s="101"/>
      <c r="W1404" s="101"/>
      <c r="X1404" s="101"/>
      <c r="Y1404" s="101"/>
      <c r="Z1404" s="101"/>
    </row>
    <row r="1405" ht="15.75" customHeight="1">
      <c r="A1405" s="192"/>
      <c r="B1405" s="31" t="s">
        <v>498</v>
      </c>
      <c r="C1405" s="31" t="s">
        <v>499</v>
      </c>
      <c r="D1405" s="100">
        <f>454</f>
        <v>454</v>
      </c>
      <c r="E1405" s="100"/>
      <c r="F1405" s="100"/>
      <c r="G1405" s="100"/>
      <c r="H1405" s="100"/>
      <c r="I1405" s="101"/>
      <c r="J1405" s="101"/>
      <c r="K1405" s="101"/>
      <c r="L1405" s="101"/>
      <c r="M1405" s="101"/>
      <c r="N1405" s="101"/>
      <c r="O1405" s="101"/>
      <c r="P1405" s="101"/>
      <c r="Q1405" s="101"/>
      <c r="R1405" s="101"/>
      <c r="S1405" s="101"/>
      <c r="T1405" s="101"/>
      <c r="U1405" s="101"/>
      <c r="V1405" s="101"/>
      <c r="W1405" s="101"/>
      <c r="X1405" s="101"/>
      <c r="Y1405" s="101"/>
      <c r="Z1405" s="101"/>
    </row>
    <row r="1406" ht="15.75" customHeight="1">
      <c r="A1406" s="192"/>
      <c r="B1406" s="72" t="s">
        <v>532</v>
      </c>
      <c r="C1406" s="148" t="s">
        <v>533</v>
      </c>
      <c r="D1406" s="99">
        <v>130.0</v>
      </c>
      <c r="E1406" s="100"/>
      <c r="F1406" s="100"/>
      <c r="G1406" s="100"/>
      <c r="H1406" s="100"/>
      <c r="I1406" s="101"/>
      <c r="J1406" s="101"/>
      <c r="K1406" s="101"/>
      <c r="L1406" s="101"/>
      <c r="M1406" s="101"/>
      <c r="N1406" s="101"/>
      <c r="O1406" s="101"/>
      <c r="P1406" s="101"/>
      <c r="Q1406" s="101"/>
      <c r="R1406" s="101"/>
      <c r="S1406" s="101"/>
      <c r="T1406" s="101"/>
      <c r="U1406" s="101"/>
      <c r="V1406" s="101"/>
      <c r="W1406" s="101"/>
      <c r="X1406" s="101"/>
      <c r="Y1406" s="101"/>
      <c r="Z1406" s="101"/>
    </row>
    <row r="1407" ht="15.75" customHeight="1">
      <c r="A1407" s="192"/>
      <c r="B1407" s="72" t="s">
        <v>514</v>
      </c>
      <c r="C1407" s="116" t="s">
        <v>515</v>
      </c>
      <c r="D1407" s="100">
        <f>119</f>
        <v>119</v>
      </c>
      <c r="E1407" s="100"/>
      <c r="F1407" s="100"/>
      <c r="G1407" s="100"/>
      <c r="H1407" s="100"/>
      <c r="I1407" s="101"/>
      <c r="J1407" s="101"/>
      <c r="K1407" s="101"/>
      <c r="L1407" s="101"/>
      <c r="M1407" s="101"/>
      <c r="N1407" s="101"/>
      <c r="O1407" s="101"/>
      <c r="P1407" s="101"/>
      <c r="Q1407" s="101"/>
      <c r="R1407" s="101"/>
      <c r="S1407" s="101"/>
      <c r="T1407" s="101"/>
      <c r="U1407" s="101"/>
      <c r="V1407" s="101"/>
      <c r="W1407" s="101"/>
      <c r="X1407" s="101"/>
      <c r="Y1407" s="101"/>
      <c r="Z1407" s="101"/>
    </row>
    <row r="1408" ht="15.75" customHeight="1">
      <c r="A1408" s="192"/>
      <c r="B1408" s="72" t="s">
        <v>538</v>
      </c>
      <c r="C1408" s="116" t="s">
        <v>539</v>
      </c>
      <c r="D1408" s="100">
        <f>59</f>
        <v>59</v>
      </c>
      <c r="E1408" s="100"/>
      <c r="F1408" s="100"/>
      <c r="G1408" s="100"/>
      <c r="H1408" s="100"/>
      <c r="I1408" s="101"/>
      <c r="J1408" s="101"/>
      <c r="K1408" s="101"/>
      <c r="L1408" s="101"/>
      <c r="M1408" s="101"/>
      <c r="N1408" s="101"/>
      <c r="O1408" s="101"/>
      <c r="P1408" s="101"/>
      <c r="Q1408" s="101"/>
      <c r="R1408" s="101"/>
      <c r="S1408" s="101"/>
      <c r="T1408" s="101"/>
      <c r="U1408" s="101"/>
      <c r="V1408" s="101"/>
      <c r="W1408" s="101"/>
      <c r="X1408" s="101"/>
      <c r="Y1408" s="101"/>
      <c r="Z1408" s="101"/>
    </row>
    <row r="1409" ht="15.75" customHeight="1">
      <c r="A1409" s="192"/>
      <c r="B1409" s="109"/>
      <c r="C1409" s="237"/>
      <c r="D1409" s="100"/>
      <c r="E1409" s="100"/>
      <c r="F1409" s="100"/>
      <c r="G1409" s="100"/>
      <c r="H1409" s="100"/>
      <c r="I1409" s="101"/>
      <c r="J1409" s="101"/>
      <c r="K1409" s="101"/>
      <c r="L1409" s="101"/>
      <c r="M1409" s="101"/>
      <c r="N1409" s="101"/>
      <c r="O1409" s="101"/>
      <c r="P1409" s="101"/>
      <c r="Q1409" s="101"/>
      <c r="R1409" s="101"/>
      <c r="S1409" s="101"/>
      <c r="T1409" s="101"/>
      <c r="U1409" s="101"/>
      <c r="V1409" s="101"/>
      <c r="W1409" s="101"/>
      <c r="X1409" s="101"/>
      <c r="Y1409" s="101"/>
      <c r="Z1409" s="101"/>
    </row>
    <row r="1410" ht="15.75" customHeight="1">
      <c r="A1410" s="190">
        <v>45815.0</v>
      </c>
      <c r="B1410" s="31" t="s">
        <v>462</v>
      </c>
      <c r="C1410" s="31" t="s">
        <v>463</v>
      </c>
      <c r="D1410" s="100">
        <f>401+168</f>
        <v>569</v>
      </c>
      <c r="E1410" s="100"/>
      <c r="F1410" s="100"/>
      <c r="G1410" s="100"/>
      <c r="H1410" s="100"/>
      <c r="I1410" s="101"/>
      <c r="J1410" s="101"/>
      <c r="K1410" s="101"/>
      <c r="L1410" s="101"/>
      <c r="M1410" s="101"/>
      <c r="N1410" s="101"/>
      <c r="O1410" s="101"/>
      <c r="P1410" s="101"/>
      <c r="Q1410" s="101"/>
      <c r="R1410" s="101"/>
      <c r="S1410" s="101"/>
      <c r="T1410" s="101"/>
      <c r="U1410" s="101"/>
      <c r="V1410" s="101"/>
      <c r="W1410" s="101"/>
      <c r="X1410" s="101"/>
      <c r="Y1410" s="101"/>
      <c r="Z1410" s="101"/>
    </row>
    <row r="1411" ht="15.75" customHeight="1">
      <c r="A1411" s="192"/>
      <c r="B1411" s="76" t="s">
        <v>494</v>
      </c>
      <c r="C1411" s="77" t="s">
        <v>495</v>
      </c>
      <c r="D1411" s="99">
        <f>313+203</f>
        <v>516</v>
      </c>
      <c r="E1411" s="100"/>
      <c r="F1411" s="100"/>
      <c r="G1411" s="100"/>
      <c r="H1411" s="100"/>
      <c r="I1411" s="101"/>
      <c r="J1411" s="101"/>
      <c r="K1411" s="101"/>
      <c r="L1411" s="101"/>
      <c r="M1411" s="101"/>
      <c r="N1411" s="101"/>
      <c r="O1411" s="101"/>
      <c r="P1411" s="101"/>
      <c r="Q1411" s="101"/>
      <c r="R1411" s="101"/>
      <c r="S1411" s="101"/>
      <c r="T1411" s="101"/>
      <c r="U1411" s="101"/>
      <c r="V1411" s="101"/>
      <c r="W1411" s="101"/>
      <c r="X1411" s="101"/>
      <c r="Y1411" s="101"/>
      <c r="Z1411" s="101"/>
    </row>
    <row r="1412" ht="15.75" customHeight="1">
      <c r="A1412" s="192"/>
      <c r="B1412" s="72" t="s">
        <v>434</v>
      </c>
      <c r="C1412" s="116" t="s">
        <v>435</v>
      </c>
      <c r="D1412" s="99">
        <v>584.0</v>
      </c>
      <c r="E1412" s="100"/>
      <c r="F1412" s="100"/>
      <c r="G1412" s="100"/>
      <c r="H1412" s="100"/>
      <c r="I1412" s="101"/>
      <c r="J1412" s="101"/>
      <c r="K1412" s="101"/>
      <c r="L1412" s="101"/>
      <c r="M1412" s="101"/>
      <c r="N1412" s="101"/>
      <c r="O1412" s="101"/>
      <c r="P1412" s="101"/>
      <c r="Q1412" s="101"/>
      <c r="R1412" s="101"/>
      <c r="S1412" s="101"/>
      <c r="T1412" s="101"/>
      <c r="U1412" s="101"/>
      <c r="V1412" s="101"/>
      <c r="W1412" s="101"/>
      <c r="X1412" s="101"/>
      <c r="Y1412" s="101"/>
      <c r="Z1412" s="101"/>
    </row>
    <row r="1413" ht="15.75" customHeight="1">
      <c r="A1413" s="192"/>
      <c r="B1413" s="31" t="s">
        <v>498</v>
      </c>
      <c r="C1413" s="31" t="s">
        <v>499</v>
      </c>
      <c r="D1413" s="99">
        <f>474+422</f>
        <v>896</v>
      </c>
      <c r="E1413" s="100"/>
      <c r="F1413" s="100"/>
      <c r="G1413" s="100"/>
      <c r="H1413" s="100"/>
      <c r="I1413" s="101"/>
      <c r="J1413" s="101"/>
      <c r="K1413" s="101"/>
      <c r="L1413" s="101"/>
      <c r="M1413" s="101"/>
      <c r="N1413" s="101"/>
      <c r="O1413" s="101"/>
      <c r="P1413" s="101"/>
      <c r="Q1413" s="101"/>
      <c r="R1413" s="101"/>
      <c r="S1413" s="101"/>
      <c r="T1413" s="101"/>
      <c r="U1413" s="101"/>
      <c r="V1413" s="101"/>
      <c r="W1413" s="101"/>
      <c r="X1413" s="101"/>
      <c r="Y1413" s="101"/>
      <c r="Z1413" s="101"/>
    </row>
    <row r="1414" ht="15.75" customHeight="1">
      <c r="A1414" s="192"/>
      <c r="B1414" s="72" t="s">
        <v>522</v>
      </c>
      <c r="C1414" s="149" t="s">
        <v>523</v>
      </c>
      <c r="D1414" s="99">
        <f>489+247</f>
        <v>736</v>
      </c>
      <c r="E1414" s="100"/>
      <c r="F1414" s="100"/>
      <c r="G1414" s="100"/>
      <c r="H1414" s="100"/>
      <c r="I1414" s="101"/>
      <c r="J1414" s="101"/>
      <c r="K1414" s="101"/>
      <c r="L1414" s="101"/>
      <c r="M1414" s="101"/>
      <c r="N1414" s="101"/>
      <c r="O1414" s="101"/>
      <c r="P1414" s="101"/>
      <c r="Q1414" s="101"/>
      <c r="R1414" s="101"/>
      <c r="S1414" s="101"/>
      <c r="T1414" s="101"/>
      <c r="U1414" s="101"/>
      <c r="V1414" s="101"/>
      <c r="W1414" s="101"/>
      <c r="X1414" s="101"/>
      <c r="Y1414" s="101"/>
      <c r="Z1414" s="101"/>
    </row>
    <row r="1415" ht="15.75" customHeight="1">
      <c r="A1415" s="192"/>
      <c r="B1415" s="125" t="s">
        <v>446</v>
      </c>
      <c r="C1415" s="125" t="s">
        <v>447</v>
      </c>
      <c r="D1415" s="99">
        <f>244+140+88</f>
        <v>472</v>
      </c>
      <c r="E1415" s="100"/>
      <c r="F1415" s="100"/>
      <c r="G1415" s="100"/>
      <c r="H1415" s="100"/>
      <c r="I1415" s="101"/>
      <c r="J1415" s="101"/>
      <c r="K1415" s="101"/>
      <c r="L1415" s="101"/>
      <c r="M1415" s="101"/>
      <c r="N1415" s="101"/>
      <c r="O1415" s="101"/>
      <c r="P1415" s="101"/>
      <c r="Q1415" s="101"/>
      <c r="R1415" s="101"/>
      <c r="S1415" s="101"/>
      <c r="T1415" s="101"/>
      <c r="U1415" s="101"/>
      <c r="V1415" s="101"/>
      <c r="W1415" s="101"/>
      <c r="X1415" s="101"/>
      <c r="Y1415" s="101"/>
      <c r="Z1415" s="101"/>
    </row>
    <row r="1416" ht="15.75" customHeight="1">
      <c r="A1416" s="192"/>
      <c r="B1416" s="124" t="s">
        <v>526</v>
      </c>
      <c r="C1416" s="153" t="s">
        <v>527</v>
      </c>
      <c r="D1416" s="99">
        <v>222.0</v>
      </c>
      <c r="E1416" s="100"/>
      <c r="F1416" s="100"/>
      <c r="G1416" s="100"/>
      <c r="H1416" s="100"/>
      <c r="I1416" s="101"/>
      <c r="J1416" s="101"/>
      <c r="K1416" s="101"/>
      <c r="L1416" s="101"/>
      <c r="M1416" s="101"/>
      <c r="N1416" s="101"/>
      <c r="O1416" s="101"/>
      <c r="P1416" s="101"/>
      <c r="Q1416" s="101"/>
      <c r="R1416" s="101"/>
      <c r="S1416" s="101"/>
      <c r="T1416" s="101"/>
      <c r="U1416" s="101"/>
      <c r="V1416" s="101"/>
      <c r="W1416" s="101"/>
      <c r="X1416" s="101"/>
      <c r="Y1416" s="101"/>
      <c r="Z1416" s="101"/>
    </row>
    <row r="1417" ht="15.75" customHeight="1">
      <c r="A1417" s="192"/>
      <c r="B1417" s="124" t="s">
        <v>524</v>
      </c>
      <c r="C1417" s="154" t="s">
        <v>525</v>
      </c>
      <c r="D1417" s="99">
        <f>188+513</f>
        <v>701</v>
      </c>
      <c r="E1417" s="100"/>
      <c r="F1417" s="100"/>
      <c r="G1417" s="100"/>
      <c r="H1417" s="100"/>
      <c r="I1417" s="101"/>
      <c r="J1417" s="101"/>
      <c r="K1417" s="101"/>
      <c r="L1417" s="101"/>
      <c r="M1417" s="101"/>
      <c r="N1417" s="101"/>
      <c r="O1417" s="101"/>
      <c r="P1417" s="101"/>
      <c r="Q1417" s="101"/>
      <c r="R1417" s="101"/>
      <c r="S1417" s="101"/>
      <c r="T1417" s="101"/>
      <c r="U1417" s="101"/>
      <c r="V1417" s="101"/>
      <c r="W1417" s="101"/>
      <c r="X1417" s="101"/>
      <c r="Y1417" s="101"/>
      <c r="Z1417" s="101"/>
    </row>
    <row r="1418" ht="15.75" customHeight="1">
      <c r="A1418" s="192"/>
      <c r="B1418" s="76" t="s">
        <v>506</v>
      </c>
      <c r="C1418" s="235" t="s">
        <v>507</v>
      </c>
      <c r="D1418" s="99">
        <v>168.0</v>
      </c>
      <c r="E1418" s="100"/>
      <c r="F1418" s="100"/>
      <c r="G1418" s="100"/>
      <c r="H1418" s="100"/>
      <c r="I1418" s="101"/>
      <c r="J1418" s="101"/>
      <c r="K1418" s="101"/>
      <c r="L1418" s="101"/>
      <c r="M1418" s="101"/>
      <c r="N1418" s="101"/>
      <c r="O1418" s="101"/>
      <c r="P1418" s="101"/>
      <c r="Q1418" s="101"/>
      <c r="R1418" s="101"/>
      <c r="S1418" s="101"/>
      <c r="T1418" s="101"/>
      <c r="U1418" s="101"/>
      <c r="V1418" s="101"/>
      <c r="W1418" s="101"/>
      <c r="X1418" s="101"/>
      <c r="Y1418" s="101"/>
      <c r="Z1418" s="101"/>
    </row>
    <row r="1419" ht="15.75" customHeight="1">
      <c r="A1419" s="192"/>
      <c r="B1419" s="76" t="s">
        <v>518</v>
      </c>
      <c r="C1419" s="235" t="s">
        <v>519</v>
      </c>
      <c r="D1419" s="99">
        <v>212.0</v>
      </c>
      <c r="E1419" s="100"/>
      <c r="F1419" s="100"/>
      <c r="G1419" s="100"/>
      <c r="H1419" s="100"/>
      <c r="I1419" s="101"/>
      <c r="J1419" s="101"/>
      <c r="K1419" s="101"/>
      <c r="L1419" s="101"/>
      <c r="M1419" s="101"/>
      <c r="N1419" s="101"/>
      <c r="O1419" s="101"/>
      <c r="P1419" s="101"/>
      <c r="Q1419" s="101"/>
      <c r="R1419" s="101"/>
      <c r="S1419" s="101"/>
      <c r="T1419" s="101"/>
      <c r="U1419" s="101"/>
      <c r="V1419" s="101"/>
      <c r="W1419" s="101"/>
      <c r="X1419" s="101"/>
      <c r="Y1419" s="101"/>
      <c r="Z1419" s="101"/>
    </row>
    <row r="1420" ht="15.75" customHeight="1">
      <c r="A1420" s="192"/>
      <c r="B1420" s="31" t="s">
        <v>490</v>
      </c>
      <c r="C1420" s="31" t="s">
        <v>491</v>
      </c>
      <c r="D1420" s="99">
        <v>224.0</v>
      </c>
      <c r="E1420" s="100"/>
      <c r="F1420" s="100"/>
      <c r="G1420" s="100"/>
      <c r="H1420" s="100"/>
      <c r="I1420" s="101"/>
      <c r="J1420" s="101"/>
      <c r="K1420" s="101"/>
      <c r="L1420" s="101"/>
      <c r="M1420" s="101"/>
      <c r="N1420" s="101"/>
      <c r="O1420" s="101"/>
      <c r="P1420" s="101"/>
      <c r="Q1420" s="101"/>
      <c r="R1420" s="101"/>
      <c r="S1420" s="101"/>
      <c r="T1420" s="101"/>
      <c r="U1420" s="101"/>
      <c r="V1420" s="101"/>
      <c r="W1420" s="101"/>
      <c r="X1420" s="101"/>
      <c r="Y1420" s="101"/>
      <c r="Z1420" s="101"/>
    </row>
    <row r="1421" ht="15.75" customHeight="1">
      <c r="A1421" s="192"/>
      <c r="B1421" s="31" t="s">
        <v>462</v>
      </c>
      <c r="C1421" s="31" t="s">
        <v>463</v>
      </c>
      <c r="D1421" s="99">
        <v>227.0</v>
      </c>
      <c r="E1421" s="100"/>
      <c r="F1421" s="100"/>
      <c r="G1421" s="100"/>
      <c r="H1421" s="100"/>
      <c r="I1421" s="101"/>
      <c r="J1421" s="101"/>
      <c r="K1421" s="101"/>
      <c r="L1421" s="101"/>
      <c r="M1421" s="101"/>
      <c r="N1421" s="101"/>
      <c r="O1421" s="101"/>
      <c r="P1421" s="101"/>
      <c r="Q1421" s="101"/>
      <c r="R1421" s="101"/>
      <c r="S1421" s="101"/>
      <c r="T1421" s="101"/>
      <c r="U1421" s="101"/>
      <c r="V1421" s="101"/>
      <c r="W1421" s="101"/>
      <c r="X1421" s="101"/>
      <c r="Y1421" s="101"/>
      <c r="Z1421" s="101"/>
    </row>
    <row r="1422" ht="15.75" customHeight="1">
      <c r="A1422" s="192"/>
      <c r="B1422" s="72" t="s">
        <v>528</v>
      </c>
      <c r="C1422" s="149" t="s">
        <v>529</v>
      </c>
      <c r="D1422" s="99">
        <v>123.0</v>
      </c>
      <c r="E1422" s="100"/>
      <c r="F1422" s="100"/>
      <c r="G1422" s="100"/>
      <c r="H1422" s="100"/>
      <c r="I1422" s="101"/>
      <c r="J1422" s="101"/>
      <c r="K1422" s="101"/>
      <c r="L1422" s="101"/>
      <c r="M1422" s="101"/>
      <c r="N1422" s="101"/>
      <c r="O1422" s="101"/>
      <c r="P1422" s="101"/>
      <c r="Q1422" s="101"/>
      <c r="R1422" s="101"/>
      <c r="S1422" s="101"/>
      <c r="T1422" s="101"/>
      <c r="U1422" s="101"/>
      <c r="V1422" s="101"/>
      <c r="W1422" s="101"/>
      <c r="X1422" s="101"/>
      <c r="Y1422" s="101"/>
      <c r="Z1422" s="101"/>
    </row>
    <row r="1423" ht="15.75" customHeight="1">
      <c r="A1423" s="192"/>
      <c r="B1423" s="72" t="s">
        <v>530</v>
      </c>
      <c r="C1423" s="149" t="s">
        <v>531</v>
      </c>
      <c r="D1423" s="99">
        <v>74.0</v>
      </c>
      <c r="E1423" s="100"/>
      <c r="F1423" s="100"/>
      <c r="G1423" s="100"/>
      <c r="H1423" s="100"/>
      <c r="I1423" s="101"/>
      <c r="J1423" s="101"/>
      <c r="K1423" s="101"/>
      <c r="L1423" s="101"/>
      <c r="M1423" s="101"/>
      <c r="N1423" s="101"/>
      <c r="O1423" s="101"/>
      <c r="P1423" s="101"/>
      <c r="Q1423" s="101"/>
      <c r="R1423" s="101"/>
      <c r="S1423" s="101"/>
      <c r="T1423" s="101"/>
      <c r="U1423" s="101"/>
      <c r="V1423" s="101"/>
      <c r="W1423" s="101"/>
      <c r="X1423" s="101"/>
      <c r="Y1423" s="101"/>
      <c r="Z1423" s="101"/>
    </row>
    <row r="1424" ht="15.75" customHeight="1">
      <c r="A1424" s="192"/>
      <c r="B1424" s="72" t="s">
        <v>460</v>
      </c>
      <c r="C1424" s="116" t="s">
        <v>461</v>
      </c>
      <c r="D1424" s="99">
        <v>172.0</v>
      </c>
      <c r="E1424" s="100"/>
      <c r="F1424" s="100"/>
      <c r="G1424" s="100"/>
      <c r="H1424" s="100"/>
      <c r="I1424" s="101"/>
      <c r="J1424" s="101"/>
      <c r="K1424" s="101"/>
      <c r="L1424" s="101"/>
      <c r="M1424" s="101"/>
      <c r="N1424" s="101"/>
      <c r="O1424" s="101"/>
      <c r="P1424" s="101"/>
      <c r="Q1424" s="101"/>
      <c r="R1424" s="101"/>
      <c r="S1424" s="101"/>
      <c r="T1424" s="101"/>
      <c r="U1424" s="101"/>
      <c r="V1424" s="101"/>
      <c r="W1424" s="101"/>
      <c r="X1424" s="101"/>
      <c r="Y1424" s="101"/>
      <c r="Z1424" s="101"/>
    </row>
    <row r="1425" ht="15.75" customHeight="1">
      <c r="A1425" s="192"/>
      <c r="B1425" s="233" t="s">
        <v>526</v>
      </c>
      <c r="C1425" s="238" t="s">
        <v>527</v>
      </c>
      <c r="D1425" s="99">
        <v>320.0</v>
      </c>
      <c r="E1425" s="100"/>
      <c r="F1425" s="100"/>
      <c r="G1425" s="100"/>
      <c r="H1425" s="100"/>
      <c r="I1425" s="101"/>
      <c r="J1425" s="101"/>
      <c r="K1425" s="101"/>
      <c r="L1425" s="101"/>
      <c r="M1425" s="101"/>
      <c r="N1425" s="101"/>
      <c r="O1425" s="101"/>
      <c r="P1425" s="101"/>
      <c r="Q1425" s="101"/>
      <c r="R1425" s="101"/>
      <c r="S1425" s="101"/>
      <c r="T1425" s="101"/>
      <c r="U1425" s="101"/>
      <c r="V1425" s="101"/>
      <c r="W1425" s="101"/>
      <c r="X1425" s="101"/>
      <c r="Y1425" s="101"/>
      <c r="Z1425" s="101"/>
    </row>
    <row r="1426" ht="15.75" customHeight="1">
      <c r="A1426" s="192"/>
      <c r="B1426" s="126" t="s">
        <v>508</v>
      </c>
      <c r="C1426" s="239" t="s">
        <v>509</v>
      </c>
      <c r="D1426" s="99">
        <v>247.0</v>
      </c>
      <c r="E1426" s="100"/>
      <c r="F1426" s="100"/>
      <c r="G1426" s="100"/>
      <c r="H1426" s="100"/>
      <c r="I1426" s="101"/>
      <c r="J1426" s="101"/>
      <c r="K1426" s="101"/>
      <c r="L1426" s="101"/>
      <c r="M1426" s="101"/>
      <c r="N1426" s="101"/>
      <c r="O1426" s="101"/>
      <c r="P1426" s="101"/>
      <c r="Q1426" s="101"/>
      <c r="R1426" s="101"/>
      <c r="S1426" s="101"/>
      <c r="T1426" s="101"/>
      <c r="U1426" s="101"/>
      <c r="V1426" s="101"/>
      <c r="W1426" s="101"/>
      <c r="X1426" s="101"/>
      <c r="Y1426" s="101"/>
      <c r="Z1426" s="101"/>
    </row>
    <row r="1427" ht="15.75" customHeight="1">
      <c r="A1427" s="192"/>
      <c r="B1427" s="40" t="s">
        <v>534</v>
      </c>
      <c r="C1427" s="240" t="s">
        <v>535</v>
      </c>
      <c r="D1427" s="99">
        <v>212.0</v>
      </c>
      <c r="E1427" s="100"/>
      <c r="F1427" s="100"/>
      <c r="G1427" s="100"/>
      <c r="H1427" s="100"/>
      <c r="I1427" s="101"/>
      <c r="J1427" s="101"/>
      <c r="K1427" s="101"/>
      <c r="L1427" s="101"/>
      <c r="M1427" s="101"/>
      <c r="N1427" s="101"/>
      <c r="O1427" s="101"/>
      <c r="P1427" s="101"/>
      <c r="Q1427" s="101"/>
      <c r="R1427" s="101"/>
      <c r="S1427" s="101"/>
      <c r="T1427" s="101"/>
      <c r="U1427" s="101"/>
      <c r="V1427" s="101"/>
      <c r="W1427" s="101"/>
      <c r="X1427" s="101"/>
      <c r="Y1427" s="101"/>
      <c r="Z1427" s="101"/>
    </row>
    <row r="1428" ht="15.75" customHeight="1">
      <c r="A1428" s="192"/>
      <c r="B1428" s="72" t="s">
        <v>520</v>
      </c>
      <c r="C1428" s="116" t="s">
        <v>521</v>
      </c>
      <c r="D1428" s="99">
        <v>279.0</v>
      </c>
      <c r="E1428" s="100"/>
      <c r="F1428" s="100"/>
      <c r="G1428" s="100"/>
      <c r="H1428" s="100"/>
      <c r="I1428" s="101"/>
      <c r="J1428" s="101"/>
      <c r="K1428" s="101"/>
      <c r="L1428" s="101"/>
      <c r="M1428" s="101"/>
      <c r="N1428" s="101"/>
      <c r="O1428" s="101"/>
      <c r="P1428" s="101"/>
      <c r="Q1428" s="101"/>
      <c r="R1428" s="101"/>
      <c r="S1428" s="101"/>
      <c r="T1428" s="101"/>
      <c r="U1428" s="101"/>
      <c r="V1428" s="101"/>
      <c r="W1428" s="101"/>
      <c r="X1428" s="101"/>
      <c r="Y1428" s="101"/>
      <c r="Z1428" s="101"/>
    </row>
    <row r="1429" ht="15.75" customHeight="1">
      <c r="A1429" s="192"/>
      <c r="B1429" s="31" t="s">
        <v>536</v>
      </c>
      <c r="C1429" s="31" t="s">
        <v>537</v>
      </c>
      <c r="D1429" s="99">
        <v>148.0</v>
      </c>
      <c r="E1429" s="100"/>
      <c r="F1429" s="100"/>
      <c r="G1429" s="100"/>
      <c r="H1429" s="100"/>
      <c r="I1429" s="101"/>
      <c r="J1429" s="101"/>
      <c r="K1429" s="101"/>
      <c r="L1429" s="101"/>
      <c r="M1429" s="101"/>
      <c r="N1429" s="101"/>
      <c r="O1429" s="101"/>
      <c r="P1429" s="101"/>
      <c r="Q1429" s="101"/>
      <c r="R1429" s="101"/>
      <c r="S1429" s="101"/>
      <c r="T1429" s="101"/>
      <c r="U1429" s="101"/>
      <c r="V1429" s="101"/>
      <c r="W1429" s="101"/>
      <c r="X1429" s="101"/>
      <c r="Y1429" s="101"/>
      <c r="Z1429" s="101"/>
    </row>
    <row r="1430" ht="15.75" customHeight="1">
      <c r="A1430" s="192"/>
      <c r="B1430" s="109"/>
      <c r="C1430" s="236"/>
      <c r="D1430" s="100"/>
      <c r="E1430" s="100"/>
      <c r="F1430" s="100"/>
      <c r="G1430" s="100"/>
      <c r="H1430" s="100"/>
      <c r="I1430" s="101"/>
      <c r="J1430" s="101"/>
      <c r="K1430" s="101"/>
      <c r="L1430" s="101"/>
      <c r="M1430" s="101"/>
      <c r="N1430" s="101"/>
      <c r="O1430" s="101"/>
      <c r="P1430" s="101"/>
      <c r="Q1430" s="101"/>
      <c r="R1430" s="101"/>
      <c r="S1430" s="101"/>
      <c r="T1430" s="101"/>
      <c r="U1430" s="101"/>
      <c r="V1430" s="101"/>
      <c r="W1430" s="101"/>
      <c r="X1430" s="101"/>
      <c r="Y1430" s="101"/>
      <c r="Z1430" s="101"/>
    </row>
    <row r="1431" ht="15.75" customHeight="1">
      <c r="A1431" s="190">
        <v>45817.0</v>
      </c>
      <c r="B1431" s="72" t="s">
        <v>524</v>
      </c>
      <c r="C1431" s="116" t="s">
        <v>525</v>
      </c>
      <c r="D1431" s="99">
        <v>53.0</v>
      </c>
      <c r="E1431" s="100"/>
      <c r="F1431" s="100"/>
      <c r="G1431" s="100"/>
      <c r="H1431" s="100"/>
      <c r="I1431" s="101"/>
      <c r="J1431" s="101"/>
      <c r="K1431" s="101"/>
      <c r="L1431" s="101"/>
      <c r="M1431" s="101"/>
      <c r="N1431" s="101"/>
      <c r="O1431" s="101"/>
      <c r="P1431" s="101"/>
      <c r="Q1431" s="101"/>
      <c r="R1431" s="101"/>
      <c r="S1431" s="101"/>
      <c r="T1431" s="101"/>
      <c r="U1431" s="101"/>
      <c r="V1431" s="101"/>
      <c r="W1431" s="101"/>
      <c r="X1431" s="101"/>
      <c r="Y1431" s="101"/>
      <c r="Z1431" s="101"/>
    </row>
    <row r="1432" ht="15.75" customHeight="1">
      <c r="A1432" s="192"/>
      <c r="B1432" s="72" t="s">
        <v>516</v>
      </c>
      <c r="C1432" s="116" t="s">
        <v>517</v>
      </c>
      <c r="D1432" s="99">
        <v>40.0</v>
      </c>
      <c r="E1432" s="100"/>
      <c r="F1432" s="100"/>
      <c r="G1432" s="100"/>
      <c r="H1432" s="100"/>
      <c r="I1432" s="101"/>
      <c r="J1432" s="101"/>
      <c r="K1432" s="101"/>
      <c r="L1432" s="101"/>
      <c r="M1432" s="101"/>
      <c r="N1432" s="101"/>
      <c r="O1432" s="101"/>
      <c r="P1432" s="101"/>
      <c r="Q1432" s="101"/>
      <c r="R1432" s="101"/>
      <c r="S1432" s="101"/>
      <c r="T1432" s="101"/>
      <c r="U1432" s="101"/>
      <c r="V1432" s="101"/>
      <c r="W1432" s="101"/>
      <c r="X1432" s="101"/>
      <c r="Y1432" s="101"/>
      <c r="Z1432" s="101"/>
    </row>
    <row r="1433" ht="15.75" customHeight="1">
      <c r="A1433" s="192"/>
      <c r="B1433" s="72" t="s">
        <v>494</v>
      </c>
      <c r="C1433" s="116" t="s">
        <v>495</v>
      </c>
      <c r="D1433" s="99">
        <f>321+320</f>
        <v>641</v>
      </c>
      <c r="E1433" s="100"/>
      <c r="F1433" s="100"/>
      <c r="G1433" s="100"/>
      <c r="H1433" s="100"/>
      <c r="I1433" s="101"/>
      <c r="J1433" s="101"/>
      <c r="K1433" s="101"/>
      <c r="L1433" s="101"/>
      <c r="M1433" s="101"/>
      <c r="N1433" s="101"/>
      <c r="O1433" s="101"/>
      <c r="P1433" s="101"/>
      <c r="Q1433" s="101"/>
      <c r="R1433" s="101"/>
      <c r="S1433" s="101"/>
      <c r="T1433" s="101"/>
      <c r="U1433" s="101"/>
      <c r="V1433" s="101"/>
      <c r="W1433" s="101"/>
      <c r="X1433" s="101"/>
      <c r="Y1433" s="101"/>
      <c r="Z1433" s="101"/>
    </row>
    <row r="1434" ht="15.75" customHeight="1">
      <c r="A1434" s="192"/>
      <c r="B1434" s="72" t="s">
        <v>460</v>
      </c>
      <c r="C1434" s="116" t="s">
        <v>461</v>
      </c>
      <c r="D1434" s="99">
        <v>302.0</v>
      </c>
      <c r="E1434" s="100"/>
      <c r="F1434" s="100"/>
      <c r="G1434" s="100"/>
      <c r="H1434" s="100"/>
      <c r="I1434" s="101"/>
      <c r="J1434" s="101"/>
      <c r="K1434" s="101"/>
      <c r="L1434" s="101"/>
      <c r="M1434" s="101"/>
      <c r="N1434" s="101"/>
      <c r="O1434" s="101"/>
      <c r="P1434" s="101"/>
      <c r="Q1434" s="101"/>
      <c r="R1434" s="101"/>
      <c r="S1434" s="101"/>
      <c r="T1434" s="101"/>
      <c r="U1434" s="101"/>
      <c r="V1434" s="101"/>
      <c r="W1434" s="101"/>
      <c r="X1434" s="101"/>
      <c r="Y1434" s="101"/>
      <c r="Z1434" s="101"/>
    </row>
    <row r="1435" ht="15.75" customHeight="1">
      <c r="A1435" s="192"/>
      <c r="B1435" s="31" t="s">
        <v>498</v>
      </c>
      <c r="C1435" s="31" t="s">
        <v>499</v>
      </c>
      <c r="D1435" s="99">
        <f>301+155</f>
        <v>456</v>
      </c>
      <c r="E1435" s="100"/>
      <c r="F1435" s="100"/>
      <c r="G1435" s="100"/>
      <c r="H1435" s="100"/>
      <c r="I1435" s="101"/>
      <c r="J1435" s="101"/>
      <c r="K1435" s="101"/>
      <c r="L1435" s="101"/>
      <c r="M1435" s="101"/>
      <c r="N1435" s="101"/>
      <c r="O1435" s="101"/>
      <c r="P1435" s="101"/>
      <c r="Q1435" s="101"/>
      <c r="R1435" s="101"/>
      <c r="S1435" s="101"/>
      <c r="T1435" s="101"/>
      <c r="U1435" s="101"/>
      <c r="V1435" s="101"/>
      <c r="W1435" s="101"/>
      <c r="X1435" s="101"/>
      <c r="Y1435" s="101"/>
      <c r="Z1435" s="101"/>
    </row>
    <row r="1436" ht="15.75" customHeight="1">
      <c r="A1436" s="192"/>
      <c r="B1436" s="72" t="s">
        <v>596</v>
      </c>
      <c r="C1436" s="116" t="s">
        <v>597</v>
      </c>
      <c r="D1436" s="99">
        <v>309.0</v>
      </c>
      <c r="E1436" s="100"/>
      <c r="F1436" s="100"/>
      <c r="G1436" s="100"/>
      <c r="H1436" s="100"/>
      <c r="I1436" s="101"/>
      <c r="J1436" s="101"/>
      <c r="K1436" s="101"/>
      <c r="L1436" s="101"/>
      <c r="M1436" s="101"/>
      <c r="N1436" s="101"/>
      <c r="O1436" s="101"/>
      <c r="P1436" s="101"/>
      <c r="Q1436" s="101"/>
      <c r="R1436" s="101"/>
      <c r="S1436" s="101"/>
      <c r="T1436" s="101"/>
      <c r="U1436" s="101"/>
      <c r="V1436" s="101"/>
      <c r="W1436" s="101"/>
      <c r="X1436" s="101"/>
      <c r="Y1436" s="101"/>
      <c r="Z1436" s="101"/>
    </row>
    <row r="1437" ht="15.75" customHeight="1">
      <c r="A1437" s="192"/>
      <c r="B1437" s="76" t="s">
        <v>514</v>
      </c>
      <c r="C1437" s="77" t="s">
        <v>515</v>
      </c>
      <c r="D1437" s="99">
        <v>273.0</v>
      </c>
      <c r="E1437" s="100"/>
      <c r="F1437" s="100"/>
      <c r="G1437" s="100"/>
      <c r="H1437" s="100"/>
      <c r="I1437" s="101"/>
      <c r="J1437" s="101"/>
      <c r="K1437" s="101"/>
      <c r="L1437" s="101"/>
      <c r="M1437" s="101"/>
      <c r="N1437" s="101"/>
      <c r="O1437" s="101"/>
      <c r="P1437" s="101"/>
      <c r="Q1437" s="101"/>
      <c r="R1437" s="101"/>
      <c r="S1437" s="101"/>
      <c r="T1437" s="101"/>
      <c r="U1437" s="101"/>
      <c r="V1437" s="101"/>
      <c r="W1437" s="101"/>
      <c r="X1437" s="101"/>
      <c r="Y1437" s="101"/>
      <c r="Z1437" s="101"/>
    </row>
    <row r="1438" ht="15.75" customHeight="1">
      <c r="A1438" s="192"/>
      <c r="B1438" s="76" t="s">
        <v>538</v>
      </c>
      <c r="C1438" s="77" t="s">
        <v>539</v>
      </c>
      <c r="D1438" s="99">
        <v>153.0</v>
      </c>
      <c r="E1438" s="100"/>
      <c r="F1438" s="100"/>
      <c r="G1438" s="100"/>
      <c r="H1438" s="100"/>
      <c r="I1438" s="101"/>
      <c r="J1438" s="101"/>
      <c r="K1438" s="101"/>
      <c r="L1438" s="101"/>
      <c r="M1438" s="101"/>
      <c r="N1438" s="101"/>
      <c r="O1438" s="101"/>
      <c r="P1438" s="101"/>
      <c r="Q1438" s="101"/>
      <c r="R1438" s="101"/>
      <c r="S1438" s="101"/>
      <c r="T1438" s="101"/>
      <c r="U1438" s="101"/>
      <c r="V1438" s="101"/>
      <c r="W1438" s="101"/>
      <c r="X1438" s="101"/>
      <c r="Y1438" s="101"/>
      <c r="Z1438" s="101"/>
    </row>
    <row r="1439" ht="15.75" customHeight="1">
      <c r="A1439" s="192"/>
      <c r="B1439" s="72" t="s">
        <v>448</v>
      </c>
      <c r="C1439" s="116" t="s">
        <v>449</v>
      </c>
      <c r="D1439" s="99">
        <f>188+409</f>
        <v>597</v>
      </c>
      <c r="E1439" s="100"/>
      <c r="F1439" s="100"/>
      <c r="G1439" s="100"/>
      <c r="H1439" s="100"/>
      <c r="I1439" s="101"/>
      <c r="J1439" s="101"/>
      <c r="K1439" s="101"/>
      <c r="L1439" s="101"/>
      <c r="M1439" s="101"/>
      <c r="N1439" s="101"/>
      <c r="O1439" s="101"/>
      <c r="P1439" s="101"/>
      <c r="Q1439" s="101"/>
      <c r="R1439" s="101"/>
      <c r="S1439" s="101"/>
      <c r="T1439" s="101"/>
      <c r="U1439" s="101"/>
      <c r="V1439" s="101"/>
      <c r="W1439" s="101"/>
      <c r="X1439" s="101"/>
      <c r="Y1439" s="101"/>
      <c r="Z1439" s="101"/>
    </row>
    <row r="1440" ht="15.75" customHeight="1">
      <c r="A1440" s="192"/>
      <c r="B1440" s="72" t="s">
        <v>693</v>
      </c>
      <c r="C1440" s="116" t="s">
        <v>694</v>
      </c>
      <c r="D1440" s="99">
        <v>207.0</v>
      </c>
      <c r="E1440" s="100"/>
      <c r="F1440" s="100"/>
      <c r="G1440" s="100"/>
      <c r="H1440" s="100"/>
      <c r="I1440" s="101"/>
      <c r="J1440" s="101"/>
      <c r="K1440" s="101"/>
      <c r="L1440" s="101"/>
      <c r="M1440" s="101"/>
      <c r="N1440" s="101"/>
      <c r="O1440" s="101"/>
      <c r="P1440" s="101"/>
      <c r="Q1440" s="101"/>
      <c r="R1440" s="101"/>
      <c r="S1440" s="101"/>
      <c r="T1440" s="101"/>
      <c r="U1440" s="101"/>
      <c r="V1440" s="101"/>
      <c r="W1440" s="101"/>
      <c r="X1440" s="101"/>
      <c r="Y1440" s="101"/>
      <c r="Z1440" s="101"/>
    </row>
    <row r="1441" ht="15.75" customHeight="1">
      <c r="A1441" s="192"/>
      <c r="B1441" s="72" t="s">
        <v>532</v>
      </c>
      <c r="C1441" s="148" t="s">
        <v>533</v>
      </c>
      <c r="D1441" s="99">
        <v>160.0</v>
      </c>
      <c r="E1441" s="100"/>
      <c r="F1441" s="100"/>
      <c r="G1441" s="100"/>
      <c r="H1441" s="100"/>
      <c r="I1441" s="101"/>
      <c r="J1441" s="101"/>
      <c r="K1441" s="101"/>
      <c r="L1441" s="101"/>
      <c r="M1441" s="101"/>
      <c r="N1441" s="101"/>
      <c r="O1441" s="101"/>
      <c r="P1441" s="101"/>
      <c r="Q1441" s="101"/>
      <c r="R1441" s="101"/>
      <c r="S1441" s="101"/>
      <c r="T1441" s="101"/>
      <c r="U1441" s="101"/>
      <c r="V1441" s="101"/>
      <c r="W1441" s="101"/>
      <c r="X1441" s="101"/>
      <c r="Y1441" s="101"/>
      <c r="Z1441" s="101"/>
    </row>
    <row r="1442" ht="15.75" customHeight="1">
      <c r="A1442" s="192"/>
      <c r="B1442" s="72" t="s">
        <v>442</v>
      </c>
      <c r="C1442" s="116" t="s">
        <v>443</v>
      </c>
      <c r="D1442" s="99">
        <v>110.0</v>
      </c>
      <c r="E1442" s="100"/>
      <c r="F1442" s="100"/>
      <c r="G1442" s="100"/>
      <c r="H1442" s="100"/>
      <c r="I1442" s="101"/>
      <c r="J1442" s="101"/>
      <c r="K1442" s="101"/>
      <c r="L1442" s="101"/>
      <c r="M1442" s="101"/>
      <c r="N1442" s="101"/>
      <c r="O1442" s="101"/>
      <c r="P1442" s="101"/>
      <c r="Q1442" s="101"/>
      <c r="R1442" s="101"/>
      <c r="S1442" s="101"/>
      <c r="T1442" s="101"/>
      <c r="U1442" s="101"/>
      <c r="V1442" s="101"/>
      <c r="W1442" s="101"/>
      <c r="X1442" s="101"/>
      <c r="Y1442" s="101"/>
      <c r="Z1442" s="101"/>
    </row>
    <row r="1443" ht="15.75" customHeight="1">
      <c r="A1443" s="192"/>
      <c r="B1443" s="125" t="s">
        <v>446</v>
      </c>
      <c r="C1443" s="125" t="s">
        <v>447</v>
      </c>
      <c r="D1443" s="100">
        <f>166+32+253+27</f>
        <v>478</v>
      </c>
      <c r="E1443" s="100"/>
      <c r="F1443" s="100"/>
      <c r="G1443" s="100"/>
      <c r="H1443" s="100"/>
      <c r="I1443" s="101"/>
      <c r="J1443" s="101"/>
      <c r="K1443" s="101"/>
      <c r="L1443" s="101"/>
      <c r="M1443" s="101"/>
      <c r="N1443" s="101"/>
      <c r="O1443" s="101"/>
      <c r="P1443" s="101"/>
      <c r="Q1443" s="101"/>
      <c r="R1443" s="101"/>
      <c r="S1443" s="101"/>
      <c r="T1443" s="101"/>
      <c r="U1443" s="101"/>
      <c r="V1443" s="101"/>
      <c r="W1443" s="101"/>
      <c r="X1443" s="101"/>
      <c r="Y1443" s="101"/>
      <c r="Z1443" s="101"/>
    </row>
    <row r="1444" ht="15.75" customHeight="1">
      <c r="A1444" s="192"/>
      <c r="B1444" s="125" t="s">
        <v>490</v>
      </c>
      <c r="C1444" s="125" t="s">
        <v>491</v>
      </c>
      <c r="D1444" s="99">
        <f>200+193</f>
        <v>393</v>
      </c>
      <c r="E1444" s="100"/>
      <c r="F1444" s="100"/>
      <c r="G1444" s="100"/>
      <c r="H1444" s="100"/>
      <c r="I1444" s="101"/>
      <c r="J1444" s="101"/>
      <c r="K1444" s="101"/>
      <c r="L1444" s="101"/>
      <c r="M1444" s="101"/>
      <c r="N1444" s="101"/>
      <c r="O1444" s="101"/>
      <c r="P1444" s="101"/>
      <c r="Q1444" s="101"/>
      <c r="R1444" s="101"/>
      <c r="S1444" s="101"/>
      <c r="T1444" s="101"/>
      <c r="U1444" s="101"/>
      <c r="V1444" s="101"/>
      <c r="W1444" s="101"/>
      <c r="X1444" s="101"/>
      <c r="Y1444" s="101"/>
      <c r="Z1444" s="101"/>
    </row>
    <row r="1445" ht="15.75" customHeight="1">
      <c r="A1445" s="192"/>
      <c r="B1445" s="31" t="s">
        <v>496</v>
      </c>
      <c r="C1445" s="31" t="s">
        <v>497</v>
      </c>
      <c r="D1445" s="99">
        <v>190.0</v>
      </c>
      <c r="E1445" s="100"/>
      <c r="F1445" s="100"/>
      <c r="G1445" s="100"/>
      <c r="H1445" s="100"/>
      <c r="I1445" s="101"/>
      <c r="J1445" s="101"/>
      <c r="K1445" s="101"/>
      <c r="L1445" s="101"/>
      <c r="M1445" s="101"/>
      <c r="N1445" s="101"/>
      <c r="O1445" s="101"/>
      <c r="P1445" s="101"/>
      <c r="Q1445" s="101"/>
      <c r="R1445" s="101"/>
      <c r="S1445" s="101"/>
      <c r="T1445" s="101"/>
      <c r="U1445" s="101"/>
      <c r="V1445" s="101"/>
      <c r="W1445" s="101"/>
      <c r="X1445" s="101"/>
      <c r="Y1445" s="101"/>
      <c r="Z1445" s="101"/>
    </row>
    <row r="1446" ht="15.75" customHeight="1">
      <c r="A1446" s="192"/>
      <c r="B1446" s="76" t="s">
        <v>540</v>
      </c>
      <c r="C1446" s="77" t="s">
        <v>541</v>
      </c>
      <c r="D1446" s="99">
        <v>165.0</v>
      </c>
      <c r="E1446" s="100"/>
      <c r="F1446" s="100"/>
      <c r="G1446" s="100"/>
      <c r="H1446" s="100"/>
      <c r="I1446" s="101"/>
      <c r="J1446" s="101"/>
      <c r="K1446" s="101"/>
      <c r="L1446" s="101"/>
      <c r="M1446" s="101"/>
      <c r="N1446" s="101"/>
      <c r="O1446" s="101"/>
      <c r="P1446" s="101"/>
      <c r="Q1446" s="101"/>
      <c r="R1446" s="101"/>
      <c r="S1446" s="101"/>
      <c r="T1446" s="101"/>
      <c r="U1446" s="101"/>
      <c r="V1446" s="101"/>
      <c r="W1446" s="101"/>
      <c r="X1446" s="101"/>
      <c r="Y1446" s="101"/>
      <c r="Z1446" s="101"/>
    </row>
    <row r="1447" ht="15.75" customHeight="1">
      <c r="A1447" s="192"/>
      <c r="B1447" s="76" t="s">
        <v>514</v>
      </c>
      <c r="C1447" s="77" t="s">
        <v>515</v>
      </c>
      <c r="D1447" s="99">
        <v>94.0</v>
      </c>
      <c r="E1447" s="100"/>
      <c r="F1447" s="100"/>
      <c r="G1447" s="100"/>
      <c r="H1447" s="100"/>
      <c r="I1447" s="101"/>
      <c r="J1447" s="101"/>
      <c r="K1447" s="101"/>
      <c r="L1447" s="101"/>
      <c r="M1447" s="101"/>
      <c r="N1447" s="101"/>
      <c r="O1447" s="101"/>
      <c r="P1447" s="101"/>
      <c r="Q1447" s="101"/>
      <c r="R1447" s="101"/>
      <c r="S1447" s="101"/>
      <c r="T1447" s="101"/>
      <c r="U1447" s="101"/>
      <c r="V1447" s="101"/>
      <c r="W1447" s="101"/>
      <c r="X1447" s="101"/>
      <c r="Y1447" s="101"/>
      <c r="Z1447" s="101"/>
    </row>
    <row r="1448" ht="15.75" customHeight="1">
      <c r="A1448" s="192"/>
      <c r="B1448" s="72" t="s">
        <v>516</v>
      </c>
      <c r="C1448" s="116" t="s">
        <v>517</v>
      </c>
      <c r="D1448" s="99">
        <v>107.0</v>
      </c>
      <c r="E1448" s="100"/>
      <c r="F1448" s="100"/>
      <c r="G1448" s="100"/>
      <c r="H1448" s="100"/>
      <c r="I1448" s="101"/>
      <c r="J1448" s="101"/>
      <c r="K1448" s="101"/>
      <c r="L1448" s="101"/>
      <c r="M1448" s="101"/>
      <c r="N1448" s="101"/>
      <c r="O1448" s="101"/>
      <c r="P1448" s="101"/>
      <c r="Q1448" s="101"/>
      <c r="R1448" s="101"/>
      <c r="S1448" s="101"/>
      <c r="T1448" s="101"/>
      <c r="U1448" s="101"/>
      <c r="V1448" s="101"/>
      <c r="W1448" s="101"/>
      <c r="X1448" s="101"/>
      <c r="Y1448" s="101"/>
      <c r="Z1448" s="101"/>
    </row>
    <row r="1449" ht="15.75" customHeight="1">
      <c r="A1449" s="192"/>
      <c r="B1449" s="72" t="s">
        <v>442</v>
      </c>
      <c r="C1449" s="116" t="s">
        <v>443</v>
      </c>
      <c r="D1449" s="99">
        <v>635.0</v>
      </c>
      <c r="E1449" s="100"/>
      <c r="F1449" s="100"/>
      <c r="G1449" s="100"/>
      <c r="H1449" s="100"/>
      <c r="I1449" s="101"/>
      <c r="J1449" s="101"/>
      <c r="K1449" s="101"/>
      <c r="L1449" s="101"/>
      <c r="M1449" s="101"/>
      <c r="N1449" s="101"/>
      <c r="O1449" s="101"/>
      <c r="P1449" s="101"/>
      <c r="Q1449" s="101"/>
      <c r="R1449" s="101"/>
      <c r="S1449" s="101"/>
      <c r="T1449" s="101"/>
      <c r="U1449" s="101"/>
      <c r="V1449" s="101"/>
      <c r="W1449" s="101"/>
      <c r="X1449" s="101"/>
      <c r="Y1449" s="101"/>
      <c r="Z1449" s="101"/>
    </row>
    <row r="1450" ht="15.75" customHeight="1">
      <c r="A1450" s="192"/>
      <c r="B1450" s="109"/>
      <c r="C1450" s="236"/>
      <c r="D1450" s="100"/>
      <c r="E1450" s="100"/>
      <c r="F1450" s="100"/>
      <c r="G1450" s="100"/>
      <c r="H1450" s="100"/>
      <c r="I1450" s="101"/>
      <c r="J1450" s="101"/>
      <c r="K1450" s="101"/>
      <c r="L1450" s="101"/>
      <c r="M1450" s="101"/>
      <c r="N1450" s="101"/>
      <c r="O1450" s="101"/>
      <c r="P1450" s="101"/>
      <c r="Q1450" s="101"/>
      <c r="R1450" s="101"/>
      <c r="S1450" s="101"/>
      <c r="T1450" s="101"/>
      <c r="U1450" s="101"/>
      <c r="V1450" s="101"/>
      <c r="W1450" s="101"/>
      <c r="X1450" s="101"/>
      <c r="Y1450" s="101"/>
      <c r="Z1450" s="101"/>
    </row>
    <row r="1451" ht="15.75" customHeight="1">
      <c r="A1451" s="190">
        <v>45818.0</v>
      </c>
      <c r="B1451" s="124" t="s">
        <v>526</v>
      </c>
      <c r="C1451" s="153" t="s">
        <v>527</v>
      </c>
      <c r="D1451" s="99">
        <v>211.0</v>
      </c>
      <c r="E1451" s="100"/>
      <c r="F1451" s="100"/>
      <c r="G1451" s="100"/>
      <c r="H1451" s="100"/>
      <c r="I1451" s="101"/>
      <c r="J1451" s="101"/>
      <c r="K1451" s="101"/>
      <c r="L1451" s="101"/>
      <c r="M1451" s="101"/>
      <c r="N1451" s="101"/>
      <c r="O1451" s="101"/>
      <c r="P1451" s="101"/>
      <c r="Q1451" s="101"/>
      <c r="R1451" s="101"/>
      <c r="S1451" s="101"/>
      <c r="T1451" s="101"/>
      <c r="U1451" s="101"/>
      <c r="V1451" s="101"/>
      <c r="W1451" s="101"/>
      <c r="X1451" s="101"/>
      <c r="Y1451" s="101"/>
      <c r="Z1451" s="101"/>
    </row>
    <row r="1452" ht="15.75" customHeight="1">
      <c r="A1452" s="192"/>
      <c r="B1452" s="124" t="s">
        <v>448</v>
      </c>
      <c r="C1452" s="154" t="s">
        <v>449</v>
      </c>
      <c r="D1452" s="99">
        <f>711+269+421</f>
        <v>1401</v>
      </c>
      <c r="E1452" s="100"/>
      <c r="F1452" s="100"/>
      <c r="G1452" s="100"/>
      <c r="H1452" s="100"/>
      <c r="I1452" s="101"/>
      <c r="J1452" s="101"/>
      <c r="K1452" s="101"/>
      <c r="L1452" s="101"/>
      <c r="M1452" s="101"/>
      <c r="N1452" s="101"/>
      <c r="O1452" s="101"/>
      <c r="P1452" s="101"/>
      <c r="Q1452" s="101"/>
      <c r="R1452" s="101"/>
      <c r="S1452" s="101"/>
      <c r="T1452" s="101"/>
      <c r="U1452" s="101"/>
      <c r="V1452" s="101"/>
      <c r="W1452" s="101"/>
      <c r="X1452" s="101"/>
      <c r="Y1452" s="101"/>
      <c r="Z1452" s="101"/>
    </row>
    <row r="1453" ht="15.75" customHeight="1">
      <c r="A1453" s="192"/>
      <c r="B1453" s="31" t="s">
        <v>480</v>
      </c>
      <c r="C1453" s="31" t="s">
        <v>481</v>
      </c>
      <c r="D1453" s="99">
        <v>106.0</v>
      </c>
      <c r="E1453" s="100"/>
      <c r="F1453" s="100"/>
      <c r="G1453" s="100"/>
      <c r="H1453" s="100"/>
      <c r="I1453" s="101"/>
      <c r="J1453" s="101"/>
      <c r="K1453" s="101"/>
      <c r="L1453" s="101"/>
      <c r="M1453" s="101"/>
      <c r="N1453" s="101"/>
      <c r="O1453" s="101"/>
      <c r="P1453" s="101"/>
      <c r="Q1453" s="101"/>
      <c r="R1453" s="101"/>
      <c r="S1453" s="101"/>
      <c r="T1453" s="101"/>
      <c r="U1453" s="101"/>
      <c r="V1453" s="101"/>
      <c r="W1453" s="101"/>
      <c r="X1453" s="101"/>
      <c r="Y1453" s="101"/>
      <c r="Z1453" s="101"/>
    </row>
    <row r="1454" ht="15.75" customHeight="1">
      <c r="A1454" s="192"/>
      <c r="B1454" s="31" t="s">
        <v>498</v>
      </c>
      <c r="C1454" s="31" t="s">
        <v>499</v>
      </c>
      <c r="D1454" s="99">
        <f>256+51</f>
        <v>307</v>
      </c>
      <c r="E1454" s="100"/>
      <c r="F1454" s="100"/>
      <c r="G1454" s="100"/>
      <c r="H1454" s="100"/>
      <c r="I1454" s="101"/>
      <c r="J1454" s="101"/>
      <c r="K1454" s="101"/>
      <c r="L1454" s="101"/>
      <c r="M1454" s="101"/>
      <c r="N1454" s="101"/>
      <c r="O1454" s="101"/>
      <c r="P1454" s="101"/>
      <c r="Q1454" s="101"/>
      <c r="R1454" s="101"/>
      <c r="S1454" s="101"/>
      <c r="T1454" s="101"/>
      <c r="U1454" s="101"/>
      <c r="V1454" s="101"/>
      <c r="W1454" s="101"/>
      <c r="X1454" s="101"/>
      <c r="Y1454" s="101"/>
      <c r="Z1454" s="101"/>
    </row>
    <row r="1455" ht="15.75" customHeight="1">
      <c r="A1455" s="192"/>
      <c r="B1455" s="31" t="s">
        <v>496</v>
      </c>
      <c r="C1455" s="31" t="s">
        <v>497</v>
      </c>
      <c r="D1455" s="99">
        <f>189+430</f>
        <v>619</v>
      </c>
      <c r="E1455" s="100"/>
      <c r="F1455" s="100"/>
      <c r="G1455" s="100"/>
      <c r="H1455" s="100"/>
      <c r="I1455" s="101"/>
      <c r="J1455" s="101"/>
      <c r="K1455" s="101"/>
      <c r="L1455" s="101"/>
      <c r="M1455" s="101"/>
      <c r="N1455" s="101"/>
      <c r="O1455" s="101"/>
      <c r="P1455" s="101"/>
      <c r="Q1455" s="101"/>
      <c r="R1455" s="101"/>
      <c r="S1455" s="101"/>
      <c r="T1455" s="101"/>
      <c r="U1455" s="101"/>
      <c r="V1455" s="101"/>
      <c r="W1455" s="101"/>
      <c r="X1455" s="101"/>
      <c r="Y1455" s="101"/>
      <c r="Z1455" s="101"/>
    </row>
    <row r="1456" ht="15.75" customHeight="1">
      <c r="A1456" s="192"/>
      <c r="B1456" s="72" t="s">
        <v>540</v>
      </c>
      <c r="C1456" s="116" t="s">
        <v>541</v>
      </c>
      <c r="D1456" s="99">
        <f>175+170</f>
        <v>345</v>
      </c>
      <c r="E1456" s="100"/>
      <c r="F1456" s="100"/>
      <c r="G1456" s="100"/>
      <c r="H1456" s="100"/>
      <c r="I1456" s="101"/>
      <c r="J1456" s="101"/>
      <c r="K1456" s="101"/>
      <c r="L1456" s="101"/>
      <c r="M1456" s="101"/>
      <c r="N1456" s="101"/>
      <c r="O1456" s="101"/>
      <c r="P1456" s="101"/>
      <c r="Q1456" s="101"/>
      <c r="R1456" s="101"/>
      <c r="S1456" s="101"/>
      <c r="T1456" s="101"/>
      <c r="U1456" s="101"/>
      <c r="V1456" s="101"/>
      <c r="W1456" s="101"/>
      <c r="X1456" s="101"/>
      <c r="Y1456" s="101"/>
      <c r="Z1456" s="101"/>
    </row>
    <row r="1457" ht="15.75" customHeight="1">
      <c r="A1457" s="192"/>
      <c r="B1457" s="124" t="s">
        <v>546</v>
      </c>
      <c r="C1457" s="116" t="s">
        <v>547</v>
      </c>
      <c r="D1457" s="99">
        <v>53.0</v>
      </c>
      <c r="E1457" s="100"/>
      <c r="F1457" s="100"/>
      <c r="G1457" s="100"/>
      <c r="H1457" s="100"/>
      <c r="I1457" s="101"/>
      <c r="J1457" s="101"/>
      <c r="K1457" s="101"/>
      <c r="L1457" s="101"/>
      <c r="M1457" s="101"/>
      <c r="N1457" s="101"/>
      <c r="O1457" s="101"/>
      <c r="P1457" s="101"/>
      <c r="Q1457" s="101"/>
      <c r="R1457" s="101"/>
      <c r="S1457" s="101"/>
      <c r="T1457" s="101"/>
      <c r="U1457" s="101"/>
      <c r="V1457" s="101"/>
      <c r="W1457" s="101"/>
      <c r="X1457" s="101"/>
      <c r="Y1457" s="101"/>
      <c r="Z1457" s="101"/>
    </row>
    <row r="1458" ht="15.75" customHeight="1">
      <c r="A1458" s="192"/>
      <c r="B1458" s="76" t="s">
        <v>506</v>
      </c>
      <c r="C1458" s="235" t="s">
        <v>507</v>
      </c>
      <c r="D1458" s="99">
        <v>159.0</v>
      </c>
      <c r="E1458" s="100"/>
      <c r="F1458" s="100"/>
      <c r="G1458" s="100"/>
      <c r="H1458" s="100"/>
      <c r="I1458" s="101"/>
      <c r="J1458" s="101"/>
      <c r="K1458" s="101"/>
      <c r="L1458" s="101"/>
      <c r="M1458" s="101"/>
      <c r="N1458" s="101"/>
      <c r="O1458" s="101"/>
      <c r="P1458" s="101"/>
      <c r="Q1458" s="101"/>
      <c r="R1458" s="101"/>
      <c r="S1458" s="101"/>
      <c r="T1458" s="101"/>
      <c r="U1458" s="101"/>
      <c r="V1458" s="101"/>
      <c r="W1458" s="101"/>
      <c r="X1458" s="101"/>
      <c r="Y1458" s="101"/>
      <c r="Z1458" s="101"/>
    </row>
    <row r="1459" ht="15.75" customHeight="1">
      <c r="A1459" s="192"/>
      <c r="B1459" s="76" t="s">
        <v>548</v>
      </c>
      <c r="C1459" s="235" t="s">
        <v>549</v>
      </c>
      <c r="D1459" s="99">
        <v>256.0</v>
      </c>
      <c r="E1459" s="100"/>
      <c r="F1459" s="100"/>
      <c r="G1459" s="100"/>
      <c r="H1459" s="100"/>
      <c r="I1459" s="101"/>
      <c r="J1459" s="101"/>
      <c r="K1459" s="101"/>
      <c r="L1459" s="101"/>
      <c r="M1459" s="101"/>
      <c r="N1459" s="101"/>
      <c r="O1459" s="101"/>
      <c r="P1459" s="101"/>
      <c r="Q1459" s="101"/>
      <c r="R1459" s="101"/>
      <c r="S1459" s="101"/>
      <c r="T1459" s="101"/>
      <c r="U1459" s="101"/>
      <c r="V1459" s="101"/>
      <c r="W1459" s="101"/>
      <c r="X1459" s="101"/>
      <c r="Y1459" s="101"/>
      <c r="Z1459" s="101"/>
    </row>
    <row r="1460" ht="15.75" customHeight="1">
      <c r="A1460" s="192"/>
      <c r="B1460" s="72" t="s">
        <v>442</v>
      </c>
      <c r="C1460" s="116" t="s">
        <v>443</v>
      </c>
      <c r="D1460" s="99">
        <v>196.0</v>
      </c>
      <c r="E1460" s="100"/>
      <c r="F1460" s="100"/>
      <c r="G1460" s="100"/>
      <c r="H1460" s="100"/>
      <c r="I1460" s="101"/>
      <c r="J1460" s="101"/>
      <c r="K1460" s="101"/>
      <c r="L1460" s="101"/>
      <c r="M1460" s="101"/>
      <c r="N1460" s="101"/>
      <c r="O1460" s="101"/>
      <c r="P1460" s="101"/>
      <c r="Q1460" s="101"/>
      <c r="R1460" s="101"/>
      <c r="S1460" s="101"/>
      <c r="T1460" s="101"/>
      <c r="U1460" s="101"/>
      <c r="V1460" s="101"/>
      <c r="W1460" s="101"/>
      <c r="X1460" s="101"/>
      <c r="Y1460" s="101"/>
      <c r="Z1460" s="101"/>
    </row>
    <row r="1461" ht="15.75" customHeight="1">
      <c r="A1461" s="192"/>
      <c r="B1461" s="31" t="s">
        <v>462</v>
      </c>
      <c r="C1461" s="31" t="s">
        <v>463</v>
      </c>
      <c r="D1461" s="99">
        <v>285.0</v>
      </c>
      <c r="E1461" s="100"/>
      <c r="F1461" s="100"/>
      <c r="G1461" s="100"/>
      <c r="H1461" s="100"/>
      <c r="I1461" s="101"/>
      <c r="J1461" s="101"/>
      <c r="K1461" s="101"/>
      <c r="L1461" s="101"/>
      <c r="M1461" s="101"/>
      <c r="N1461" s="101"/>
      <c r="O1461" s="101"/>
      <c r="P1461" s="101"/>
      <c r="Q1461" s="101"/>
      <c r="R1461" s="101"/>
      <c r="S1461" s="101"/>
      <c r="T1461" s="101"/>
      <c r="U1461" s="101"/>
      <c r="V1461" s="101"/>
      <c r="W1461" s="101"/>
      <c r="X1461" s="101"/>
      <c r="Y1461" s="101"/>
      <c r="Z1461" s="101"/>
    </row>
    <row r="1462" ht="15.75" customHeight="1">
      <c r="A1462" s="192"/>
      <c r="B1462" s="72" t="s">
        <v>695</v>
      </c>
      <c r="C1462" s="116" t="s">
        <v>696</v>
      </c>
      <c r="D1462" s="99">
        <f>96+161</f>
        <v>257</v>
      </c>
      <c r="E1462" s="100"/>
      <c r="F1462" s="100"/>
      <c r="G1462" s="100"/>
      <c r="H1462" s="100"/>
      <c r="I1462" s="101"/>
      <c r="J1462" s="101"/>
      <c r="K1462" s="101"/>
      <c r="L1462" s="101"/>
      <c r="M1462" s="101"/>
      <c r="N1462" s="101"/>
      <c r="O1462" s="101"/>
      <c r="P1462" s="101"/>
      <c r="Q1462" s="101"/>
      <c r="R1462" s="101"/>
      <c r="S1462" s="101"/>
      <c r="T1462" s="101"/>
      <c r="U1462" s="101"/>
      <c r="V1462" s="101"/>
      <c r="W1462" s="101"/>
      <c r="X1462" s="101"/>
      <c r="Y1462" s="101"/>
      <c r="Z1462" s="101"/>
    </row>
    <row r="1463" ht="15.75" customHeight="1">
      <c r="A1463" s="192"/>
      <c r="B1463" s="125" t="s">
        <v>446</v>
      </c>
      <c r="C1463" s="125" t="s">
        <v>447</v>
      </c>
      <c r="D1463" s="99">
        <f>246+234</f>
        <v>480</v>
      </c>
      <c r="E1463" s="100"/>
      <c r="F1463" s="100"/>
      <c r="G1463" s="100"/>
      <c r="H1463" s="100"/>
      <c r="I1463" s="101"/>
      <c r="J1463" s="101"/>
      <c r="K1463" s="101"/>
      <c r="L1463" s="101"/>
      <c r="M1463" s="101"/>
      <c r="N1463" s="101"/>
      <c r="O1463" s="101"/>
      <c r="P1463" s="101"/>
      <c r="Q1463" s="101"/>
      <c r="R1463" s="101"/>
      <c r="S1463" s="101"/>
      <c r="T1463" s="101"/>
      <c r="U1463" s="101"/>
      <c r="V1463" s="101"/>
      <c r="W1463" s="101"/>
      <c r="X1463" s="101"/>
      <c r="Y1463" s="101"/>
      <c r="Z1463" s="101"/>
    </row>
    <row r="1464" ht="15.75" customHeight="1">
      <c r="A1464" s="192"/>
      <c r="B1464" s="125" t="s">
        <v>490</v>
      </c>
      <c r="C1464" s="125" t="s">
        <v>491</v>
      </c>
      <c r="D1464" s="99">
        <f>167+149</f>
        <v>316</v>
      </c>
      <c r="E1464" s="100"/>
      <c r="F1464" s="100"/>
      <c r="G1464" s="100"/>
      <c r="H1464" s="100"/>
      <c r="I1464" s="101"/>
      <c r="J1464" s="101"/>
      <c r="K1464" s="101"/>
      <c r="L1464" s="101"/>
      <c r="M1464" s="101"/>
      <c r="N1464" s="101"/>
      <c r="O1464" s="101"/>
      <c r="P1464" s="101"/>
      <c r="Q1464" s="101"/>
      <c r="R1464" s="101"/>
      <c r="S1464" s="101"/>
      <c r="T1464" s="101"/>
      <c r="U1464" s="101"/>
      <c r="V1464" s="101"/>
      <c r="W1464" s="101"/>
      <c r="X1464" s="101"/>
      <c r="Y1464" s="101"/>
      <c r="Z1464" s="101"/>
    </row>
    <row r="1465" ht="15.75" customHeight="1">
      <c r="A1465" s="192"/>
      <c r="B1465" s="72" t="s">
        <v>693</v>
      </c>
      <c r="C1465" s="116" t="s">
        <v>694</v>
      </c>
      <c r="D1465" s="99">
        <v>568.0</v>
      </c>
      <c r="E1465" s="100"/>
      <c r="F1465" s="100"/>
      <c r="G1465" s="100"/>
      <c r="H1465" s="100"/>
      <c r="I1465" s="101"/>
      <c r="J1465" s="101"/>
      <c r="K1465" s="101"/>
      <c r="L1465" s="101"/>
      <c r="M1465" s="101"/>
      <c r="N1465" s="101"/>
      <c r="O1465" s="101"/>
      <c r="P1465" s="101"/>
      <c r="Q1465" s="101"/>
      <c r="R1465" s="101"/>
      <c r="S1465" s="101"/>
      <c r="T1465" s="101"/>
      <c r="U1465" s="101"/>
      <c r="V1465" s="101"/>
      <c r="W1465" s="101"/>
      <c r="X1465" s="101"/>
      <c r="Y1465" s="101"/>
      <c r="Z1465" s="101"/>
    </row>
    <row r="1466" ht="15.75" customHeight="1">
      <c r="A1466" s="192"/>
      <c r="B1466" s="72" t="s">
        <v>550</v>
      </c>
      <c r="C1466" s="116" t="s">
        <v>551</v>
      </c>
      <c r="D1466" s="99">
        <v>413.0</v>
      </c>
      <c r="E1466" s="100"/>
      <c r="F1466" s="100"/>
      <c r="G1466" s="100"/>
      <c r="H1466" s="100"/>
      <c r="I1466" s="101"/>
      <c r="J1466" s="101"/>
      <c r="K1466" s="101"/>
      <c r="L1466" s="101"/>
      <c r="M1466" s="101"/>
      <c r="N1466" s="101"/>
      <c r="O1466" s="101"/>
      <c r="P1466" s="101"/>
      <c r="Q1466" s="101"/>
      <c r="R1466" s="101"/>
      <c r="S1466" s="101"/>
      <c r="T1466" s="101"/>
      <c r="U1466" s="101"/>
      <c r="V1466" s="101"/>
      <c r="W1466" s="101"/>
      <c r="X1466" s="101"/>
      <c r="Y1466" s="101"/>
      <c r="Z1466" s="101"/>
    </row>
    <row r="1467" ht="15.75" customHeight="1">
      <c r="A1467" s="192"/>
      <c r="B1467" s="158" t="s">
        <v>526</v>
      </c>
      <c r="C1467" s="159" t="s">
        <v>527</v>
      </c>
      <c r="D1467" s="99">
        <v>316.0</v>
      </c>
      <c r="E1467" s="100"/>
      <c r="F1467" s="100"/>
      <c r="G1467" s="100"/>
      <c r="H1467" s="100"/>
      <c r="I1467" s="101"/>
      <c r="J1467" s="101"/>
      <c r="K1467" s="101"/>
      <c r="L1467" s="101"/>
      <c r="M1467" s="101"/>
      <c r="N1467" s="101"/>
      <c r="O1467" s="101"/>
      <c r="P1467" s="101"/>
      <c r="Q1467" s="101"/>
      <c r="R1467" s="101"/>
      <c r="S1467" s="101"/>
      <c r="T1467" s="101"/>
      <c r="U1467" s="101"/>
      <c r="V1467" s="101"/>
      <c r="W1467" s="101"/>
      <c r="X1467" s="101"/>
      <c r="Y1467" s="101"/>
      <c r="Z1467" s="101"/>
    </row>
    <row r="1468" ht="15.75" customHeight="1">
      <c r="A1468" s="192"/>
      <c r="B1468" s="31" t="s">
        <v>482</v>
      </c>
      <c r="C1468" s="31" t="s">
        <v>483</v>
      </c>
      <c r="D1468" s="99">
        <v>115.0</v>
      </c>
      <c r="E1468" s="100"/>
      <c r="F1468" s="100"/>
      <c r="G1468" s="100"/>
      <c r="H1468" s="100"/>
      <c r="I1468" s="101"/>
      <c r="J1468" s="101"/>
      <c r="K1468" s="101"/>
      <c r="L1468" s="101"/>
      <c r="M1468" s="101"/>
      <c r="N1468" s="101"/>
      <c r="O1468" s="101"/>
      <c r="P1468" s="101"/>
      <c r="Q1468" s="101"/>
      <c r="R1468" s="101"/>
      <c r="S1468" s="101"/>
      <c r="T1468" s="101"/>
      <c r="U1468" s="101"/>
      <c r="V1468" s="101"/>
      <c r="W1468" s="101"/>
      <c r="X1468" s="101"/>
      <c r="Y1468" s="101"/>
      <c r="Z1468" s="101"/>
    </row>
    <row r="1469" ht="15.75" customHeight="1">
      <c r="A1469" s="192"/>
      <c r="B1469" s="109"/>
      <c r="C1469" s="236"/>
      <c r="D1469" s="100"/>
      <c r="E1469" s="100"/>
      <c r="F1469" s="100"/>
      <c r="G1469" s="100"/>
      <c r="H1469" s="100"/>
      <c r="I1469" s="101"/>
      <c r="J1469" s="101"/>
      <c r="K1469" s="101"/>
      <c r="L1469" s="101"/>
      <c r="M1469" s="101"/>
      <c r="N1469" s="101"/>
      <c r="O1469" s="101"/>
      <c r="P1469" s="101"/>
      <c r="Q1469" s="101"/>
      <c r="R1469" s="101"/>
      <c r="S1469" s="101"/>
      <c r="T1469" s="101"/>
      <c r="U1469" s="101"/>
      <c r="V1469" s="101"/>
      <c r="W1469" s="101"/>
      <c r="X1469" s="101"/>
      <c r="Y1469" s="101"/>
      <c r="Z1469" s="101"/>
    </row>
    <row r="1470" ht="15.75" customHeight="1">
      <c r="A1470" s="190">
        <v>45819.0</v>
      </c>
      <c r="B1470" s="72" t="s">
        <v>458</v>
      </c>
      <c r="C1470" s="149" t="s">
        <v>459</v>
      </c>
      <c r="D1470" s="99">
        <v>255.0</v>
      </c>
      <c r="E1470" s="100"/>
      <c r="F1470" s="100"/>
      <c r="G1470" s="100"/>
      <c r="H1470" s="100"/>
      <c r="I1470" s="101"/>
      <c r="J1470" s="101"/>
      <c r="K1470" s="101"/>
      <c r="L1470" s="101"/>
      <c r="M1470" s="101"/>
      <c r="N1470" s="101"/>
      <c r="O1470" s="101"/>
      <c r="P1470" s="101"/>
      <c r="Q1470" s="101"/>
      <c r="R1470" s="101"/>
      <c r="S1470" s="101"/>
      <c r="T1470" s="101"/>
      <c r="U1470" s="101"/>
      <c r="V1470" s="101"/>
      <c r="W1470" s="101"/>
      <c r="X1470" s="101"/>
      <c r="Y1470" s="101"/>
      <c r="Z1470" s="101"/>
    </row>
    <row r="1471" ht="15.75" customHeight="1">
      <c r="A1471" s="192"/>
      <c r="B1471" s="72" t="s">
        <v>454</v>
      </c>
      <c r="C1471" s="149" t="s">
        <v>455</v>
      </c>
      <c r="D1471" s="99">
        <v>281.0</v>
      </c>
      <c r="E1471" s="100"/>
      <c r="F1471" s="100"/>
      <c r="G1471" s="100"/>
      <c r="H1471" s="100"/>
      <c r="I1471" s="101"/>
      <c r="J1471" s="101"/>
      <c r="K1471" s="101"/>
      <c r="L1471" s="101"/>
      <c r="M1471" s="101"/>
      <c r="N1471" s="101"/>
      <c r="O1471" s="101"/>
      <c r="P1471" s="101"/>
      <c r="Q1471" s="101"/>
      <c r="R1471" s="101"/>
      <c r="S1471" s="101"/>
      <c r="T1471" s="101"/>
      <c r="U1471" s="101"/>
      <c r="V1471" s="101"/>
      <c r="W1471" s="101"/>
      <c r="X1471" s="101"/>
      <c r="Y1471" s="101"/>
      <c r="Z1471" s="101"/>
    </row>
    <row r="1472" ht="15.75" customHeight="1">
      <c r="A1472" s="192"/>
      <c r="B1472" s="72" t="s">
        <v>448</v>
      </c>
      <c r="C1472" s="116" t="s">
        <v>449</v>
      </c>
      <c r="D1472" s="99">
        <v>455.0</v>
      </c>
      <c r="E1472" s="100"/>
      <c r="F1472" s="100"/>
      <c r="G1472" s="100"/>
      <c r="H1472" s="100"/>
      <c r="I1472" s="101"/>
      <c r="J1472" s="101"/>
      <c r="K1472" s="101"/>
      <c r="L1472" s="101"/>
      <c r="M1472" s="101"/>
      <c r="N1472" s="101"/>
      <c r="O1472" s="101"/>
      <c r="P1472" s="101"/>
      <c r="Q1472" s="101"/>
      <c r="R1472" s="101"/>
      <c r="S1472" s="101"/>
      <c r="T1472" s="101"/>
      <c r="U1472" s="101"/>
      <c r="V1472" s="101"/>
      <c r="W1472" s="101"/>
      <c r="X1472" s="101"/>
      <c r="Y1472" s="101"/>
      <c r="Z1472" s="101"/>
    </row>
    <row r="1473" ht="15.75" customHeight="1">
      <c r="A1473" s="192"/>
      <c r="B1473" s="72" t="s">
        <v>506</v>
      </c>
      <c r="C1473" s="149" t="s">
        <v>507</v>
      </c>
      <c r="D1473" s="99">
        <v>468.0</v>
      </c>
      <c r="E1473" s="100"/>
      <c r="F1473" s="100"/>
      <c r="G1473" s="100"/>
      <c r="H1473" s="100"/>
      <c r="I1473" s="101"/>
      <c r="J1473" s="101"/>
      <c r="K1473" s="101"/>
      <c r="L1473" s="101"/>
      <c r="M1473" s="101"/>
      <c r="N1473" s="101"/>
      <c r="O1473" s="101"/>
      <c r="P1473" s="101"/>
      <c r="Q1473" s="101"/>
      <c r="R1473" s="101"/>
      <c r="S1473" s="101"/>
      <c r="T1473" s="101"/>
      <c r="U1473" s="101"/>
      <c r="V1473" s="101"/>
      <c r="W1473" s="101"/>
      <c r="X1473" s="101"/>
      <c r="Y1473" s="101"/>
      <c r="Z1473" s="101"/>
    </row>
    <row r="1474" ht="15.75" customHeight="1">
      <c r="A1474" s="192"/>
      <c r="B1474" s="72" t="s">
        <v>550</v>
      </c>
      <c r="C1474" s="116" t="s">
        <v>551</v>
      </c>
      <c r="D1474" s="99">
        <v>665.0</v>
      </c>
      <c r="E1474" s="100"/>
      <c r="F1474" s="100"/>
      <c r="G1474" s="100"/>
      <c r="H1474" s="100"/>
      <c r="I1474" s="101"/>
      <c r="J1474" s="101"/>
      <c r="K1474" s="101"/>
      <c r="L1474" s="101"/>
      <c r="M1474" s="101"/>
      <c r="N1474" s="101"/>
      <c r="O1474" s="101"/>
      <c r="P1474" s="101"/>
      <c r="Q1474" s="101"/>
      <c r="R1474" s="101"/>
      <c r="S1474" s="101"/>
      <c r="T1474" s="101"/>
      <c r="U1474" s="101"/>
      <c r="V1474" s="101"/>
      <c r="W1474" s="101"/>
      <c r="X1474" s="101"/>
      <c r="Y1474" s="101"/>
      <c r="Z1474" s="101"/>
    </row>
    <row r="1475" ht="15.75" customHeight="1">
      <c r="A1475" s="192"/>
      <c r="B1475" s="72" t="s">
        <v>540</v>
      </c>
      <c r="C1475" s="116" t="s">
        <v>541</v>
      </c>
      <c r="D1475" s="99">
        <v>177.0</v>
      </c>
      <c r="E1475" s="100"/>
      <c r="F1475" s="100"/>
      <c r="G1475" s="100"/>
      <c r="H1475" s="100"/>
      <c r="I1475" s="101"/>
      <c r="J1475" s="101"/>
      <c r="K1475" s="101"/>
      <c r="L1475" s="101"/>
      <c r="M1475" s="101"/>
      <c r="N1475" s="101"/>
      <c r="O1475" s="101"/>
      <c r="P1475" s="101"/>
      <c r="Q1475" s="101"/>
      <c r="R1475" s="101"/>
      <c r="S1475" s="101"/>
      <c r="T1475" s="101"/>
      <c r="U1475" s="101"/>
      <c r="V1475" s="101"/>
      <c r="W1475" s="101"/>
      <c r="X1475" s="101"/>
      <c r="Y1475" s="101"/>
      <c r="Z1475" s="101"/>
    </row>
    <row r="1476" ht="15.75" customHeight="1">
      <c r="A1476" s="192"/>
      <c r="B1476" s="124" t="s">
        <v>546</v>
      </c>
      <c r="C1476" s="116" t="s">
        <v>547</v>
      </c>
      <c r="D1476" s="99">
        <v>49.0</v>
      </c>
      <c r="E1476" s="100"/>
      <c r="F1476" s="100"/>
      <c r="G1476" s="100"/>
      <c r="H1476" s="100"/>
      <c r="I1476" s="101"/>
      <c r="J1476" s="101"/>
      <c r="K1476" s="101"/>
      <c r="L1476" s="101"/>
      <c r="M1476" s="101"/>
      <c r="N1476" s="101"/>
      <c r="O1476" s="101"/>
      <c r="P1476" s="101"/>
      <c r="Q1476" s="101"/>
      <c r="R1476" s="101"/>
      <c r="S1476" s="101"/>
      <c r="T1476" s="101"/>
      <c r="U1476" s="101"/>
      <c r="V1476" s="101"/>
      <c r="W1476" s="101"/>
      <c r="X1476" s="101"/>
      <c r="Y1476" s="101"/>
      <c r="Z1476" s="101"/>
    </row>
    <row r="1477" ht="15.75" customHeight="1">
      <c r="A1477" s="192"/>
      <c r="B1477" s="31" t="s">
        <v>496</v>
      </c>
      <c r="C1477" s="31" t="s">
        <v>497</v>
      </c>
      <c r="D1477" s="99">
        <f>262+595</f>
        <v>857</v>
      </c>
      <c r="E1477" s="100"/>
      <c r="F1477" s="100"/>
      <c r="G1477" s="100"/>
      <c r="H1477" s="100"/>
      <c r="I1477" s="101"/>
      <c r="J1477" s="101"/>
      <c r="K1477" s="101"/>
      <c r="L1477" s="101"/>
      <c r="M1477" s="101"/>
      <c r="N1477" s="101"/>
      <c r="O1477" s="101"/>
      <c r="P1477" s="101"/>
      <c r="Q1477" s="101"/>
      <c r="R1477" s="101"/>
      <c r="S1477" s="101"/>
      <c r="T1477" s="101"/>
      <c r="U1477" s="101"/>
      <c r="V1477" s="101"/>
      <c r="W1477" s="101"/>
      <c r="X1477" s="101"/>
      <c r="Y1477" s="101"/>
      <c r="Z1477" s="101"/>
    </row>
    <row r="1478" ht="15.75" customHeight="1">
      <c r="A1478" s="192"/>
      <c r="B1478" s="31" t="s">
        <v>482</v>
      </c>
      <c r="C1478" s="31" t="s">
        <v>483</v>
      </c>
      <c r="D1478" s="100">
        <f>87+58</f>
        <v>145</v>
      </c>
      <c r="E1478" s="100"/>
      <c r="F1478" s="100"/>
      <c r="G1478" s="100"/>
      <c r="H1478" s="100"/>
      <c r="I1478" s="101"/>
      <c r="J1478" s="101"/>
      <c r="K1478" s="101"/>
      <c r="L1478" s="101"/>
      <c r="M1478" s="101"/>
      <c r="N1478" s="101"/>
      <c r="O1478" s="101"/>
      <c r="P1478" s="101"/>
      <c r="Q1478" s="101"/>
      <c r="R1478" s="101"/>
      <c r="S1478" s="101"/>
      <c r="T1478" s="101"/>
      <c r="U1478" s="101"/>
      <c r="V1478" s="101"/>
      <c r="W1478" s="101"/>
      <c r="X1478" s="101"/>
      <c r="Y1478" s="101"/>
      <c r="Z1478" s="101"/>
    </row>
    <row r="1479" ht="15.75" customHeight="1">
      <c r="A1479" s="192"/>
      <c r="B1479" s="124" t="s">
        <v>526</v>
      </c>
      <c r="C1479" s="153" t="s">
        <v>527</v>
      </c>
      <c r="D1479" s="99">
        <v>80.0</v>
      </c>
      <c r="E1479" s="100"/>
      <c r="F1479" s="100"/>
      <c r="G1479" s="100"/>
      <c r="H1479" s="100"/>
      <c r="I1479" s="101"/>
      <c r="J1479" s="101"/>
      <c r="K1479" s="101"/>
      <c r="L1479" s="101"/>
      <c r="M1479" s="101"/>
      <c r="N1479" s="101"/>
      <c r="O1479" s="101"/>
      <c r="P1479" s="101"/>
      <c r="Q1479" s="101"/>
      <c r="R1479" s="101"/>
      <c r="S1479" s="101"/>
      <c r="T1479" s="101"/>
      <c r="U1479" s="101"/>
      <c r="V1479" s="101"/>
      <c r="W1479" s="101"/>
      <c r="X1479" s="101"/>
      <c r="Y1479" s="101"/>
      <c r="Z1479" s="101"/>
    </row>
    <row r="1480" ht="15.75" customHeight="1">
      <c r="A1480" s="192"/>
      <c r="B1480" s="31" t="s">
        <v>536</v>
      </c>
      <c r="C1480" s="31" t="s">
        <v>537</v>
      </c>
      <c r="D1480" s="99">
        <v>143.0</v>
      </c>
      <c r="E1480" s="100"/>
      <c r="F1480" s="100"/>
      <c r="G1480" s="100"/>
      <c r="H1480" s="100"/>
      <c r="I1480" s="101"/>
      <c r="J1480" s="101"/>
      <c r="K1480" s="101"/>
      <c r="L1480" s="101"/>
      <c r="M1480" s="101"/>
      <c r="N1480" s="101"/>
      <c r="O1480" s="101"/>
      <c r="P1480" s="101"/>
      <c r="Q1480" s="101"/>
      <c r="R1480" s="101"/>
      <c r="S1480" s="101"/>
      <c r="T1480" s="101"/>
      <c r="U1480" s="101"/>
      <c r="V1480" s="101"/>
      <c r="W1480" s="101"/>
      <c r="X1480" s="101"/>
      <c r="Y1480" s="101"/>
      <c r="Z1480" s="101"/>
    </row>
    <row r="1481" ht="15.75" customHeight="1">
      <c r="A1481" s="192"/>
      <c r="B1481" s="125" t="s">
        <v>446</v>
      </c>
      <c r="C1481" s="125" t="s">
        <v>447</v>
      </c>
      <c r="D1481" s="99">
        <f>184+214</f>
        <v>398</v>
      </c>
      <c r="E1481" s="100"/>
      <c r="F1481" s="100"/>
      <c r="G1481" s="100"/>
      <c r="H1481" s="100"/>
      <c r="I1481" s="101"/>
      <c r="J1481" s="101"/>
      <c r="K1481" s="101"/>
      <c r="L1481" s="101"/>
      <c r="M1481" s="101"/>
      <c r="N1481" s="101"/>
      <c r="O1481" s="101"/>
      <c r="P1481" s="101"/>
      <c r="Q1481" s="101"/>
      <c r="R1481" s="101"/>
      <c r="S1481" s="101"/>
      <c r="T1481" s="101"/>
      <c r="U1481" s="101"/>
      <c r="V1481" s="101"/>
      <c r="W1481" s="101"/>
      <c r="X1481" s="101"/>
      <c r="Y1481" s="101"/>
      <c r="Z1481" s="101"/>
    </row>
    <row r="1482" ht="15.75" customHeight="1">
      <c r="A1482" s="192"/>
      <c r="B1482" s="72" t="s">
        <v>532</v>
      </c>
      <c r="C1482" s="148" t="s">
        <v>533</v>
      </c>
      <c r="D1482" s="99">
        <v>234.0</v>
      </c>
      <c r="E1482" s="100"/>
      <c r="F1482" s="100"/>
      <c r="G1482" s="100"/>
      <c r="H1482" s="100"/>
      <c r="I1482" s="101"/>
      <c r="J1482" s="101"/>
      <c r="K1482" s="101"/>
      <c r="L1482" s="101"/>
      <c r="M1482" s="101"/>
      <c r="N1482" s="101"/>
      <c r="O1482" s="101"/>
      <c r="P1482" s="101"/>
      <c r="Q1482" s="101"/>
      <c r="R1482" s="101"/>
      <c r="S1482" s="101"/>
      <c r="T1482" s="101"/>
      <c r="U1482" s="101"/>
      <c r="V1482" s="101"/>
      <c r="W1482" s="101"/>
      <c r="X1482" s="101"/>
      <c r="Y1482" s="101"/>
      <c r="Z1482" s="101"/>
    </row>
    <row r="1483" ht="15.75" customHeight="1">
      <c r="A1483" s="192"/>
      <c r="B1483" s="72" t="s">
        <v>548</v>
      </c>
      <c r="C1483" s="149" t="s">
        <v>549</v>
      </c>
      <c r="D1483" s="99">
        <v>374.0</v>
      </c>
      <c r="E1483" s="100"/>
      <c r="F1483" s="100"/>
      <c r="G1483" s="100"/>
      <c r="H1483" s="100"/>
      <c r="I1483" s="101"/>
      <c r="J1483" s="101"/>
      <c r="K1483" s="101"/>
      <c r="L1483" s="101"/>
      <c r="M1483" s="101"/>
      <c r="N1483" s="101"/>
      <c r="O1483" s="101"/>
      <c r="P1483" s="101"/>
      <c r="Q1483" s="101"/>
      <c r="R1483" s="101"/>
      <c r="S1483" s="101"/>
      <c r="T1483" s="101"/>
      <c r="U1483" s="101"/>
      <c r="V1483" s="101"/>
      <c r="W1483" s="101"/>
      <c r="X1483" s="101"/>
      <c r="Y1483" s="101"/>
      <c r="Z1483" s="101"/>
    </row>
    <row r="1484" ht="15.75" customHeight="1">
      <c r="A1484" s="192"/>
      <c r="B1484" s="31" t="s">
        <v>554</v>
      </c>
      <c r="C1484" s="31" t="s">
        <v>555</v>
      </c>
      <c r="D1484" s="99">
        <v>158.0</v>
      </c>
      <c r="E1484" s="100"/>
      <c r="F1484" s="100"/>
      <c r="G1484" s="100"/>
      <c r="H1484" s="100"/>
      <c r="I1484" s="101"/>
      <c r="J1484" s="101"/>
      <c r="K1484" s="101"/>
      <c r="L1484" s="101"/>
      <c r="M1484" s="101"/>
      <c r="N1484" s="101"/>
      <c r="O1484" s="101"/>
      <c r="P1484" s="101"/>
      <c r="Q1484" s="101"/>
      <c r="R1484" s="101"/>
      <c r="S1484" s="101"/>
      <c r="T1484" s="101"/>
      <c r="U1484" s="101"/>
      <c r="V1484" s="101"/>
      <c r="W1484" s="101"/>
      <c r="X1484" s="101"/>
      <c r="Y1484" s="101"/>
      <c r="Z1484" s="101"/>
    </row>
    <row r="1485" ht="15.75" customHeight="1">
      <c r="A1485" s="192"/>
      <c r="B1485" s="31" t="s">
        <v>556</v>
      </c>
      <c r="C1485" s="31" t="s">
        <v>557</v>
      </c>
      <c r="D1485" s="99">
        <v>174.0</v>
      </c>
      <c r="E1485" s="100"/>
      <c r="F1485" s="100"/>
      <c r="G1485" s="100"/>
      <c r="H1485" s="100"/>
      <c r="I1485" s="101"/>
      <c r="J1485" s="101"/>
      <c r="K1485" s="101"/>
      <c r="L1485" s="101"/>
      <c r="M1485" s="101"/>
      <c r="N1485" s="101"/>
      <c r="O1485" s="101"/>
      <c r="P1485" s="101"/>
      <c r="Q1485" s="101"/>
      <c r="R1485" s="101"/>
      <c r="S1485" s="101"/>
      <c r="T1485" s="101"/>
      <c r="U1485" s="101"/>
      <c r="V1485" s="101"/>
      <c r="W1485" s="101"/>
      <c r="X1485" s="101"/>
      <c r="Y1485" s="101"/>
      <c r="Z1485" s="101"/>
    </row>
    <row r="1486" ht="15.75" customHeight="1">
      <c r="A1486" s="192"/>
      <c r="B1486" s="72" t="s">
        <v>502</v>
      </c>
      <c r="C1486" s="116" t="s">
        <v>503</v>
      </c>
      <c r="D1486" s="99">
        <v>68.0</v>
      </c>
      <c r="E1486" s="100"/>
      <c r="F1486" s="100"/>
      <c r="G1486" s="100"/>
      <c r="H1486" s="100"/>
      <c r="I1486" s="101"/>
      <c r="J1486" s="101"/>
      <c r="K1486" s="101"/>
      <c r="L1486" s="101"/>
      <c r="M1486" s="101"/>
      <c r="N1486" s="101"/>
      <c r="O1486" s="101"/>
      <c r="P1486" s="101"/>
      <c r="Q1486" s="101"/>
      <c r="R1486" s="101"/>
      <c r="S1486" s="101"/>
      <c r="T1486" s="101"/>
      <c r="U1486" s="101"/>
      <c r="V1486" s="101"/>
      <c r="W1486" s="101"/>
      <c r="X1486" s="101"/>
      <c r="Y1486" s="101"/>
      <c r="Z1486" s="101"/>
    </row>
    <row r="1487" ht="15.75" customHeight="1">
      <c r="A1487" s="192"/>
      <c r="B1487" s="72" t="s">
        <v>492</v>
      </c>
      <c r="C1487" s="116" t="s">
        <v>493</v>
      </c>
      <c r="D1487" s="99">
        <v>829.0</v>
      </c>
      <c r="E1487" s="100"/>
      <c r="F1487" s="100"/>
      <c r="G1487" s="100"/>
      <c r="H1487" s="100"/>
      <c r="I1487" s="101"/>
      <c r="J1487" s="101"/>
      <c r="K1487" s="101"/>
      <c r="L1487" s="101"/>
      <c r="M1487" s="101"/>
      <c r="N1487" s="101"/>
      <c r="O1487" s="101"/>
      <c r="P1487" s="101"/>
      <c r="Q1487" s="101"/>
      <c r="R1487" s="101"/>
      <c r="S1487" s="101"/>
      <c r="T1487" s="101"/>
      <c r="U1487" s="101"/>
      <c r="V1487" s="101"/>
      <c r="W1487" s="101"/>
      <c r="X1487" s="101"/>
      <c r="Y1487" s="101"/>
      <c r="Z1487" s="101"/>
    </row>
    <row r="1488" ht="15.75" customHeight="1">
      <c r="A1488" s="192"/>
      <c r="B1488" s="72" t="s">
        <v>510</v>
      </c>
      <c r="C1488" s="116" t="s">
        <v>511</v>
      </c>
      <c r="D1488" s="99">
        <v>37.0</v>
      </c>
      <c r="E1488" s="100"/>
      <c r="F1488" s="100"/>
      <c r="G1488" s="100"/>
      <c r="H1488" s="100"/>
      <c r="I1488" s="101"/>
      <c r="J1488" s="101"/>
      <c r="K1488" s="101"/>
      <c r="L1488" s="101"/>
      <c r="M1488" s="101"/>
      <c r="N1488" s="101"/>
      <c r="O1488" s="101"/>
      <c r="P1488" s="101"/>
      <c r="Q1488" s="101"/>
      <c r="R1488" s="101"/>
      <c r="S1488" s="101"/>
      <c r="T1488" s="101"/>
      <c r="U1488" s="101"/>
      <c r="V1488" s="101"/>
      <c r="W1488" s="101"/>
      <c r="X1488" s="101"/>
      <c r="Y1488" s="101"/>
      <c r="Z1488" s="101"/>
    </row>
    <row r="1489" ht="15.75" customHeight="1">
      <c r="A1489" s="192"/>
      <c r="B1489" s="76" t="s">
        <v>444</v>
      </c>
      <c r="C1489" s="241" t="s">
        <v>445</v>
      </c>
      <c r="D1489" s="99">
        <v>308.0</v>
      </c>
      <c r="E1489" s="100"/>
      <c r="F1489" s="100"/>
      <c r="G1489" s="100"/>
      <c r="H1489" s="100"/>
      <c r="I1489" s="101"/>
      <c r="J1489" s="101"/>
      <c r="K1489" s="101"/>
      <c r="L1489" s="101"/>
      <c r="M1489" s="101"/>
      <c r="N1489" s="101"/>
      <c r="O1489" s="101"/>
      <c r="P1489" s="101"/>
      <c r="Q1489" s="101"/>
      <c r="R1489" s="101"/>
      <c r="S1489" s="101"/>
      <c r="T1489" s="101"/>
      <c r="U1489" s="101"/>
      <c r="V1489" s="101"/>
      <c r="W1489" s="101"/>
      <c r="X1489" s="101"/>
      <c r="Y1489" s="101"/>
      <c r="Z1489" s="101"/>
    </row>
    <row r="1490" ht="15.75" customHeight="1">
      <c r="A1490" s="192"/>
      <c r="B1490" s="40" t="s">
        <v>534</v>
      </c>
      <c r="C1490" s="240" t="s">
        <v>535</v>
      </c>
      <c r="D1490" s="99">
        <v>354.0</v>
      </c>
      <c r="E1490" s="100"/>
      <c r="F1490" s="100"/>
      <c r="G1490" s="100"/>
      <c r="H1490" s="100"/>
      <c r="I1490" s="101"/>
      <c r="J1490" s="101"/>
      <c r="K1490" s="101"/>
      <c r="L1490" s="101"/>
      <c r="M1490" s="101"/>
      <c r="N1490" s="101"/>
      <c r="O1490" s="101"/>
      <c r="P1490" s="101"/>
      <c r="Q1490" s="101"/>
      <c r="R1490" s="101"/>
      <c r="S1490" s="101"/>
      <c r="T1490" s="101"/>
      <c r="U1490" s="101"/>
      <c r="V1490" s="101"/>
      <c r="W1490" s="101"/>
      <c r="X1490" s="101"/>
      <c r="Y1490" s="101"/>
      <c r="Z1490" s="101"/>
    </row>
    <row r="1491" ht="15.75" customHeight="1">
      <c r="A1491" s="192"/>
      <c r="B1491" s="125" t="s">
        <v>490</v>
      </c>
      <c r="C1491" s="125" t="s">
        <v>491</v>
      </c>
      <c r="D1491" s="99">
        <v>232.0</v>
      </c>
      <c r="E1491" s="100"/>
      <c r="F1491" s="100"/>
      <c r="G1491" s="100"/>
      <c r="H1491" s="100"/>
      <c r="I1491" s="101"/>
      <c r="J1491" s="101"/>
      <c r="K1491" s="101"/>
      <c r="L1491" s="101"/>
      <c r="M1491" s="101"/>
      <c r="N1491" s="101"/>
      <c r="O1491" s="101"/>
      <c r="P1491" s="101"/>
      <c r="Q1491" s="101"/>
      <c r="R1491" s="101"/>
      <c r="S1491" s="101"/>
      <c r="T1491" s="101"/>
      <c r="U1491" s="101"/>
      <c r="V1491" s="101"/>
      <c r="W1491" s="101"/>
      <c r="X1491" s="101"/>
      <c r="Y1491" s="101"/>
      <c r="Z1491" s="101"/>
    </row>
    <row r="1492" ht="15.75" customHeight="1">
      <c r="A1492" s="190"/>
      <c r="B1492" s="156"/>
      <c r="C1492" s="242"/>
      <c r="D1492" s="100"/>
      <c r="E1492" s="100"/>
      <c r="F1492" s="100"/>
      <c r="G1492" s="100"/>
      <c r="H1492" s="100"/>
      <c r="I1492" s="101"/>
      <c r="J1492" s="101"/>
      <c r="K1492" s="101"/>
      <c r="L1492" s="101"/>
      <c r="M1492" s="101"/>
      <c r="N1492" s="101"/>
      <c r="O1492" s="101"/>
      <c r="P1492" s="101"/>
      <c r="Q1492" s="101"/>
      <c r="R1492" s="101"/>
      <c r="S1492" s="101"/>
      <c r="T1492" s="101"/>
      <c r="U1492" s="101"/>
      <c r="V1492" s="101"/>
      <c r="W1492" s="101"/>
      <c r="X1492" s="101"/>
      <c r="Y1492" s="101"/>
      <c r="Z1492" s="101"/>
    </row>
    <row r="1493" ht="15.75" customHeight="1">
      <c r="A1493" s="190">
        <v>45820.0</v>
      </c>
      <c r="B1493" s="72" t="s">
        <v>494</v>
      </c>
      <c r="C1493" s="116" t="s">
        <v>495</v>
      </c>
      <c r="D1493" s="100">
        <f>111</f>
        <v>111</v>
      </c>
      <c r="E1493" s="100"/>
      <c r="F1493" s="100"/>
      <c r="G1493" s="100"/>
      <c r="H1493" s="100"/>
      <c r="I1493" s="101"/>
      <c r="J1493" s="101"/>
      <c r="K1493" s="101"/>
      <c r="L1493" s="101"/>
      <c r="M1493" s="101"/>
      <c r="N1493" s="101"/>
      <c r="O1493" s="101"/>
      <c r="P1493" s="101"/>
      <c r="Q1493" s="101"/>
      <c r="R1493" s="101"/>
      <c r="S1493" s="101"/>
      <c r="T1493" s="101"/>
      <c r="U1493" s="101"/>
      <c r="V1493" s="101"/>
      <c r="W1493" s="101"/>
      <c r="X1493" s="101"/>
      <c r="Y1493" s="101"/>
      <c r="Z1493" s="101"/>
    </row>
    <row r="1494" ht="15.75" customHeight="1">
      <c r="A1494" s="192"/>
      <c r="B1494" s="31" t="s">
        <v>496</v>
      </c>
      <c r="C1494" s="31" t="s">
        <v>497</v>
      </c>
      <c r="D1494" s="100">
        <f>338</f>
        <v>338</v>
      </c>
      <c r="E1494" s="100"/>
      <c r="F1494" s="100"/>
      <c r="G1494" s="100"/>
      <c r="H1494" s="100"/>
      <c r="I1494" s="101"/>
      <c r="J1494" s="101"/>
      <c r="K1494" s="101"/>
      <c r="L1494" s="101"/>
      <c r="M1494" s="101"/>
      <c r="N1494" s="101"/>
      <c r="O1494" s="101"/>
      <c r="P1494" s="101"/>
      <c r="Q1494" s="101"/>
      <c r="R1494" s="101"/>
      <c r="S1494" s="101"/>
      <c r="T1494" s="101"/>
      <c r="U1494" s="101"/>
      <c r="V1494" s="101"/>
      <c r="W1494" s="101"/>
      <c r="X1494" s="101"/>
      <c r="Y1494" s="101"/>
      <c r="Z1494" s="101"/>
    </row>
    <row r="1495" ht="15.75" customHeight="1">
      <c r="A1495" s="192"/>
      <c r="B1495" s="124" t="s">
        <v>546</v>
      </c>
      <c r="C1495" s="116" t="s">
        <v>547</v>
      </c>
      <c r="D1495" s="99">
        <f>216+777</f>
        <v>993</v>
      </c>
      <c r="E1495" s="100"/>
      <c r="F1495" s="100"/>
      <c r="G1495" s="100"/>
      <c r="H1495" s="100"/>
      <c r="I1495" s="101"/>
      <c r="J1495" s="101"/>
      <c r="K1495" s="101"/>
      <c r="L1495" s="101"/>
      <c r="M1495" s="101"/>
      <c r="N1495" s="101"/>
      <c r="O1495" s="101"/>
      <c r="P1495" s="101"/>
      <c r="Q1495" s="101"/>
      <c r="R1495" s="101"/>
      <c r="S1495" s="101"/>
      <c r="T1495" s="101"/>
      <c r="U1495" s="101"/>
      <c r="V1495" s="101"/>
      <c r="W1495" s="101"/>
      <c r="X1495" s="101"/>
      <c r="Y1495" s="101"/>
      <c r="Z1495" s="101"/>
    </row>
    <row r="1496" ht="15.75" customHeight="1">
      <c r="A1496" s="192"/>
      <c r="B1496" s="72" t="s">
        <v>538</v>
      </c>
      <c r="C1496" s="116" t="s">
        <v>539</v>
      </c>
      <c r="D1496" s="100">
        <f>180+38</f>
        <v>218</v>
      </c>
      <c r="E1496" s="100"/>
      <c r="F1496" s="100"/>
      <c r="G1496" s="100"/>
      <c r="H1496" s="100"/>
      <c r="I1496" s="101"/>
      <c r="J1496" s="101"/>
      <c r="K1496" s="101"/>
      <c r="L1496" s="101"/>
      <c r="M1496" s="101"/>
      <c r="N1496" s="101"/>
      <c r="O1496" s="101"/>
      <c r="P1496" s="101"/>
      <c r="Q1496" s="101"/>
      <c r="R1496" s="101"/>
      <c r="S1496" s="101"/>
      <c r="T1496" s="101"/>
      <c r="U1496" s="101"/>
      <c r="V1496" s="101"/>
      <c r="W1496" s="101"/>
      <c r="X1496" s="101"/>
      <c r="Y1496" s="101"/>
      <c r="Z1496" s="101"/>
    </row>
    <row r="1497" ht="15.75" customHeight="1">
      <c r="A1497" s="192"/>
      <c r="B1497" s="76" t="s">
        <v>550</v>
      </c>
      <c r="C1497" s="77" t="s">
        <v>551</v>
      </c>
      <c r="D1497" s="99">
        <v>93.0</v>
      </c>
      <c r="E1497" s="100"/>
      <c r="F1497" s="100"/>
      <c r="G1497" s="100"/>
      <c r="H1497" s="100"/>
      <c r="I1497" s="101"/>
      <c r="J1497" s="101"/>
      <c r="K1497" s="101"/>
      <c r="L1497" s="101"/>
      <c r="M1497" s="101"/>
      <c r="N1497" s="101"/>
      <c r="O1497" s="101"/>
      <c r="P1497" s="101"/>
      <c r="Q1497" s="101"/>
      <c r="R1497" s="101"/>
      <c r="S1497" s="101"/>
      <c r="T1497" s="101"/>
      <c r="U1497" s="101"/>
      <c r="V1497" s="101"/>
      <c r="W1497" s="101"/>
      <c r="X1497" s="101"/>
      <c r="Y1497" s="101"/>
      <c r="Z1497" s="101"/>
    </row>
    <row r="1498" ht="15.75" customHeight="1">
      <c r="A1498" s="192"/>
      <c r="B1498" s="76" t="s">
        <v>542</v>
      </c>
      <c r="C1498" s="77" t="s">
        <v>543</v>
      </c>
      <c r="D1498" s="99">
        <f>325+256</f>
        <v>581</v>
      </c>
      <c r="E1498" s="100"/>
      <c r="F1498" s="100"/>
      <c r="G1498" s="100"/>
      <c r="H1498" s="100"/>
      <c r="I1498" s="101"/>
      <c r="J1498" s="101"/>
      <c r="K1498" s="101"/>
      <c r="L1498" s="101"/>
      <c r="M1498" s="101"/>
      <c r="N1498" s="101"/>
      <c r="O1498" s="101"/>
      <c r="P1498" s="101"/>
      <c r="Q1498" s="101"/>
      <c r="R1498" s="101"/>
      <c r="S1498" s="101"/>
      <c r="T1498" s="101"/>
      <c r="U1498" s="101"/>
      <c r="V1498" s="101"/>
      <c r="W1498" s="101"/>
      <c r="X1498" s="101"/>
      <c r="Y1498" s="101"/>
      <c r="Z1498" s="101"/>
    </row>
    <row r="1499" ht="15.75" customHeight="1">
      <c r="A1499" s="192"/>
      <c r="B1499" s="76" t="s">
        <v>558</v>
      </c>
      <c r="C1499" s="77" t="s">
        <v>559</v>
      </c>
      <c r="D1499" s="99">
        <f>219+329</f>
        <v>548</v>
      </c>
      <c r="E1499" s="100"/>
      <c r="F1499" s="100"/>
      <c r="G1499" s="100"/>
      <c r="H1499" s="100"/>
      <c r="I1499" s="101"/>
      <c r="J1499" s="101"/>
      <c r="K1499" s="101"/>
      <c r="L1499" s="101"/>
      <c r="M1499" s="101"/>
      <c r="N1499" s="101"/>
      <c r="O1499" s="101"/>
      <c r="P1499" s="101"/>
      <c r="Q1499" s="101"/>
      <c r="R1499" s="101"/>
      <c r="S1499" s="101"/>
      <c r="T1499" s="101"/>
      <c r="U1499" s="101"/>
      <c r="V1499" s="101"/>
      <c r="W1499" s="101"/>
      <c r="X1499" s="101"/>
      <c r="Y1499" s="101"/>
      <c r="Z1499" s="101"/>
    </row>
    <row r="1500" ht="15.75" customHeight="1">
      <c r="A1500" s="192"/>
      <c r="B1500" s="72" t="s">
        <v>448</v>
      </c>
      <c r="C1500" s="116" t="s">
        <v>449</v>
      </c>
      <c r="D1500" s="99">
        <v>157.0</v>
      </c>
      <c r="E1500" s="100"/>
      <c r="F1500" s="100"/>
      <c r="G1500" s="100"/>
      <c r="H1500" s="100"/>
      <c r="I1500" s="101"/>
      <c r="J1500" s="101"/>
      <c r="K1500" s="101"/>
      <c r="L1500" s="101"/>
      <c r="M1500" s="101"/>
      <c r="N1500" s="101"/>
      <c r="O1500" s="101"/>
      <c r="P1500" s="101"/>
      <c r="Q1500" s="101"/>
      <c r="R1500" s="101"/>
      <c r="S1500" s="101"/>
      <c r="T1500" s="101"/>
      <c r="U1500" s="101"/>
      <c r="V1500" s="101"/>
      <c r="W1500" s="101"/>
      <c r="X1500" s="101"/>
      <c r="Y1500" s="101"/>
      <c r="Z1500" s="101"/>
    </row>
    <row r="1501" ht="15.75" customHeight="1">
      <c r="A1501" s="192"/>
      <c r="B1501" s="72" t="s">
        <v>458</v>
      </c>
      <c r="C1501" s="149" t="s">
        <v>459</v>
      </c>
      <c r="D1501" s="100">
        <f>634+67+803</f>
        <v>1504</v>
      </c>
      <c r="E1501" s="100"/>
      <c r="F1501" s="100"/>
      <c r="G1501" s="100"/>
      <c r="H1501" s="100"/>
      <c r="I1501" s="101"/>
      <c r="J1501" s="101"/>
      <c r="K1501" s="101"/>
      <c r="L1501" s="101"/>
      <c r="M1501" s="101"/>
      <c r="N1501" s="101"/>
      <c r="O1501" s="101"/>
      <c r="P1501" s="101"/>
      <c r="Q1501" s="101"/>
      <c r="R1501" s="101"/>
      <c r="S1501" s="101"/>
      <c r="T1501" s="101"/>
      <c r="U1501" s="101"/>
      <c r="V1501" s="101"/>
      <c r="W1501" s="101"/>
      <c r="X1501" s="101"/>
      <c r="Y1501" s="101"/>
      <c r="Z1501" s="101"/>
    </row>
    <row r="1502" ht="15.75" customHeight="1">
      <c r="A1502" s="192"/>
      <c r="B1502" s="76" t="s">
        <v>454</v>
      </c>
      <c r="C1502" s="235" t="s">
        <v>455</v>
      </c>
      <c r="D1502" s="99">
        <v>144.0</v>
      </c>
      <c r="E1502" s="100"/>
      <c r="F1502" s="100"/>
      <c r="G1502" s="100"/>
      <c r="H1502" s="100"/>
      <c r="I1502" s="101"/>
      <c r="J1502" s="101"/>
      <c r="K1502" s="101"/>
      <c r="L1502" s="101"/>
      <c r="M1502" s="101"/>
      <c r="N1502" s="101"/>
      <c r="O1502" s="101"/>
      <c r="P1502" s="101"/>
      <c r="Q1502" s="101"/>
      <c r="R1502" s="101"/>
      <c r="S1502" s="101"/>
      <c r="T1502" s="101"/>
      <c r="U1502" s="101"/>
      <c r="V1502" s="101"/>
      <c r="W1502" s="101"/>
      <c r="X1502" s="101"/>
      <c r="Y1502" s="101"/>
      <c r="Z1502" s="101"/>
    </row>
    <row r="1503" ht="15.75" customHeight="1">
      <c r="A1503" s="192"/>
      <c r="B1503" s="76" t="s">
        <v>456</v>
      </c>
      <c r="C1503" s="77" t="s">
        <v>457</v>
      </c>
      <c r="D1503" s="100">
        <f>97+91</f>
        <v>188</v>
      </c>
      <c r="E1503" s="100"/>
      <c r="F1503" s="100"/>
      <c r="G1503" s="100"/>
      <c r="H1503" s="100"/>
      <c r="I1503" s="101"/>
      <c r="J1503" s="101"/>
      <c r="K1503" s="101"/>
      <c r="L1503" s="101"/>
      <c r="M1503" s="101"/>
      <c r="N1503" s="101"/>
      <c r="O1503" s="101"/>
      <c r="P1503" s="101"/>
      <c r="Q1503" s="101"/>
      <c r="R1503" s="101"/>
      <c r="S1503" s="101"/>
      <c r="T1503" s="101"/>
      <c r="U1503" s="101"/>
      <c r="V1503" s="101"/>
      <c r="W1503" s="101"/>
      <c r="X1503" s="101"/>
      <c r="Y1503" s="101"/>
      <c r="Z1503" s="101"/>
    </row>
    <row r="1504" ht="15.75" customHeight="1">
      <c r="A1504" s="192"/>
      <c r="B1504" s="72" t="s">
        <v>552</v>
      </c>
      <c r="C1504" s="116" t="s">
        <v>553</v>
      </c>
      <c r="D1504" s="99">
        <v>243.0</v>
      </c>
      <c r="E1504" s="100"/>
      <c r="F1504" s="100"/>
      <c r="G1504" s="100"/>
      <c r="H1504" s="100"/>
      <c r="I1504" s="101"/>
      <c r="J1504" s="101"/>
      <c r="K1504" s="101"/>
      <c r="L1504" s="101"/>
      <c r="M1504" s="101"/>
      <c r="N1504" s="101"/>
      <c r="O1504" s="101"/>
      <c r="P1504" s="101"/>
      <c r="Q1504" s="101"/>
      <c r="R1504" s="101"/>
      <c r="S1504" s="101"/>
      <c r="T1504" s="101"/>
      <c r="U1504" s="101"/>
      <c r="V1504" s="101"/>
      <c r="W1504" s="101"/>
      <c r="X1504" s="101"/>
      <c r="Y1504" s="101"/>
      <c r="Z1504" s="101"/>
    </row>
    <row r="1505" ht="15.75" customHeight="1">
      <c r="A1505" s="192"/>
      <c r="B1505" s="125" t="s">
        <v>446</v>
      </c>
      <c r="C1505" s="125" t="s">
        <v>447</v>
      </c>
      <c r="D1505" s="100">
        <f>251+5+274</f>
        <v>530</v>
      </c>
      <c r="E1505" s="100"/>
      <c r="F1505" s="100"/>
      <c r="G1505" s="100"/>
      <c r="H1505" s="100"/>
      <c r="I1505" s="101"/>
      <c r="J1505" s="101"/>
      <c r="K1505" s="101"/>
      <c r="L1505" s="101"/>
      <c r="M1505" s="101"/>
      <c r="N1505" s="101"/>
      <c r="O1505" s="101"/>
      <c r="P1505" s="101"/>
      <c r="Q1505" s="101"/>
      <c r="R1505" s="101"/>
      <c r="S1505" s="101"/>
      <c r="T1505" s="101"/>
      <c r="U1505" s="101"/>
      <c r="V1505" s="101"/>
      <c r="W1505" s="101"/>
      <c r="X1505" s="101"/>
      <c r="Y1505" s="101"/>
      <c r="Z1505" s="101"/>
    </row>
    <row r="1506" ht="15.75" customHeight="1">
      <c r="A1506" s="192"/>
      <c r="B1506" s="31" t="s">
        <v>536</v>
      </c>
      <c r="C1506" s="31" t="s">
        <v>537</v>
      </c>
      <c r="D1506" s="99">
        <f>127+139</f>
        <v>266</v>
      </c>
      <c r="E1506" s="100"/>
      <c r="F1506" s="100"/>
      <c r="G1506" s="100"/>
      <c r="H1506" s="100"/>
      <c r="I1506" s="101"/>
      <c r="J1506" s="101"/>
      <c r="K1506" s="101"/>
      <c r="L1506" s="101"/>
      <c r="M1506" s="101"/>
      <c r="N1506" s="101"/>
      <c r="O1506" s="101"/>
      <c r="P1506" s="101"/>
      <c r="Q1506" s="101"/>
      <c r="R1506" s="101"/>
      <c r="S1506" s="101"/>
      <c r="T1506" s="101"/>
      <c r="U1506" s="101"/>
      <c r="V1506" s="101"/>
      <c r="W1506" s="101"/>
      <c r="X1506" s="101"/>
      <c r="Y1506" s="101"/>
      <c r="Z1506" s="101"/>
    </row>
    <row r="1507" ht="15.75" customHeight="1">
      <c r="A1507" s="192"/>
      <c r="B1507" s="72" t="s">
        <v>540</v>
      </c>
      <c r="C1507" s="116" t="s">
        <v>541</v>
      </c>
      <c r="D1507" s="99">
        <v>228.0</v>
      </c>
      <c r="E1507" s="100"/>
      <c r="F1507" s="100"/>
      <c r="G1507" s="100"/>
      <c r="H1507" s="100"/>
      <c r="I1507" s="101"/>
      <c r="J1507" s="101"/>
      <c r="K1507" s="101"/>
      <c r="L1507" s="101"/>
      <c r="M1507" s="101"/>
      <c r="N1507" s="101"/>
      <c r="O1507" s="101"/>
      <c r="P1507" s="101"/>
      <c r="Q1507" s="101"/>
      <c r="R1507" s="101"/>
      <c r="S1507" s="101"/>
      <c r="T1507" s="101"/>
      <c r="U1507" s="101"/>
      <c r="V1507" s="101"/>
      <c r="W1507" s="101"/>
      <c r="X1507" s="101"/>
      <c r="Y1507" s="101"/>
      <c r="Z1507" s="101"/>
    </row>
    <row r="1508" ht="15.75" customHeight="1">
      <c r="A1508" s="192"/>
      <c r="B1508" s="76" t="s">
        <v>452</v>
      </c>
      <c r="C1508" s="77" t="s">
        <v>453</v>
      </c>
      <c r="D1508" s="99">
        <v>37.0</v>
      </c>
      <c r="E1508" s="100"/>
      <c r="F1508" s="100"/>
      <c r="G1508" s="100"/>
      <c r="H1508" s="100"/>
      <c r="I1508" s="101"/>
      <c r="J1508" s="101"/>
      <c r="K1508" s="101"/>
      <c r="L1508" s="101"/>
      <c r="M1508" s="101"/>
      <c r="N1508" s="101"/>
      <c r="O1508" s="101"/>
      <c r="P1508" s="101"/>
      <c r="Q1508" s="101"/>
      <c r="R1508" s="101"/>
      <c r="S1508" s="101"/>
      <c r="T1508" s="101"/>
      <c r="U1508" s="101"/>
      <c r="V1508" s="101"/>
      <c r="W1508" s="101"/>
      <c r="X1508" s="101"/>
      <c r="Y1508" s="101"/>
      <c r="Z1508" s="101"/>
    </row>
    <row r="1509" ht="15.75" customHeight="1">
      <c r="A1509" s="192"/>
      <c r="B1509" s="76" t="s">
        <v>450</v>
      </c>
      <c r="C1509" s="235" t="s">
        <v>451</v>
      </c>
      <c r="D1509" s="99">
        <v>80.0</v>
      </c>
      <c r="E1509" s="100"/>
      <c r="F1509" s="100"/>
      <c r="G1509" s="100"/>
      <c r="H1509" s="100"/>
      <c r="I1509" s="101"/>
      <c r="J1509" s="101"/>
      <c r="K1509" s="101"/>
      <c r="L1509" s="101"/>
      <c r="M1509" s="101"/>
      <c r="N1509" s="101"/>
      <c r="O1509" s="101"/>
      <c r="P1509" s="101"/>
      <c r="Q1509" s="101"/>
      <c r="R1509" s="101"/>
      <c r="S1509" s="101"/>
      <c r="T1509" s="101"/>
      <c r="U1509" s="101"/>
      <c r="V1509" s="101"/>
      <c r="W1509" s="101"/>
      <c r="X1509" s="101"/>
      <c r="Y1509" s="101"/>
      <c r="Z1509" s="101"/>
    </row>
    <row r="1510" ht="15.75" customHeight="1">
      <c r="A1510" s="192"/>
      <c r="B1510" s="76" t="s">
        <v>697</v>
      </c>
      <c r="C1510" s="235" t="s">
        <v>698</v>
      </c>
      <c r="D1510" s="99">
        <v>43.0</v>
      </c>
      <c r="E1510" s="100"/>
      <c r="F1510" s="100"/>
      <c r="G1510" s="100"/>
      <c r="H1510" s="100"/>
      <c r="I1510" s="101"/>
      <c r="J1510" s="101"/>
      <c r="K1510" s="101"/>
      <c r="L1510" s="101"/>
      <c r="M1510" s="101"/>
      <c r="N1510" s="101"/>
      <c r="O1510" s="101"/>
      <c r="P1510" s="101"/>
      <c r="Q1510" s="101"/>
      <c r="R1510" s="101"/>
      <c r="S1510" s="101"/>
      <c r="T1510" s="101"/>
      <c r="U1510" s="101"/>
      <c r="V1510" s="101"/>
      <c r="W1510" s="101"/>
      <c r="X1510" s="101"/>
      <c r="Y1510" s="101"/>
      <c r="Z1510" s="101"/>
    </row>
    <row r="1511" ht="15.75" customHeight="1">
      <c r="A1511" s="192"/>
      <c r="B1511" s="76" t="s">
        <v>528</v>
      </c>
      <c r="C1511" s="235" t="s">
        <v>529</v>
      </c>
      <c r="D1511" s="99">
        <v>270.0</v>
      </c>
      <c r="E1511" s="100"/>
      <c r="F1511" s="100"/>
      <c r="G1511" s="100"/>
      <c r="H1511" s="100"/>
      <c r="I1511" s="101"/>
      <c r="J1511" s="101"/>
      <c r="K1511" s="101"/>
      <c r="L1511" s="101"/>
      <c r="M1511" s="101"/>
      <c r="N1511" s="101"/>
      <c r="O1511" s="101"/>
      <c r="P1511" s="101"/>
      <c r="Q1511" s="101"/>
      <c r="R1511" s="101"/>
      <c r="S1511" s="101"/>
      <c r="T1511" s="101"/>
      <c r="U1511" s="101"/>
      <c r="V1511" s="101"/>
      <c r="W1511" s="101"/>
      <c r="X1511" s="101"/>
      <c r="Y1511" s="101"/>
      <c r="Z1511" s="101"/>
    </row>
    <row r="1512" ht="15.75" customHeight="1">
      <c r="A1512" s="192"/>
      <c r="B1512" s="76" t="s">
        <v>488</v>
      </c>
      <c r="C1512" s="235" t="s">
        <v>489</v>
      </c>
      <c r="D1512" s="99">
        <v>368.0</v>
      </c>
      <c r="E1512" s="100"/>
      <c r="F1512" s="100"/>
      <c r="G1512" s="100"/>
      <c r="H1512" s="100"/>
      <c r="I1512" s="101"/>
      <c r="J1512" s="101"/>
      <c r="K1512" s="101"/>
      <c r="L1512" s="101"/>
      <c r="M1512" s="101"/>
      <c r="N1512" s="101"/>
      <c r="O1512" s="101"/>
      <c r="P1512" s="101"/>
      <c r="Q1512" s="101"/>
      <c r="R1512" s="101"/>
      <c r="S1512" s="101"/>
      <c r="T1512" s="101"/>
      <c r="U1512" s="101"/>
      <c r="V1512" s="101"/>
      <c r="W1512" s="101"/>
      <c r="X1512" s="101"/>
      <c r="Y1512" s="101"/>
      <c r="Z1512" s="101"/>
    </row>
    <row r="1513" ht="15.75" customHeight="1">
      <c r="A1513" s="192"/>
      <c r="B1513" s="72" t="s">
        <v>444</v>
      </c>
      <c r="C1513" s="148" t="s">
        <v>445</v>
      </c>
      <c r="D1513" s="99">
        <v>105.0</v>
      </c>
      <c r="E1513" s="100"/>
      <c r="F1513" s="100"/>
      <c r="G1513" s="100"/>
      <c r="H1513" s="100"/>
      <c r="I1513" s="101"/>
      <c r="J1513" s="101"/>
      <c r="K1513" s="101"/>
      <c r="L1513" s="101"/>
      <c r="M1513" s="101"/>
      <c r="N1513" s="101"/>
      <c r="O1513" s="101"/>
      <c r="P1513" s="101"/>
      <c r="Q1513" s="101"/>
      <c r="R1513" s="101"/>
      <c r="S1513" s="101"/>
      <c r="T1513" s="101"/>
      <c r="U1513" s="101"/>
      <c r="V1513" s="101"/>
      <c r="W1513" s="101"/>
      <c r="X1513" s="101"/>
      <c r="Y1513" s="101"/>
      <c r="Z1513" s="101"/>
    </row>
    <row r="1514" ht="15.75" customHeight="1">
      <c r="A1514" s="192"/>
      <c r="B1514" s="158" t="s">
        <v>526</v>
      </c>
      <c r="C1514" s="159" t="s">
        <v>527</v>
      </c>
      <c r="D1514" s="99">
        <v>53.0</v>
      </c>
      <c r="E1514" s="100"/>
      <c r="F1514" s="100"/>
      <c r="G1514" s="100"/>
      <c r="H1514" s="100"/>
      <c r="I1514" s="101"/>
      <c r="J1514" s="101"/>
      <c r="K1514" s="101"/>
      <c r="L1514" s="101"/>
      <c r="M1514" s="101"/>
      <c r="N1514" s="101"/>
      <c r="O1514" s="101"/>
      <c r="P1514" s="101"/>
      <c r="Q1514" s="101"/>
      <c r="R1514" s="101"/>
      <c r="S1514" s="101"/>
      <c r="T1514" s="101"/>
      <c r="U1514" s="101"/>
      <c r="V1514" s="101"/>
      <c r="W1514" s="101"/>
      <c r="X1514" s="101"/>
      <c r="Y1514" s="101"/>
      <c r="Z1514" s="101"/>
    </row>
    <row r="1515" ht="15.75" customHeight="1">
      <c r="A1515" s="192"/>
      <c r="B1515" s="243" t="s">
        <v>508</v>
      </c>
      <c r="C1515" s="244" t="s">
        <v>509</v>
      </c>
      <c r="D1515" s="99">
        <v>568.0</v>
      </c>
      <c r="E1515" s="100"/>
      <c r="F1515" s="100"/>
      <c r="G1515" s="100"/>
      <c r="H1515" s="100"/>
      <c r="I1515" s="101"/>
      <c r="J1515" s="101"/>
      <c r="K1515" s="101"/>
      <c r="L1515" s="101"/>
      <c r="M1515" s="101"/>
      <c r="N1515" s="101"/>
      <c r="O1515" s="101"/>
      <c r="P1515" s="101"/>
      <c r="Q1515" s="101"/>
      <c r="R1515" s="101"/>
      <c r="S1515" s="101"/>
      <c r="T1515" s="101"/>
      <c r="U1515" s="101"/>
      <c r="V1515" s="101"/>
      <c r="W1515" s="101"/>
      <c r="X1515" s="101"/>
      <c r="Y1515" s="101"/>
      <c r="Z1515" s="101"/>
    </row>
    <row r="1516" ht="15.75" customHeight="1">
      <c r="A1516" s="192"/>
      <c r="B1516" s="31" t="s">
        <v>484</v>
      </c>
      <c r="C1516" s="31" t="s">
        <v>485</v>
      </c>
      <c r="D1516" s="99">
        <v>488.0</v>
      </c>
      <c r="E1516" s="100"/>
      <c r="F1516" s="100"/>
      <c r="G1516" s="100"/>
      <c r="H1516" s="100"/>
      <c r="I1516" s="101"/>
      <c r="J1516" s="101"/>
      <c r="K1516" s="101"/>
      <c r="L1516" s="101"/>
      <c r="M1516" s="101"/>
      <c r="N1516" s="101"/>
      <c r="O1516" s="101"/>
      <c r="P1516" s="101"/>
      <c r="Q1516" s="101"/>
      <c r="R1516" s="101"/>
      <c r="S1516" s="101"/>
      <c r="T1516" s="101"/>
      <c r="U1516" s="101"/>
      <c r="V1516" s="101"/>
      <c r="W1516" s="101"/>
      <c r="X1516" s="101"/>
      <c r="Y1516" s="101"/>
      <c r="Z1516" s="101"/>
    </row>
    <row r="1517" ht="15.75" customHeight="1">
      <c r="A1517" s="192"/>
      <c r="B1517" s="100"/>
      <c r="C1517" s="245"/>
      <c r="D1517" s="100"/>
      <c r="E1517" s="100"/>
      <c r="F1517" s="100"/>
      <c r="G1517" s="100"/>
      <c r="H1517" s="100"/>
      <c r="I1517" s="101"/>
      <c r="J1517" s="101"/>
      <c r="K1517" s="101"/>
      <c r="L1517" s="101"/>
      <c r="M1517" s="101"/>
      <c r="N1517" s="101"/>
      <c r="O1517" s="101"/>
      <c r="P1517" s="101"/>
      <c r="Q1517" s="101"/>
      <c r="R1517" s="101"/>
      <c r="S1517" s="101"/>
      <c r="T1517" s="101"/>
      <c r="U1517" s="101"/>
      <c r="V1517" s="101"/>
      <c r="W1517" s="101"/>
      <c r="X1517" s="101"/>
      <c r="Y1517" s="101"/>
      <c r="Z1517" s="101"/>
    </row>
    <row r="1518" ht="15.75" customHeight="1">
      <c r="A1518" s="190">
        <v>45821.0</v>
      </c>
      <c r="B1518" s="72" t="s">
        <v>452</v>
      </c>
      <c r="C1518" s="116" t="s">
        <v>453</v>
      </c>
      <c r="D1518" s="99">
        <v>413.0</v>
      </c>
      <c r="E1518" s="100"/>
      <c r="F1518" s="100"/>
      <c r="G1518" s="100"/>
      <c r="H1518" s="100"/>
      <c r="I1518" s="101"/>
      <c r="J1518" s="101"/>
      <c r="K1518" s="101"/>
      <c r="L1518" s="101"/>
      <c r="M1518" s="101"/>
      <c r="N1518" s="101"/>
      <c r="O1518" s="101"/>
      <c r="P1518" s="101"/>
      <c r="Q1518" s="101"/>
      <c r="R1518" s="101"/>
      <c r="S1518" s="101"/>
      <c r="T1518" s="101"/>
      <c r="U1518" s="101"/>
      <c r="V1518" s="101"/>
      <c r="W1518" s="101"/>
      <c r="X1518" s="101"/>
      <c r="Y1518" s="101"/>
      <c r="Z1518" s="101"/>
    </row>
    <row r="1519" ht="15.75" customHeight="1">
      <c r="A1519" s="192"/>
      <c r="B1519" s="31" t="s">
        <v>484</v>
      </c>
      <c r="C1519" s="31" t="s">
        <v>485</v>
      </c>
      <c r="D1519" s="99">
        <v>290.0</v>
      </c>
      <c r="E1519" s="100"/>
      <c r="F1519" s="100"/>
      <c r="G1519" s="100"/>
      <c r="H1519" s="100"/>
      <c r="I1519" s="101"/>
      <c r="J1519" s="101"/>
      <c r="K1519" s="101"/>
      <c r="L1519" s="101"/>
      <c r="M1519" s="101"/>
      <c r="N1519" s="101"/>
      <c r="O1519" s="101"/>
      <c r="P1519" s="101"/>
      <c r="Q1519" s="101"/>
      <c r="R1519" s="101"/>
      <c r="S1519" s="101"/>
      <c r="T1519" s="101"/>
      <c r="U1519" s="101"/>
      <c r="V1519" s="101"/>
      <c r="W1519" s="101"/>
      <c r="X1519" s="101"/>
      <c r="Y1519" s="101"/>
      <c r="Z1519" s="101"/>
    </row>
    <row r="1520" ht="15.75" customHeight="1">
      <c r="A1520" s="192"/>
      <c r="B1520" s="72" t="s">
        <v>458</v>
      </c>
      <c r="C1520" s="149" t="s">
        <v>459</v>
      </c>
      <c r="D1520" s="100">
        <f>285+51</f>
        <v>336</v>
      </c>
      <c r="E1520" s="100"/>
      <c r="F1520" s="100"/>
      <c r="G1520" s="100"/>
      <c r="H1520" s="100"/>
      <c r="I1520" s="101"/>
      <c r="J1520" s="101"/>
      <c r="K1520" s="101"/>
      <c r="L1520" s="101"/>
      <c r="M1520" s="101"/>
      <c r="N1520" s="101"/>
      <c r="O1520" s="101"/>
      <c r="P1520" s="101"/>
      <c r="Q1520" s="101"/>
      <c r="R1520" s="101"/>
      <c r="S1520" s="101"/>
      <c r="T1520" s="101"/>
      <c r="U1520" s="101"/>
      <c r="V1520" s="101"/>
      <c r="W1520" s="101"/>
      <c r="X1520" s="101"/>
      <c r="Y1520" s="101"/>
      <c r="Z1520" s="101"/>
    </row>
    <row r="1521" ht="15.75" customHeight="1">
      <c r="A1521" s="192"/>
      <c r="B1521" s="72" t="s">
        <v>454</v>
      </c>
      <c r="C1521" s="149" t="s">
        <v>455</v>
      </c>
      <c r="D1521" s="99">
        <v>52.0</v>
      </c>
      <c r="E1521" s="100"/>
      <c r="F1521" s="100"/>
      <c r="G1521" s="100"/>
      <c r="H1521" s="100"/>
      <c r="I1521" s="101"/>
      <c r="J1521" s="101"/>
      <c r="K1521" s="101"/>
      <c r="L1521" s="101"/>
      <c r="M1521" s="101"/>
      <c r="N1521" s="101"/>
      <c r="O1521" s="101"/>
      <c r="P1521" s="101"/>
      <c r="Q1521" s="101"/>
      <c r="R1521" s="101"/>
      <c r="S1521" s="101"/>
      <c r="T1521" s="101"/>
      <c r="U1521" s="101"/>
      <c r="V1521" s="101"/>
      <c r="W1521" s="101"/>
      <c r="X1521" s="101"/>
      <c r="Y1521" s="101"/>
      <c r="Z1521" s="101"/>
    </row>
    <row r="1522" ht="15.75" customHeight="1">
      <c r="A1522" s="192"/>
      <c r="B1522" s="76" t="s">
        <v>528</v>
      </c>
      <c r="C1522" s="235" t="s">
        <v>529</v>
      </c>
      <c r="D1522" s="99">
        <v>207.0</v>
      </c>
      <c r="E1522" s="100"/>
      <c r="F1522" s="100"/>
      <c r="G1522" s="100"/>
      <c r="H1522" s="100"/>
      <c r="I1522" s="101"/>
      <c r="J1522" s="101"/>
      <c r="K1522" s="101"/>
      <c r="L1522" s="101"/>
      <c r="M1522" s="101"/>
      <c r="N1522" s="101"/>
      <c r="O1522" s="101"/>
      <c r="P1522" s="101"/>
      <c r="Q1522" s="101"/>
      <c r="R1522" s="101"/>
      <c r="S1522" s="101"/>
      <c r="T1522" s="101"/>
      <c r="U1522" s="101"/>
      <c r="V1522" s="101"/>
      <c r="W1522" s="101"/>
      <c r="X1522" s="101"/>
      <c r="Y1522" s="101"/>
      <c r="Z1522" s="101"/>
    </row>
    <row r="1523" ht="15.75" customHeight="1">
      <c r="A1523" s="192"/>
      <c r="B1523" s="76" t="s">
        <v>488</v>
      </c>
      <c r="C1523" s="235" t="s">
        <v>489</v>
      </c>
      <c r="D1523" s="99">
        <v>201.0</v>
      </c>
      <c r="E1523" s="100"/>
      <c r="F1523" s="100"/>
      <c r="G1523" s="100"/>
      <c r="H1523" s="100"/>
      <c r="I1523" s="101"/>
      <c r="J1523" s="101"/>
      <c r="K1523" s="101"/>
      <c r="L1523" s="101"/>
      <c r="M1523" s="101"/>
      <c r="N1523" s="101"/>
      <c r="O1523" s="101"/>
      <c r="P1523" s="101"/>
      <c r="Q1523" s="101"/>
      <c r="R1523" s="101"/>
      <c r="S1523" s="101"/>
      <c r="T1523" s="101"/>
      <c r="U1523" s="101"/>
      <c r="V1523" s="101"/>
      <c r="W1523" s="101"/>
      <c r="X1523" s="101"/>
      <c r="Y1523" s="101"/>
      <c r="Z1523" s="101"/>
    </row>
    <row r="1524" ht="15.75" customHeight="1">
      <c r="A1524" s="192"/>
      <c r="B1524" s="76" t="s">
        <v>434</v>
      </c>
      <c r="C1524" s="77" t="s">
        <v>435</v>
      </c>
      <c r="D1524" s="99">
        <v>57.0</v>
      </c>
      <c r="E1524" s="100"/>
      <c r="F1524" s="100"/>
      <c r="G1524" s="100"/>
      <c r="H1524" s="100"/>
      <c r="I1524" s="101"/>
      <c r="J1524" s="101"/>
      <c r="K1524" s="101"/>
      <c r="L1524" s="101"/>
      <c r="M1524" s="101"/>
      <c r="N1524" s="101"/>
      <c r="O1524" s="101"/>
      <c r="P1524" s="101"/>
      <c r="Q1524" s="101"/>
      <c r="R1524" s="101"/>
      <c r="S1524" s="101"/>
      <c r="T1524" s="101"/>
      <c r="U1524" s="101"/>
      <c r="V1524" s="101"/>
      <c r="W1524" s="101"/>
      <c r="X1524" s="101"/>
      <c r="Y1524" s="101"/>
      <c r="Z1524" s="101"/>
    </row>
    <row r="1525" ht="15.75" customHeight="1">
      <c r="A1525" s="192"/>
      <c r="B1525" s="76" t="s">
        <v>436</v>
      </c>
      <c r="C1525" s="77" t="s">
        <v>437</v>
      </c>
      <c r="D1525" s="99">
        <v>127.0</v>
      </c>
      <c r="E1525" s="100"/>
      <c r="F1525" s="100"/>
      <c r="G1525" s="100"/>
      <c r="H1525" s="100"/>
      <c r="I1525" s="101"/>
      <c r="J1525" s="101"/>
      <c r="K1525" s="101"/>
      <c r="L1525" s="101"/>
      <c r="M1525" s="101"/>
      <c r="N1525" s="101"/>
      <c r="O1525" s="101"/>
      <c r="P1525" s="101"/>
      <c r="Q1525" s="101"/>
      <c r="R1525" s="101"/>
      <c r="S1525" s="101"/>
      <c r="T1525" s="101"/>
      <c r="U1525" s="101"/>
      <c r="V1525" s="101"/>
      <c r="W1525" s="101"/>
      <c r="X1525" s="101"/>
      <c r="Y1525" s="101"/>
      <c r="Z1525" s="101"/>
    </row>
    <row r="1526" ht="15.75" customHeight="1">
      <c r="A1526" s="192"/>
      <c r="B1526" s="125" t="s">
        <v>446</v>
      </c>
      <c r="C1526" s="125" t="s">
        <v>447</v>
      </c>
      <c r="D1526" s="100">
        <f>34+229</f>
        <v>263</v>
      </c>
      <c r="E1526" s="100"/>
      <c r="F1526" s="100"/>
      <c r="G1526" s="100"/>
      <c r="H1526" s="100"/>
      <c r="I1526" s="101"/>
      <c r="J1526" s="101"/>
      <c r="K1526" s="101"/>
      <c r="L1526" s="101"/>
      <c r="M1526" s="101"/>
      <c r="N1526" s="101"/>
      <c r="O1526" s="101"/>
      <c r="P1526" s="101"/>
      <c r="Q1526" s="101"/>
      <c r="R1526" s="101"/>
      <c r="S1526" s="101"/>
      <c r="T1526" s="101"/>
      <c r="U1526" s="101"/>
      <c r="V1526" s="101"/>
      <c r="W1526" s="101"/>
      <c r="X1526" s="101"/>
      <c r="Y1526" s="101"/>
      <c r="Z1526" s="101"/>
    </row>
    <row r="1527" ht="15.75" customHeight="1">
      <c r="A1527" s="192"/>
      <c r="B1527" s="31" t="s">
        <v>536</v>
      </c>
      <c r="C1527" s="31" t="s">
        <v>537</v>
      </c>
      <c r="D1527" s="99">
        <v>130.0</v>
      </c>
      <c r="E1527" s="100"/>
      <c r="F1527" s="100"/>
      <c r="G1527" s="100"/>
      <c r="H1527" s="100"/>
      <c r="I1527" s="101"/>
      <c r="J1527" s="101"/>
      <c r="K1527" s="101"/>
      <c r="L1527" s="101"/>
      <c r="M1527" s="101"/>
      <c r="N1527" s="101"/>
      <c r="O1527" s="101"/>
      <c r="P1527" s="101"/>
      <c r="Q1527" s="101"/>
      <c r="R1527" s="101"/>
      <c r="S1527" s="101"/>
      <c r="T1527" s="101"/>
      <c r="U1527" s="101"/>
      <c r="V1527" s="101"/>
      <c r="W1527" s="101"/>
      <c r="X1527" s="101"/>
      <c r="Y1527" s="101"/>
      <c r="Z1527" s="101"/>
    </row>
    <row r="1528" ht="15.75" customHeight="1">
      <c r="A1528" s="192"/>
      <c r="B1528" s="76" t="s">
        <v>514</v>
      </c>
      <c r="C1528" s="77" t="s">
        <v>515</v>
      </c>
      <c r="D1528" s="99">
        <v>166.0</v>
      </c>
      <c r="E1528" s="100"/>
      <c r="F1528" s="100"/>
      <c r="G1528" s="100"/>
      <c r="H1528" s="100"/>
      <c r="I1528" s="101"/>
      <c r="J1528" s="101"/>
      <c r="K1528" s="101"/>
      <c r="L1528" s="101"/>
      <c r="M1528" s="101"/>
      <c r="N1528" s="101"/>
      <c r="O1528" s="101"/>
      <c r="P1528" s="101"/>
      <c r="Q1528" s="101"/>
      <c r="R1528" s="101"/>
      <c r="S1528" s="101"/>
      <c r="T1528" s="101"/>
      <c r="U1528" s="101"/>
      <c r="V1528" s="101"/>
      <c r="W1528" s="101"/>
      <c r="X1528" s="101"/>
      <c r="Y1528" s="101"/>
      <c r="Z1528" s="101"/>
    </row>
    <row r="1529" ht="15.75" customHeight="1">
      <c r="A1529" s="192"/>
      <c r="B1529" s="76" t="s">
        <v>538</v>
      </c>
      <c r="C1529" s="77" t="s">
        <v>539</v>
      </c>
      <c r="D1529" s="99">
        <v>129.0</v>
      </c>
      <c r="E1529" s="100"/>
      <c r="F1529" s="100"/>
      <c r="G1529" s="100"/>
      <c r="H1529" s="100"/>
      <c r="I1529" s="101"/>
      <c r="J1529" s="101"/>
      <c r="K1529" s="101"/>
      <c r="L1529" s="101"/>
      <c r="M1529" s="101"/>
      <c r="N1529" s="101"/>
      <c r="O1529" s="101"/>
      <c r="P1529" s="101"/>
      <c r="Q1529" s="101"/>
      <c r="R1529" s="101"/>
      <c r="S1529" s="101"/>
      <c r="T1529" s="101"/>
      <c r="U1529" s="101"/>
      <c r="V1529" s="101"/>
      <c r="W1529" s="101"/>
      <c r="X1529" s="101"/>
      <c r="Y1529" s="101"/>
      <c r="Z1529" s="101"/>
    </row>
    <row r="1530" ht="15.75" customHeight="1">
      <c r="A1530" s="192"/>
      <c r="B1530" s="76" t="s">
        <v>448</v>
      </c>
      <c r="C1530" s="77" t="s">
        <v>449</v>
      </c>
      <c r="D1530" s="99">
        <v>165.0</v>
      </c>
      <c r="E1530" s="100"/>
      <c r="F1530" s="100"/>
      <c r="G1530" s="100"/>
      <c r="H1530" s="100"/>
      <c r="I1530" s="101"/>
      <c r="J1530" s="101"/>
      <c r="K1530" s="101"/>
      <c r="L1530" s="101"/>
      <c r="M1530" s="101"/>
      <c r="N1530" s="101"/>
      <c r="O1530" s="101"/>
      <c r="P1530" s="101"/>
      <c r="Q1530" s="101"/>
      <c r="R1530" s="101"/>
      <c r="S1530" s="101"/>
      <c r="T1530" s="101"/>
      <c r="U1530" s="101"/>
      <c r="V1530" s="101"/>
      <c r="W1530" s="101"/>
      <c r="X1530" s="101"/>
      <c r="Y1530" s="101"/>
      <c r="Z1530" s="101"/>
    </row>
    <row r="1531" ht="15.75" customHeight="1">
      <c r="A1531" s="192"/>
      <c r="B1531" s="76" t="s">
        <v>438</v>
      </c>
      <c r="C1531" s="77" t="s">
        <v>439</v>
      </c>
      <c r="D1531" s="99">
        <v>228.0</v>
      </c>
      <c r="E1531" s="100"/>
      <c r="F1531" s="100"/>
      <c r="G1531" s="100"/>
      <c r="H1531" s="100"/>
      <c r="I1531" s="101"/>
      <c r="J1531" s="101"/>
      <c r="K1531" s="101"/>
      <c r="L1531" s="101"/>
      <c r="M1531" s="101"/>
      <c r="N1531" s="101"/>
      <c r="O1531" s="101"/>
      <c r="P1531" s="101"/>
      <c r="Q1531" s="101"/>
      <c r="R1531" s="101"/>
      <c r="S1531" s="101"/>
      <c r="T1531" s="101"/>
      <c r="U1531" s="101"/>
      <c r="V1531" s="101"/>
      <c r="W1531" s="101"/>
      <c r="X1531" s="101"/>
      <c r="Y1531" s="101"/>
      <c r="Z1531" s="101"/>
    </row>
    <row r="1532" ht="15.75" customHeight="1">
      <c r="A1532" s="192"/>
      <c r="B1532" s="72" t="s">
        <v>552</v>
      </c>
      <c r="C1532" s="116" t="s">
        <v>553</v>
      </c>
      <c r="D1532" s="99">
        <v>516.0</v>
      </c>
      <c r="E1532" s="100"/>
      <c r="F1532" s="100"/>
      <c r="G1532" s="100"/>
      <c r="H1532" s="100"/>
      <c r="I1532" s="101"/>
      <c r="J1532" s="101"/>
      <c r="K1532" s="101"/>
      <c r="L1532" s="101"/>
      <c r="M1532" s="101"/>
      <c r="N1532" s="101"/>
      <c r="O1532" s="101"/>
      <c r="P1532" s="101"/>
      <c r="Q1532" s="101"/>
      <c r="R1532" s="101"/>
      <c r="S1532" s="101"/>
      <c r="T1532" s="101"/>
      <c r="U1532" s="101"/>
      <c r="V1532" s="101"/>
      <c r="W1532" s="101"/>
      <c r="X1532" s="101"/>
      <c r="Y1532" s="101"/>
      <c r="Z1532" s="101"/>
    </row>
    <row r="1533" ht="15.75" customHeight="1">
      <c r="A1533" s="192"/>
      <c r="B1533" s="158" t="s">
        <v>526</v>
      </c>
      <c r="C1533" s="159" t="s">
        <v>527</v>
      </c>
      <c r="D1533" s="99">
        <v>73.0</v>
      </c>
      <c r="E1533" s="100"/>
      <c r="F1533" s="100"/>
      <c r="G1533" s="100"/>
      <c r="H1533" s="100"/>
      <c r="I1533" s="101"/>
      <c r="J1533" s="101"/>
      <c r="K1533" s="101"/>
      <c r="L1533" s="101"/>
      <c r="M1533" s="101"/>
      <c r="N1533" s="101"/>
      <c r="O1533" s="101"/>
      <c r="P1533" s="101"/>
      <c r="Q1533" s="101"/>
      <c r="R1533" s="101"/>
      <c r="S1533" s="101"/>
      <c r="T1533" s="101"/>
      <c r="U1533" s="101"/>
      <c r="V1533" s="101"/>
      <c r="W1533" s="101"/>
      <c r="X1533" s="101"/>
      <c r="Y1533" s="101"/>
      <c r="Z1533" s="101"/>
    </row>
    <row r="1534" ht="15.75" customHeight="1">
      <c r="A1534" s="192"/>
      <c r="B1534" s="246" t="s">
        <v>508</v>
      </c>
      <c r="C1534" s="247" t="s">
        <v>509</v>
      </c>
      <c r="D1534" s="99">
        <v>237.0</v>
      </c>
      <c r="E1534" s="100"/>
      <c r="F1534" s="100"/>
      <c r="G1534" s="100"/>
      <c r="H1534" s="100"/>
      <c r="I1534" s="101"/>
      <c r="J1534" s="101"/>
      <c r="K1534" s="101"/>
      <c r="L1534" s="101"/>
      <c r="M1534" s="101"/>
      <c r="N1534" s="101"/>
      <c r="O1534" s="101"/>
      <c r="P1534" s="101"/>
      <c r="Q1534" s="101"/>
      <c r="R1534" s="101"/>
      <c r="S1534" s="101"/>
      <c r="T1534" s="101"/>
      <c r="U1534" s="101"/>
      <c r="V1534" s="101"/>
      <c r="W1534" s="101"/>
      <c r="X1534" s="101"/>
      <c r="Y1534" s="101"/>
      <c r="Z1534" s="101"/>
    </row>
    <row r="1535" ht="15.75" customHeight="1">
      <c r="A1535" s="192"/>
      <c r="B1535" s="31" t="s">
        <v>482</v>
      </c>
      <c r="C1535" s="31" t="s">
        <v>483</v>
      </c>
      <c r="D1535" s="99">
        <v>307.0</v>
      </c>
      <c r="E1535" s="100"/>
      <c r="F1535" s="100"/>
      <c r="G1535" s="100"/>
      <c r="H1535" s="100"/>
      <c r="I1535" s="101"/>
      <c r="J1535" s="101"/>
      <c r="K1535" s="101"/>
      <c r="L1535" s="101"/>
      <c r="M1535" s="101"/>
      <c r="N1535" s="101"/>
      <c r="O1535" s="101"/>
      <c r="P1535" s="101"/>
      <c r="Q1535" s="101"/>
      <c r="R1535" s="101"/>
      <c r="S1535" s="101"/>
      <c r="T1535" s="101"/>
      <c r="U1535" s="101"/>
      <c r="V1535" s="101"/>
      <c r="W1535" s="101"/>
      <c r="X1535" s="101"/>
      <c r="Y1535" s="101"/>
      <c r="Z1535" s="101"/>
    </row>
    <row r="1536" ht="15.75" customHeight="1">
      <c r="A1536" s="192"/>
      <c r="B1536" s="72" t="s">
        <v>506</v>
      </c>
      <c r="C1536" s="149" t="s">
        <v>507</v>
      </c>
      <c r="D1536" s="99">
        <v>128.0</v>
      </c>
      <c r="E1536" s="100"/>
      <c r="F1536" s="100"/>
      <c r="G1536" s="100"/>
      <c r="H1536" s="100"/>
      <c r="I1536" s="101"/>
      <c r="J1536" s="101"/>
      <c r="K1536" s="101"/>
      <c r="L1536" s="101"/>
      <c r="M1536" s="101"/>
      <c r="N1536" s="101"/>
      <c r="O1536" s="101"/>
      <c r="P1536" s="101"/>
      <c r="Q1536" s="101"/>
      <c r="R1536" s="101"/>
      <c r="S1536" s="101"/>
      <c r="T1536" s="101"/>
      <c r="U1536" s="101"/>
      <c r="V1536" s="101"/>
      <c r="W1536" s="101"/>
      <c r="X1536" s="101"/>
      <c r="Y1536" s="101"/>
      <c r="Z1536" s="101"/>
    </row>
    <row r="1537" ht="15.75" customHeight="1">
      <c r="A1537" s="192"/>
      <c r="B1537" s="72" t="s">
        <v>518</v>
      </c>
      <c r="C1537" s="149" t="s">
        <v>519</v>
      </c>
      <c r="D1537" s="99">
        <v>37.0</v>
      </c>
      <c r="E1537" s="100"/>
      <c r="F1537" s="100"/>
      <c r="G1537" s="100"/>
      <c r="H1537" s="100"/>
      <c r="I1537" s="101"/>
      <c r="J1537" s="101"/>
      <c r="K1537" s="101"/>
      <c r="L1537" s="101"/>
      <c r="M1537" s="101"/>
      <c r="N1537" s="101"/>
      <c r="O1537" s="101"/>
      <c r="P1537" s="101"/>
      <c r="Q1537" s="101"/>
      <c r="R1537" s="101"/>
      <c r="S1537" s="101"/>
      <c r="T1537" s="101"/>
      <c r="U1537" s="101"/>
      <c r="V1537" s="101"/>
      <c r="W1537" s="101"/>
      <c r="X1537" s="101"/>
      <c r="Y1537" s="101"/>
      <c r="Z1537" s="101"/>
    </row>
    <row r="1538" ht="15.75" customHeight="1">
      <c r="A1538" s="192"/>
      <c r="B1538" s="100"/>
      <c r="C1538" s="245"/>
      <c r="D1538" s="100"/>
      <c r="E1538" s="100"/>
      <c r="F1538" s="100"/>
      <c r="G1538" s="100"/>
      <c r="H1538" s="100"/>
      <c r="I1538" s="101"/>
      <c r="J1538" s="101"/>
      <c r="K1538" s="101"/>
      <c r="L1538" s="101"/>
      <c r="M1538" s="101"/>
      <c r="N1538" s="101"/>
      <c r="O1538" s="101"/>
      <c r="P1538" s="101"/>
      <c r="Q1538" s="101"/>
      <c r="R1538" s="101"/>
      <c r="S1538" s="101"/>
      <c r="T1538" s="101"/>
      <c r="U1538" s="101"/>
      <c r="V1538" s="101"/>
      <c r="W1538" s="101"/>
      <c r="X1538" s="101"/>
      <c r="Y1538" s="101"/>
      <c r="Z1538" s="101"/>
    </row>
    <row r="1539" ht="15.75" customHeight="1">
      <c r="A1539" s="190">
        <v>45822.0</v>
      </c>
      <c r="B1539" s="72" t="s">
        <v>458</v>
      </c>
      <c r="C1539" s="149" t="s">
        <v>459</v>
      </c>
      <c r="D1539" s="99">
        <v>1332.0</v>
      </c>
      <c r="E1539" s="100"/>
      <c r="F1539" s="100"/>
      <c r="G1539" s="100"/>
      <c r="H1539" s="100"/>
      <c r="I1539" s="101"/>
      <c r="J1539" s="101"/>
      <c r="K1539" s="101"/>
      <c r="L1539" s="101"/>
      <c r="M1539" s="101"/>
      <c r="N1539" s="101"/>
      <c r="O1539" s="101"/>
      <c r="P1539" s="101"/>
      <c r="Q1539" s="101"/>
      <c r="R1539" s="101"/>
      <c r="S1539" s="101"/>
      <c r="T1539" s="101"/>
      <c r="U1539" s="101"/>
      <c r="V1539" s="101"/>
      <c r="W1539" s="101"/>
      <c r="X1539" s="101"/>
      <c r="Y1539" s="101"/>
      <c r="Z1539" s="101"/>
    </row>
    <row r="1540" ht="15.75" customHeight="1">
      <c r="A1540" s="192"/>
      <c r="B1540" s="31" t="s">
        <v>484</v>
      </c>
      <c r="C1540" s="31" t="s">
        <v>485</v>
      </c>
      <c r="D1540" s="99">
        <v>816.0</v>
      </c>
      <c r="E1540" s="100"/>
      <c r="F1540" s="100"/>
      <c r="G1540" s="100"/>
      <c r="H1540" s="100"/>
      <c r="I1540" s="101"/>
      <c r="J1540" s="101"/>
      <c r="K1540" s="101"/>
      <c r="L1540" s="101"/>
      <c r="M1540" s="101"/>
      <c r="N1540" s="101"/>
      <c r="O1540" s="101"/>
      <c r="P1540" s="101"/>
      <c r="Q1540" s="101"/>
      <c r="R1540" s="101"/>
      <c r="S1540" s="101"/>
      <c r="T1540" s="101"/>
      <c r="U1540" s="101"/>
      <c r="V1540" s="101"/>
      <c r="W1540" s="101"/>
      <c r="X1540" s="101"/>
      <c r="Y1540" s="101"/>
      <c r="Z1540" s="101"/>
    </row>
    <row r="1541" ht="15.75" customHeight="1">
      <c r="A1541" s="192"/>
      <c r="B1541" s="31" t="s">
        <v>568</v>
      </c>
      <c r="C1541" s="31" t="s">
        <v>569</v>
      </c>
      <c r="D1541" s="99">
        <v>221.0</v>
      </c>
      <c r="E1541" s="100"/>
      <c r="F1541" s="100"/>
      <c r="G1541" s="100"/>
      <c r="H1541" s="100"/>
      <c r="I1541" s="101"/>
      <c r="J1541" s="101"/>
      <c r="K1541" s="101"/>
      <c r="L1541" s="101"/>
      <c r="M1541" s="101"/>
      <c r="N1541" s="101"/>
      <c r="O1541" s="101"/>
      <c r="P1541" s="101"/>
      <c r="Q1541" s="101"/>
      <c r="R1541" s="101"/>
      <c r="S1541" s="101"/>
      <c r="T1541" s="101"/>
      <c r="U1541" s="101"/>
      <c r="V1541" s="101"/>
      <c r="W1541" s="101"/>
      <c r="X1541" s="101"/>
      <c r="Y1541" s="101"/>
      <c r="Z1541" s="101"/>
    </row>
    <row r="1542" ht="15.75" customHeight="1">
      <c r="A1542" s="192"/>
      <c r="B1542" s="31" t="s">
        <v>566</v>
      </c>
      <c r="C1542" s="31" t="s">
        <v>567</v>
      </c>
      <c r="D1542" s="99">
        <v>470.0</v>
      </c>
      <c r="E1542" s="100"/>
      <c r="F1542" s="100"/>
      <c r="G1542" s="100"/>
      <c r="H1542" s="100"/>
      <c r="I1542" s="101"/>
      <c r="J1542" s="101"/>
      <c r="K1542" s="101"/>
      <c r="L1542" s="101"/>
      <c r="M1542" s="101"/>
      <c r="N1542" s="101"/>
      <c r="O1542" s="101"/>
      <c r="P1542" s="101"/>
      <c r="Q1542" s="101"/>
      <c r="R1542" s="101"/>
      <c r="S1542" s="101"/>
      <c r="T1542" s="101"/>
      <c r="U1542" s="101"/>
      <c r="V1542" s="101"/>
      <c r="W1542" s="101"/>
      <c r="X1542" s="101"/>
      <c r="Y1542" s="101"/>
      <c r="Z1542" s="101"/>
    </row>
    <row r="1543" ht="15.75" customHeight="1">
      <c r="A1543" s="192"/>
      <c r="B1543" s="76" t="s">
        <v>434</v>
      </c>
      <c r="C1543" s="77" t="s">
        <v>435</v>
      </c>
      <c r="D1543" s="99">
        <v>224.0</v>
      </c>
      <c r="E1543" s="100"/>
      <c r="F1543" s="100"/>
      <c r="G1543" s="100"/>
      <c r="H1543" s="100"/>
      <c r="I1543" s="101"/>
      <c r="J1543" s="101"/>
      <c r="K1543" s="101"/>
      <c r="L1543" s="101"/>
      <c r="M1543" s="101"/>
      <c r="N1543" s="101"/>
      <c r="O1543" s="101"/>
      <c r="P1543" s="101"/>
      <c r="Q1543" s="101"/>
      <c r="R1543" s="101"/>
      <c r="S1543" s="101"/>
      <c r="T1543" s="101"/>
      <c r="U1543" s="101"/>
      <c r="V1543" s="101"/>
      <c r="W1543" s="101"/>
      <c r="X1543" s="101"/>
      <c r="Y1543" s="101"/>
      <c r="Z1543" s="101"/>
    </row>
    <row r="1544" ht="15.75" customHeight="1">
      <c r="A1544" s="192"/>
      <c r="B1544" s="76" t="s">
        <v>436</v>
      </c>
      <c r="C1544" s="77" t="s">
        <v>437</v>
      </c>
      <c r="D1544" s="99">
        <v>25.0</v>
      </c>
      <c r="E1544" s="100"/>
      <c r="F1544" s="100"/>
      <c r="G1544" s="100"/>
      <c r="H1544" s="100"/>
      <c r="I1544" s="101"/>
      <c r="J1544" s="101"/>
      <c r="K1544" s="101"/>
      <c r="L1544" s="101"/>
      <c r="M1544" s="101"/>
      <c r="N1544" s="101"/>
      <c r="O1544" s="101"/>
      <c r="P1544" s="101"/>
      <c r="Q1544" s="101"/>
      <c r="R1544" s="101"/>
      <c r="S1544" s="101"/>
      <c r="T1544" s="101"/>
      <c r="U1544" s="101"/>
      <c r="V1544" s="101"/>
      <c r="W1544" s="101"/>
      <c r="X1544" s="101"/>
      <c r="Y1544" s="101"/>
      <c r="Z1544" s="101"/>
    </row>
    <row r="1545" ht="15.75" customHeight="1">
      <c r="A1545" s="192"/>
      <c r="B1545" s="76" t="s">
        <v>438</v>
      </c>
      <c r="C1545" s="77" t="s">
        <v>439</v>
      </c>
      <c r="D1545" s="99">
        <v>56.0</v>
      </c>
      <c r="E1545" s="100"/>
      <c r="F1545" s="100"/>
      <c r="G1545" s="100"/>
      <c r="H1545" s="100"/>
      <c r="I1545" s="101"/>
      <c r="J1545" s="101"/>
      <c r="K1545" s="101"/>
      <c r="L1545" s="101"/>
      <c r="M1545" s="101"/>
      <c r="N1545" s="101"/>
      <c r="O1545" s="101"/>
      <c r="P1545" s="101"/>
      <c r="Q1545" s="101"/>
      <c r="R1545" s="101"/>
      <c r="S1545" s="101"/>
      <c r="T1545" s="101"/>
      <c r="U1545" s="101"/>
      <c r="V1545" s="101"/>
      <c r="W1545" s="101"/>
      <c r="X1545" s="101"/>
      <c r="Y1545" s="101"/>
      <c r="Z1545" s="101"/>
    </row>
    <row r="1546" ht="15.75" customHeight="1">
      <c r="A1546" s="192"/>
      <c r="B1546" s="76" t="s">
        <v>514</v>
      </c>
      <c r="C1546" s="77" t="s">
        <v>515</v>
      </c>
      <c r="D1546" s="99">
        <v>243.0</v>
      </c>
      <c r="E1546" s="100"/>
      <c r="F1546" s="100"/>
      <c r="G1546" s="100"/>
      <c r="H1546" s="100"/>
      <c r="I1546" s="101"/>
      <c r="J1546" s="101"/>
      <c r="K1546" s="101"/>
      <c r="L1546" s="101"/>
      <c r="M1546" s="101"/>
      <c r="N1546" s="101"/>
      <c r="O1546" s="101"/>
      <c r="P1546" s="101"/>
      <c r="Q1546" s="101"/>
      <c r="R1546" s="101"/>
      <c r="S1546" s="101"/>
      <c r="T1546" s="101"/>
      <c r="U1546" s="101"/>
      <c r="V1546" s="101"/>
      <c r="W1546" s="101"/>
      <c r="X1546" s="101"/>
      <c r="Y1546" s="101"/>
      <c r="Z1546" s="101"/>
    </row>
    <row r="1547" ht="15.75" customHeight="1">
      <c r="A1547" s="192"/>
      <c r="B1547" s="76" t="s">
        <v>570</v>
      </c>
      <c r="C1547" s="77" t="s">
        <v>571</v>
      </c>
      <c r="D1547" s="99">
        <v>109.0</v>
      </c>
      <c r="E1547" s="100"/>
      <c r="F1547" s="100"/>
      <c r="G1547" s="100"/>
      <c r="H1547" s="100"/>
      <c r="I1547" s="101"/>
      <c r="J1547" s="101"/>
      <c r="K1547" s="101"/>
      <c r="L1547" s="101"/>
      <c r="M1547" s="101"/>
      <c r="N1547" s="101"/>
      <c r="O1547" s="101"/>
      <c r="P1547" s="101"/>
      <c r="Q1547" s="101"/>
      <c r="R1547" s="101"/>
      <c r="S1547" s="101"/>
      <c r="T1547" s="101"/>
      <c r="U1547" s="101"/>
      <c r="V1547" s="101"/>
      <c r="W1547" s="101"/>
      <c r="X1547" s="101"/>
      <c r="Y1547" s="101"/>
      <c r="Z1547" s="101"/>
    </row>
    <row r="1548" ht="15.75" customHeight="1">
      <c r="A1548" s="192"/>
      <c r="B1548" s="31" t="s">
        <v>482</v>
      </c>
      <c r="C1548" s="31" t="s">
        <v>483</v>
      </c>
      <c r="D1548" s="100">
        <f>593+691</f>
        <v>1284</v>
      </c>
      <c r="E1548" s="100"/>
      <c r="F1548" s="100"/>
      <c r="G1548" s="100"/>
      <c r="H1548" s="100"/>
      <c r="I1548" s="101"/>
      <c r="J1548" s="101"/>
      <c r="K1548" s="101"/>
      <c r="L1548" s="101"/>
      <c r="M1548" s="101"/>
      <c r="N1548" s="101"/>
      <c r="O1548" s="101"/>
      <c r="P1548" s="101"/>
      <c r="Q1548" s="101"/>
      <c r="R1548" s="101"/>
      <c r="S1548" s="101"/>
      <c r="T1548" s="101"/>
      <c r="U1548" s="101"/>
      <c r="V1548" s="101"/>
      <c r="W1548" s="101"/>
      <c r="X1548" s="101"/>
      <c r="Y1548" s="101"/>
      <c r="Z1548" s="101"/>
    </row>
    <row r="1549" ht="15.75" customHeight="1">
      <c r="A1549" s="192"/>
      <c r="B1549" s="76" t="s">
        <v>542</v>
      </c>
      <c r="C1549" s="77" t="s">
        <v>543</v>
      </c>
      <c r="D1549" s="100">
        <f>656+211</f>
        <v>867</v>
      </c>
      <c r="E1549" s="100"/>
      <c r="F1549" s="100"/>
      <c r="G1549" s="100"/>
      <c r="H1549" s="100"/>
      <c r="I1549" s="101"/>
      <c r="J1549" s="101"/>
      <c r="K1549" s="101"/>
      <c r="L1549" s="101"/>
      <c r="M1549" s="101"/>
      <c r="N1549" s="101"/>
      <c r="O1549" s="101"/>
      <c r="P1549" s="101"/>
      <c r="Q1549" s="101"/>
      <c r="R1549" s="101"/>
      <c r="S1549" s="101"/>
      <c r="T1549" s="101"/>
      <c r="U1549" s="101"/>
      <c r="V1549" s="101"/>
      <c r="W1549" s="101"/>
      <c r="X1549" s="101"/>
      <c r="Y1549" s="101"/>
      <c r="Z1549" s="101"/>
    </row>
    <row r="1550" ht="15.75" customHeight="1">
      <c r="A1550" s="192"/>
      <c r="B1550" s="76" t="s">
        <v>558</v>
      </c>
      <c r="C1550" s="77" t="s">
        <v>559</v>
      </c>
      <c r="D1550" s="100">
        <f>327+56+187</f>
        <v>570</v>
      </c>
      <c r="E1550" s="100"/>
      <c r="F1550" s="100"/>
      <c r="G1550" s="100"/>
      <c r="H1550" s="100"/>
      <c r="I1550" s="101"/>
      <c r="J1550" s="101"/>
      <c r="K1550" s="101"/>
      <c r="L1550" s="101"/>
      <c r="M1550" s="101"/>
      <c r="N1550" s="101"/>
      <c r="O1550" s="101"/>
      <c r="P1550" s="101"/>
      <c r="Q1550" s="101"/>
      <c r="R1550" s="101"/>
      <c r="S1550" s="101"/>
      <c r="T1550" s="101"/>
      <c r="U1550" s="101"/>
      <c r="V1550" s="101"/>
      <c r="W1550" s="101"/>
      <c r="X1550" s="101"/>
      <c r="Y1550" s="101"/>
      <c r="Z1550" s="101"/>
    </row>
    <row r="1551" ht="15.75" customHeight="1">
      <c r="A1551" s="192"/>
      <c r="B1551" s="72" t="s">
        <v>560</v>
      </c>
      <c r="C1551" s="149" t="s">
        <v>561</v>
      </c>
      <c r="D1551" s="99">
        <v>161.0</v>
      </c>
      <c r="E1551" s="100"/>
      <c r="F1551" s="100"/>
      <c r="G1551" s="100"/>
      <c r="H1551" s="100"/>
      <c r="I1551" s="101"/>
      <c r="J1551" s="101"/>
      <c r="K1551" s="101"/>
      <c r="L1551" s="101"/>
      <c r="M1551" s="101"/>
      <c r="N1551" s="101"/>
      <c r="O1551" s="101"/>
      <c r="P1551" s="101"/>
      <c r="Q1551" s="101"/>
      <c r="R1551" s="101"/>
      <c r="S1551" s="101"/>
      <c r="T1551" s="101"/>
      <c r="U1551" s="101"/>
      <c r="V1551" s="101"/>
      <c r="W1551" s="101"/>
      <c r="X1551" s="101"/>
      <c r="Y1551" s="101"/>
      <c r="Z1551" s="101"/>
    </row>
    <row r="1552" ht="15.75" customHeight="1">
      <c r="A1552" s="192"/>
      <c r="B1552" s="76" t="s">
        <v>528</v>
      </c>
      <c r="C1552" s="235" t="s">
        <v>529</v>
      </c>
      <c r="D1552" s="99">
        <v>72.0</v>
      </c>
      <c r="E1552" s="100"/>
      <c r="F1552" s="100"/>
      <c r="G1552" s="100"/>
      <c r="H1552" s="100"/>
      <c r="I1552" s="101"/>
      <c r="J1552" s="101"/>
      <c r="K1552" s="101"/>
      <c r="L1552" s="101"/>
      <c r="M1552" s="101"/>
      <c r="N1552" s="101"/>
      <c r="O1552" s="101"/>
      <c r="P1552" s="101"/>
      <c r="Q1552" s="101"/>
      <c r="R1552" s="101"/>
      <c r="S1552" s="101"/>
      <c r="T1552" s="101"/>
      <c r="U1552" s="101"/>
      <c r="V1552" s="101"/>
      <c r="W1552" s="101"/>
      <c r="X1552" s="101"/>
      <c r="Y1552" s="101"/>
      <c r="Z1552" s="101"/>
    </row>
    <row r="1553" ht="15.75" customHeight="1">
      <c r="A1553" s="192"/>
      <c r="B1553" s="76" t="s">
        <v>488</v>
      </c>
      <c r="C1553" s="235" t="s">
        <v>489</v>
      </c>
      <c r="D1553" s="99">
        <v>79.0</v>
      </c>
      <c r="E1553" s="100"/>
      <c r="F1553" s="100"/>
      <c r="G1553" s="100"/>
      <c r="H1553" s="100"/>
      <c r="I1553" s="101"/>
      <c r="J1553" s="101"/>
      <c r="K1553" s="101"/>
      <c r="L1553" s="101"/>
      <c r="M1553" s="101"/>
      <c r="N1553" s="101"/>
      <c r="O1553" s="101"/>
      <c r="P1553" s="101"/>
      <c r="Q1553" s="101"/>
      <c r="R1553" s="101"/>
      <c r="S1553" s="101"/>
      <c r="T1553" s="101"/>
      <c r="U1553" s="101"/>
      <c r="V1553" s="101"/>
      <c r="W1553" s="101"/>
      <c r="X1553" s="101"/>
      <c r="Y1553" s="101"/>
      <c r="Z1553" s="101"/>
    </row>
    <row r="1554" ht="15.75" customHeight="1">
      <c r="A1554" s="192"/>
      <c r="B1554" s="124" t="s">
        <v>546</v>
      </c>
      <c r="C1554" s="116" t="s">
        <v>547</v>
      </c>
      <c r="D1554" s="99">
        <v>120.0</v>
      </c>
      <c r="E1554" s="100"/>
      <c r="F1554" s="100"/>
      <c r="G1554" s="100"/>
      <c r="H1554" s="100"/>
      <c r="I1554" s="101"/>
      <c r="J1554" s="101"/>
      <c r="K1554" s="101"/>
      <c r="L1554" s="101"/>
      <c r="M1554" s="101"/>
      <c r="N1554" s="101"/>
      <c r="O1554" s="101"/>
      <c r="P1554" s="101"/>
      <c r="Q1554" s="101"/>
      <c r="R1554" s="101"/>
      <c r="S1554" s="101"/>
      <c r="T1554" s="101"/>
      <c r="U1554" s="101"/>
      <c r="V1554" s="101"/>
      <c r="W1554" s="101"/>
      <c r="X1554" s="101"/>
      <c r="Y1554" s="101"/>
      <c r="Z1554" s="101"/>
    </row>
    <row r="1555" ht="15.75" customHeight="1">
      <c r="A1555" s="192"/>
      <c r="B1555" s="72" t="s">
        <v>444</v>
      </c>
      <c r="C1555" s="148" t="s">
        <v>445</v>
      </c>
      <c r="D1555" s="99">
        <v>241.0</v>
      </c>
      <c r="E1555" s="100"/>
      <c r="F1555" s="100"/>
      <c r="G1555" s="100"/>
      <c r="H1555" s="100"/>
      <c r="I1555" s="101"/>
      <c r="J1555" s="101"/>
      <c r="K1555" s="101"/>
      <c r="L1555" s="101"/>
      <c r="M1555" s="101"/>
      <c r="N1555" s="101"/>
      <c r="O1555" s="101"/>
      <c r="P1555" s="101"/>
      <c r="Q1555" s="101"/>
      <c r="R1555" s="101"/>
      <c r="S1555" s="101"/>
      <c r="T1555" s="101"/>
      <c r="U1555" s="101"/>
      <c r="V1555" s="101"/>
      <c r="W1555" s="101"/>
      <c r="X1555" s="101"/>
      <c r="Y1555" s="101"/>
      <c r="Z1555" s="101"/>
    </row>
    <row r="1556" ht="15.75" customHeight="1">
      <c r="A1556" s="192"/>
      <c r="B1556" s="109"/>
      <c r="C1556" s="236"/>
      <c r="D1556" s="100"/>
      <c r="E1556" s="100"/>
      <c r="F1556" s="100"/>
      <c r="G1556" s="100"/>
      <c r="H1556" s="100"/>
      <c r="I1556" s="101"/>
      <c r="J1556" s="101"/>
      <c r="K1556" s="101"/>
      <c r="L1556" s="101"/>
      <c r="M1556" s="101"/>
      <c r="N1556" s="101"/>
      <c r="O1556" s="101"/>
      <c r="P1556" s="101"/>
      <c r="Q1556" s="101"/>
      <c r="R1556" s="101"/>
      <c r="S1556" s="101"/>
      <c r="T1556" s="101"/>
      <c r="U1556" s="101"/>
      <c r="V1556" s="101"/>
      <c r="W1556" s="101"/>
      <c r="X1556" s="101"/>
      <c r="Y1556" s="101"/>
      <c r="Z1556" s="101"/>
    </row>
    <row r="1557" ht="15.75" customHeight="1">
      <c r="A1557" s="190">
        <v>45824.0</v>
      </c>
      <c r="B1557" s="125" t="s">
        <v>446</v>
      </c>
      <c r="C1557" s="125" t="s">
        <v>447</v>
      </c>
      <c r="D1557" s="100">
        <f>429+389</f>
        <v>818</v>
      </c>
      <c r="E1557" s="100"/>
      <c r="F1557" s="100"/>
      <c r="G1557" s="100"/>
      <c r="H1557" s="100"/>
      <c r="I1557" s="101"/>
      <c r="J1557" s="101"/>
      <c r="K1557" s="101"/>
      <c r="L1557" s="101"/>
      <c r="M1557" s="101"/>
      <c r="N1557" s="101"/>
      <c r="O1557" s="101"/>
      <c r="P1557" s="101"/>
      <c r="Q1557" s="101"/>
      <c r="R1557" s="101"/>
      <c r="S1557" s="101"/>
      <c r="T1557" s="101"/>
      <c r="U1557" s="101"/>
      <c r="V1557" s="101"/>
      <c r="W1557" s="101"/>
      <c r="X1557" s="101"/>
      <c r="Y1557" s="101"/>
      <c r="Z1557" s="101"/>
    </row>
    <row r="1558" ht="15.75" customHeight="1">
      <c r="A1558" s="192"/>
      <c r="B1558" s="125" t="s">
        <v>536</v>
      </c>
      <c r="C1558" s="125" t="s">
        <v>537</v>
      </c>
      <c r="D1558" s="99">
        <v>200.0</v>
      </c>
      <c r="E1558" s="100"/>
      <c r="F1558" s="100"/>
      <c r="G1558" s="100"/>
      <c r="H1558" s="100"/>
      <c r="I1558" s="101"/>
      <c r="J1558" s="101"/>
      <c r="K1558" s="101"/>
      <c r="L1558" s="101"/>
      <c r="M1558" s="101"/>
      <c r="N1558" s="101"/>
      <c r="O1558" s="101"/>
      <c r="P1558" s="101"/>
      <c r="Q1558" s="101"/>
      <c r="R1558" s="101"/>
      <c r="S1558" s="101"/>
      <c r="T1558" s="101"/>
      <c r="U1558" s="101"/>
      <c r="V1558" s="101"/>
      <c r="W1558" s="101"/>
      <c r="X1558" s="101"/>
      <c r="Y1558" s="101"/>
      <c r="Z1558" s="101"/>
    </row>
    <row r="1559" ht="15.75" customHeight="1">
      <c r="A1559" s="192"/>
      <c r="B1559" s="31" t="s">
        <v>490</v>
      </c>
      <c r="C1559" s="31" t="s">
        <v>491</v>
      </c>
      <c r="D1559" s="99">
        <v>69.0</v>
      </c>
      <c r="E1559" s="100"/>
      <c r="F1559" s="100"/>
      <c r="G1559" s="100"/>
      <c r="H1559" s="100"/>
      <c r="I1559" s="101"/>
      <c r="J1559" s="101"/>
      <c r="K1559" s="101"/>
      <c r="L1559" s="101"/>
      <c r="M1559" s="101"/>
      <c r="N1559" s="101"/>
      <c r="O1559" s="101"/>
      <c r="P1559" s="101"/>
      <c r="Q1559" s="101"/>
      <c r="R1559" s="101"/>
      <c r="S1559" s="101"/>
      <c r="T1559" s="101"/>
      <c r="U1559" s="101"/>
      <c r="V1559" s="101"/>
      <c r="W1559" s="101"/>
      <c r="X1559" s="101"/>
      <c r="Y1559" s="101"/>
      <c r="Z1559" s="101"/>
    </row>
    <row r="1560" ht="15.75" customHeight="1">
      <c r="A1560" s="192"/>
      <c r="B1560" s="76" t="s">
        <v>458</v>
      </c>
      <c r="C1560" s="235" t="s">
        <v>459</v>
      </c>
      <c r="D1560" s="99">
        <v>1669.0</v>
      </c>
      <c r="E1560" s="100"/>
      <c r="F1560" s="100"/>
      <c r="G1560" s="100"/>
      <c r="H1560" s="100"/>
      <c r="I1560" s="101"/>
      <c r="J1560" s="101"/>
      <c r="K1560" s="101"/>
      <c r="L1560" s="101"/>
      <c r="M1560" s="101"/>
      <c r="N1560" s="101"/>
      <c r="O1560" s="101"/>
      <c r="P1560" s="101"/>
      <c r="Q1560" s="101"/>
      <c r="R1560" s="101"/>
      <c r="S1560" s="101"/>
      <c r="T1560" s="101"/>
      <c r="U1560" s="101"/>
      <c r="V1560" s="101"/>
      <c r="W1560" s="101"/>
      <c r="X1560" s="101"/>
      <c r="Y1560" s="101"/>
      <c r="Z1560" s="101"/>
    </row>
    <row r="1561" ht="15.75" customHeight="1">
      <c r="A1561" s="192"/>
      <c r="B1561" s="76" t="s">
        <v>454</v>
      </c>
      <c r="C1561" s="235" t="s">
        <v>455</v>
      </c>
      <c r="D1561" s="99">
        <v>1100.0</v>
      </c>
      <c r="E1561" s="100"/>
      <c r="F1561" s="100"/>
      <c r="G1561" s="100"/>
      <c r="H1561" s="100"/>
      <c r="I1561" s="101"/>
      <c r="J1561" s="101"/>
      <c r="K1561" s="101"/>
      <c r="L1561" s="101"/>
      <c r="M1561" s="101"/>
      <c r="N1561" s="101"/>
      <c r="O1561" s="101"/>
      <c r="P1561" s="101"/>
      <c r="Q1561" s="101"/>
      <c r="R1561" s="101"/>
      <c r="S1561" s="101"/>
      <c r="T1561" s="101"/>
      <c r="U1561" s="101"/>
      <c r="V1561" s="101"/>
      <c r="W1561" s="101"/>
      <c r="X1561" s="101"/>
      <c r="Y1561" s="101"/>
      <c r="Z1561" s="101"/>
    </row>
    <row r="1562" ht="15.75" customHeight="1">
      <c r="A1562" s="192"/>
      <c r="B1562" s="76" t="s">
        <v>456</v>
      </c>
      <c r="C1562" s="77" t="s">
        <v>457</v>
      </c>
      <c r="D1562" s="99">
        <v>465.0</v>
      </c>
      <c r="E1562" s="100"/>
      <c r="F1562" s="100"/>
      <c r="G1562" s="100"/>
      <c r="H1562" s="100"/>
      <c r="I1562" s="101"/>
      <c r="J1562" s="101"/>
      <c r="K1562" s="101"/>
      <c r="L1562" s="101"/>
      <c r="M1562" s="101"/>
      <c r="N1562" s="101"/>
      <c r="O1562" s="101"/>
      <c r="P1562" s="101"/>
      <c r="Q1562" s="101"/>
      <c r="R1562" s="101"/>
      <c r="S1562" s="101"/>
      <c r="T1562" s="101"/>
      <c r="U1562" s="101"/>
      <c r="V1562" s="101"/>
      <c r="W1562" s="101"/>
      <c r="X1562" s="101"/>
      <c r="Y1562" s="101"/>
      <c r="Z1562" s="101"/>
    </row>
    <row r="1563" ht="15.75" customHeight="1">
      <c r="A1563" s="192"/>
      <c r="B1563" s="76" t="s">
        <v>450</v>
      </c>
      <c r="C1563" s="235" t="s">
        <v>451</v>
      </c>
      <c r="D1563" s="99">
        <v>94.0</v>
      </c>
      <c r="E1563" s="100"/>
      <c r="F1563" s="100"/>
      <c r="G1563" s="100"/>
      <c r="H1563" s="100"/>
      <c r="I1563" s="101"/>
      <c r="J1563" s="101"/>
      <c r="K1563" s="101"/>
      <c r="L1563" s="101"/>
      <c r="M1563" s="101"/>
      <c r="N1563" s="101"/>
      <c r="O1563" s="101"/>
      <c r="P1563" s="101"/>
      <c r="Q1563" s="101"/>
      <c r="R1563" s="101"/>
      <c r="S1563" s="101"/>
      <c r="T1563" s="101"/>
      <c r="U1563" s="101"/>
      <c r="V1563" s="101"/>
      <c r="W1563" s="101"/>
      <c r="X1563" s="101"/>
      <c r="Y1563" s="101"/>
      <c r="Z1563" s="101"/>
    </row>
    <row r="1564" ht="15.75" customHeight="1">
      <c r="A1564" s="192"/>
      <c r="B1564" s="76" t="s">
        <v>494</v>
      </c>
      <c r="C1564" s="77" t="s">
        <v>495</v>
      </c>
      <c r="D1564" s="99">
        <v>27.0</v>
      </c>
      <c r="E1564" s="100"/>
      <c r="F1564" s="100"/>
      <c r="G1564" s="100"/>
      <c r="H1564" s="100"/>
      <c r="I1564" s="101"/>
      <c r="J1564" s="101"/>
      <c r="K1564" s="101"/>
      <c r="L1564" s="101"/>
      <c r="M1564" s="101"/>
      <c r="N1564" s="101"/>
      <c r="O1564" s="101"/>
      <c r="P1564" s="101"/>
      <c r="Q1564" s="101"/>
      <c r="R1564" s="101"/>
      <c r="S1564" s="101"/>
      <c r="T1564" s="101"/>
      <c r="U1564" s="101"/>
      <c r="V1564" s="101"/>
      <c r="W1564" s="101"/>
      <c r="X1564" s="101"/>
      <c r="Y1564" s="101"/>
      <c r="Z1564" s="101"/>
    </row>
    <row r="1565" ht="15.75" customHeight="1">
      <c r="A1565" s="192"/>
      <c r="B1565" s="31" t="s">
        <v>484</v>
      </c>
      <c r="C1565" s="31" t="s">
        <v>485</v>
      </c>
      <c r="D1565" s="99">
        <v>882.0</v>
      </c>
      <c r="E1565" s="100"/>
      <c r="F1565" s="100"/>
      <c r="G1565" s="100"/>
      <c r="H1565" s="100"/>
      <c r="I1565" s="101"/>
      <c r="J1565" s="101"/>
      <c r="K1565" s="101"/>
      <c r="L1565" s="101"/>
      <c r="M1565" s="101"/>
      <c r="N1565" s="101"/>
      <c r="O1565" s="101"/>
      <c r="P1565" s="101"/>
      <c r="Q1565" s="101"/>
      <c r="R1565" s="101"/>
      <c r="S1565" s="101"/>
      <c r="T1565" s="101"/>
      <c r="U1565" s="101"/>
      <c r="V1565" s="101"/>
      <c r="W1565" s="101"/>
      <c r="X1565" s="101"/>
      <c r="Y1565" s="101"/>
      <c r="Z1565" s="101"/>
    </row>
    <row r="1566" ht="15.75" customHeight="1">
      <c r="A1566" s="192"/>
      <c r="B1566" s="125" t="s">
        <v>566</v>
      </c>
      <c r="C1566" s="125" t="s">
        <v>567</v>
      </c>
      <c r="D1566" s="99">
        <v>274.0</v>
      </c>
      <c r="E1566" s="100"/>
      <c r="F1566" s="100"/>
      <c r="G1566" s="100"/>
      <c r="H1566" s="100"/>
      <c r="I1566" s="101"/>
      <c r="J1566" s="101"/>
      <c r="K1566" s="101"/>
      <c r="L1566" s="101"/>
      <c r="M1566" s="101"/>
      <c r="N1566" s="101"/>
      <c r="O1566" s="101"/>
      <c r="P1566" s="101"/>
      <c r="Q1566" s="101"/>
      <c r="R1566" s="101"/>
      <c r="S1566" s="101"/>
      <c r="T1566" s="101"/>
      <c r="U1566" s="101"/>
      <c r="V1566" s="101"/>
      <c r="W1566" s="101"/>
      <c r="X1566" s="101"/>
      <c r="Y1566" s="101"/>
      <c r="Z1566" s="101"/>
    </row>
    <row r="1567" ht="15.75" customHeight="1">
      <c r="A1567" s="192"/>
      <c r="B1567" s="125" t="s">
        <v>568</v>
      </c>
      <c r="C1567" s="125" t="s">
        <v>569</v>
      </c>
      <c r="D1567" s="99">
        <v>364.0</v>
      </c>
      <c r="E1567" s="100"/>
      <c r="F1567" s="100"/>
      <c r="G1567" s="100"/>
      <c r="H1567" s="100"/>
      <c r="I1567" s="101"/>
      <c r="J1567" s="101"/>
      <c r="K1567" s="101"/>
      <c r="L1567" s="101"/>
      <c r="M1567" s="101"/>
      <c r="N1567" s="101"/>
      <c r="O1567" s="101"/>
      <c r="P1567" s="101"/>
      <c r="Q1567" s="101"/>
      <c r="R1567" s="101"/>
      <c r="S1567" s="101"/>
      <c r="T1567" s="101"/>
      <c r="U1567" s="101"/>
      <c r="V1567" s="101"/>
      <c r="W1567" s="101"/>
      <c r="X1567" s="101"/>
      <c r="Y1567" s="101"/>
      <c r="Z1567" s="101"/>
    </row>
    <row r="1568" ht="15.75" customHeight="1">
      <c r="A1568" s="192"/>
      <c r="B1568" s="72" t="s">
        <v>530</v>
      </c>
      <c r="C1568" s="149" t="s">
        <v>531</v>
      </c>
      <c r="D1568" s="99">
        <v>65.0</v>
      </c>
      <c r="E1568" s="100"/>
      <c r="F1568" s="100"/>
      <c r="G1568" s="100"/>
      <c r="H1568" s="100"/>
      <c r="I1568" s="101"/>
      <c r="J1568" s="101"/>
      <c r="K1568" s="101"/>
      <c r="L1568" s="101"/>
      <c r="M1568" s="101"/>
      <c r="N1568" s="101"/>
      <c r="O1568" s="101"/>
      <c r="P1568" s="101"/>
      <c r="Q1568" s="101"/>
      <c r="R1568" s="101"/>
      <c r="S1568" s="101"/>
      <c r="T1568" s="101"/>
      <c r="U1568" s="101"/>
      <c r="V1568" s="101"/>
      <c r="W1568" s="101"/>
      <c r="X1568" s="101"/>
      <c r="Y1568" s="101"/>
      <c r="Z1568" s="101"/>
    </row>
    <row r="1569" ht="15.75" customHeight="1">
      <c r="A1569" s="192"/>
      <c r="B1569" s="31" t="s">
        <v>482</v>
      </c>
      <c r="C1569" s="31" t="s">
        <v>483</v>
      </c>
      <c r="D1569" s="100">
        <f>1042+597</f>
        <v>1639</v>
      </c>
      <c r="E1569" s="100"/>
      <c r="F1569" s="100"/>
      <c r="G1569" s="100"/>
      <c r="H1569" s="100"/>
      <c r="I1569" s="101"/>
      <c r="J1569" s="101"/>
      <c r="K1569" s="101"/>
      <c r="L1569" s="101"/>
      <c r="M1569" s="101"/>
      <c r="N1569" s="101"/>
      <c r="O1569" s="101"/>
      <c r="P1569" s="101"/>
      <c r="Q1569" s="101"/>
      <c r="R1569" s="101"/>
      <c r="S1569" s="101"/>
      <c r="T1569" s="101"/>
      <c r="U1569" s="101"/>
      <c r="V1569" s="101"/>
      <c r="W1569" s="101"/>
      <c r="X1569" s="101"/>
      <c r="Y1569" s="101"/>
      <c r="Z1569" s="101"/>
    </row>
    <row r="1570" ht="15.75" customHeight="1">
      <c r="A1570" s="192"/>
      <c r="B1570" s="72" t="s">
        <v>460</v>
      </c>
      <c r="C1570" s="116" t="s">
        <v>461</v>
      </c>
      <c r="D1570" s="99">
        <v>91.0</v>
      </c>
      <c r="E1570" s="100"/>
      <c r="F1570" s="100"/>
      <c r="G1570" s="100"/>
      <c r="H1570" s="100"/>
      <c r="I1570" s="101"/>
      <c r="J1570" s="101"/>
      <c r="K1570" s="101"/>
      <c r="L1570" s="101"/>
      <c r="M1570" s="101"/>
      <c r="N1570" s="101"/>
      <c r="O1570" s="101"/>
      <c r="P1570" s="101"/>
      <c r="Q1570" s="101"/>
      <c r="R1570" s="101"/>
      <c r="S1570" s="101"/>
      <c r="T1570" s="101"/>
      <c r="U1570" s="101"/>
      <c r="V1570" s="101"/>
      <c r="W1570" s="101"/>
      <c r="X1570" s="101"/>
      <c r="Y1570" s="101"/>
      <c r="Z1570" s="101"/>
    </row>
    <row r="1571" ht="15.75" customHeight="1">
      <c r="A1571" s="192"/>
      <c r="B1571" s="76" t="s">
        <v>542</v>
      </c>
      <c r="C1571" s="77" t="s">
        <v>543</v>
      </c>
      <c r="D1571" s="99">
        <v>260.0</v>
      </c>
      <c r="E1571" s="100"/>
      <c r="F1571" s="100"/>
      <c r="G1571" s="100"/>
      <c r="H1571" s="100"/>
      <c r="I1571" s="101"/>
      <c r="J1571" s="101"/>
      <c r="K1571" s="101"/>
      <c r="L1571" s="101"/>
      <c r="M1571" s="101"/>
      <c r="N1571" s="101"/>
      <c r="O1571" s="101"/>
      <c r="P1571" s="101"/>
      <c r="Q1571" s="101"/>
      <c r="R1571" s="101"/>
      <c r="S1571" s="101"/>
      <c r="T1571" s="101"/>
      <c r="U1571" s="101"/>
      <c r="V1571" s="101"/>
      <c r="W1571" s="101"/>
      <c r="X1571" s="101"/>
      <c r="Y1571" s="101"/>
      <c r="Z1571" s="101"/>
    </row>
    <row r="1572" ht="15.75" customHeight="1">
      <c r="A1572" s="192"/>
      <c r="B1572" s="76" t="s">
        <v>558</v>
      </c>
      <c r="C1572" s="77" t="s">
        <v>559</v>
      </c>
      <c r="D1572" s="99">
        <v>409.0</v>
      </c>
      <c r="E1572" s="100"/>
      <c r="F1572" s="100"/>
      <c r="G1572" s="100"/>
      <c r="H1572" s="100"/>
      <c r="I1572" s="101"/>
      <c r="J1572" s="101"/>
      <c r="K1572" s="101"/>
      <c r="L1572" s="101"/>
      <c r="M1572" s="101"/>
      <c r="N1572" s="101"/>
      <c r="O1572" s="101"/>
      <c r="P1572" s="101"/>
      <c r="Q1572" s="101"/>
      <c r="R1572" s="101"/>
      <c r="S1572" s="101"/>
      <c r="T1572" s="101"/>
      <c r="U1572" s="101"/>
      <c r="V1572" s="101"/>
      <c r="W1572" s="101"/>
      <c r="X1572" s="101"/>
      <c r="Y1572" s="101"/>
      <c r="Z1572" s="101"/>
    </row>
    <row r="1573" ht="15.75" customHeight="1">
      <c r="A1573" s="192"/>
      <c r="B1573" s="76" t="s">
        <v>564</v>
      </c>
      <c r="C1573" s="77" t="s">
        <v>565</v>
      </c>
      <c r="D1573" s="99">
        <v>521.0</v>
      </c>
      <c r="E1573" s="100"/>
      <c r="F1573" s="100"/>
      <c r="G1573" s="100"/>
      <c r="H1573" s="100"/>
      <c r="I1573" s="101"/>
      <c r="J1573" s="101"/>
      <c r="K1573" s="101"/>
      <c r="L1573" s="101"/>
      <c r="M1573" s="101"/>
      <c r="N1573" s="101"/>
      <c r="O1573" s="101"/>
      <c r="P1573" s="101"/>
      <c r="Q1573" s="101"/>
      <c r="R1573" s="101"/>
      <c r="S1573" s="101"/>
      <c r="T1573" s="101"/>
      <c r="U1573" s="101"/>
      <c r="V1573" s="101"/>
      <c r="W1573" s="101"/>
      <c r="X1573" s="101"/>
      <c r="Y1573" s="101"/>
      <c r="Z1573" s="101"/>
    </row>
    <row r="1574" ht="15.75" customHeight="1">
      <c r="A1574" s="192"/>
      <c r="B1574" s="72" t="s">
        <v>574</v>
      </c>
      <c r="C1574" s="116" t="s">
        <v>575</v>
      </c>
      <c r="D1574" s="99">
        <v>370.0</v>
      </c>
      <c r="E1574" s="100"/>
      <c r="F1574" s="100"/>
      <c r="G1574" s="100"/>
      <c r="H1574" s="100"/>
      <c r="I1574" s="101"/>
      <c r="J1574" s="101"/>
      <c r="K1574" s="101"/>
      <c r="L1574" s="101"/>
      <c r="M1574" s="101"/>
      <c r="N1574" s="101"/>
      <c r="O1574" s="101"/>
      <c r="P1574" s="101"/>
      <c r="Q1574" s="101"/>
      <c r="R1574" s="101"/>
      <c r="S1574" s="101"/>
      <c r="T1574" s="101"/>
      <c r="U1574" s="101"/>
      <c r="V1574" s="101"/>
      <c r="W1574" s="101"/>
      <c r="X1574" s="101"/>
      <c r="Y1574" s="101"/>
      <c r="Z1574" s="101"/>
    </row>
    <row r="1575" ht="15.75" customHeight="1">
      <c r="A1575" s="192"/>
      <c r="B1575" s="109"/>
      <c r="C1575" s="236"/>
      <c r="D1575" s="100"/>
      <c r="E1575" s="100"/>
      <c r="F1575" s="100"/>
      <c r="G1575" s="100"/>
      <c r="H1575" s="100"/>
      <c r="I1575" s="101"/>
      <c r="J1575" s="101"/>
      <c r="K1575" s="101"/>
      <c r="L1575" s="101"/>
      <c r="M1575" s="101"/>
      <c r="N1575" s="101"/>
      <c r="O1575" s="101"/>
      <c r="P1575" s="101"/>
      <c r="Q1575" s="101"/>
      <c r="R1575" s="101"/>
      <c r="S1575" s="101"/>
      <c r="T1575" s="101"/>
      <c r="U1575" s="101"/>
      <c r="V1575" s="101"/>
      <c r="W1575" s="101"/>
      <c r="X1575" s="101"/>
      <c r="Y1575" s="101"/>
      <c r="Z1575" s="101"/>
    </row>
    <row r="1576" ht="15.75" customHeight="1">
      <c r="A1576" s="190">
        <v>45825.0</v>
      </c>
      <c r="B1576" s="125" t="s">
        <v>446</v>
      </c>
      <c r="C1576" s="125" t="s">
        <v>447</v>
      </c>
      <c r="D1576" s="100">
        <f>370+24</f>
        <v>394</v>
      </c>
      <c r="E1576" s="100"/>
      <c r="F1576" s="100"/>
      <c r="G1576" s="100"/>
      <c r="H1576" s="100"/>
      <c r="I1576" s="101"/>
      <c r="J1576" s="101"/>
      <c r="K1576" s="101"/>
      <c r="L1576" s="101"/>
      <c r="M1576" s="101"/>
      <c r="N1576" s="101"/>
      <c r="O1576" s="101"/>
      <c r="P1576" s="101"/>
      <c r="Q1576" s="101"/>
      <c r="R1576" s="101"/>
      <c r="S1576" s="101"/>
      <c r="T1576" s="101"/>
      <c r="U1576" s="101"/>
      <c r="V1576" s="101"/>
      <c r="W1576" s="101"/>
      <c r="X1576" s="101"/>
      <c r="Y1576" s="101"/>
      <c r="Z1576" s="101"/>
    </row>
    <row r="1577" ht="15.75" customHeight="1">
      <c r="A1577" s="192"/>
      <c r="B1577" s="125" t="s">
        <v>536</v>
      </c>
      <c r="C1577" s="125" t="s">
        <v>537</v>
      </c>
      <c r="D1577" s="99">
        <v>109.0</v>
      </c>
      <c r="E1577" s="100"/>
      <c r="F1577" s="100"/>
      <c r="G1577" s="100"/>
      <c r="H1577" s="100"/>
      <c r="I1577" s="101"/>
      <c r="J1577" s="101"/>
      <c r="K1577" s="101"/>
      <c r="L1577" s="101"/>
      <c r="M1577" s="101"/>
      <c r="N1577" s="101"/>
      <c r="O1577" s="101"/>
      <c r="P1577" s="101"/>
      <c r="Q1577" s="101"/>
      <c r="R1577" s="101"/>
      <c r="S1577" s="101"/>
      <c r="T1577" s="101"/>
      <c r="U1577" s="101"/>
      <c r="V1577" s="101"/>
      <c r="W1577" s="101"/>
      <c r="X1577" s="101"/>
      <c r="Y1577" s="101"/>
      <c r="Z1577" s="101"/>
    </row>
    <row r="1578" ht="15.75" customHeight="1">
      <c r="A1578" s="192"/>
      <c r="B1578" s="76" t="s">
        <v>458</v>
      </c>
      <c r="C1578" s="235" t="s">
        <v>459</v>
      </c>
      <c r="D1578" s="99">
        <v>766.0</v>
      </c>
      <c r="E1578" s="100"/>
      <c r="F1578" s="100"/>
      <c r="G1578" s="100"/>
      <c r="H1578" s="100"/>
      <c r="I1578" s="101"/>
      <c r="J1578" s="101"/>
      <c r="K1578" s="101"/>
      <c r="L1578" s="101"/>
      <c r="M1578" s="101"/>
      <c r="N1578" s="101"/>
      <c r="O1578" s="101"/>
      <c r="P1578" s="101"/>
      <c r="Q1578" s="101"/>
      <c r="R1578" s="101"/>
      <c r="S1578" s="101"/>
      <c r="T1578" s="101"/>
      <c r="U1578" s="101"/>
      <c r="V1578" s="101"/>
      <c r="W1578" s="101"/>
      <c r="X1578" s="101"/>
      <c r="Y1578" s="101"/>
      <c r="Z1578" s="101"/>
    </row>
    <row r="1579" ht="15.75" customHeight="1">
      <c r="A1579" s="192"/>
      <c r="B1579" s="76" t="s">
        <v>456</v>
      </c>
      <c r="C1579" s="77" t="s">
        <v>457</v>
      </c>
      <c r="D1579" s="99">
        <v>519.0</v>
      </c>
      <c r="E1579" s="100"/>
      <c r="F1579" s="100"/>
      <c r="G1579" s="100"/>
      <c r="H1579" s="100"/>
      <c r="I1579" s="101"/>
      <c r="J1579" s="101"/>
      <c r="K1579" s="101"/>
      <c r="L1579" s="101"/>
      <c r="M1579" s="101"/>
      <c r="N1579" s="101"/>
      <c r="O1579" s="101"/>
      <c r="P1579" s="101"/>
      <c r="Q1579" s="101"/>
      <c r="R1579" s="101"/>
      <c r="S1579" s="101"/>
      <c r="T1579" s="101"/>
      <c r="U1579" s="101"/>
      <c r="V1579" s="101"/>
      <c r="W1579" s="101"/>
      <c r="X1579" s="101"/>
      <c r="Y1579" s="101"/>
      <c r="Z1579" s="101"/>
    </row>
    <row r="1580" ht="15.75" customHeight="1">
      <c r="A1580" s="192"/>
      <c r="B1580" s="72" t="s">
        <v>448</v>
      </c>
      <c r="C1580" s="116" t="s">
        <v>449</v>
      </c>
      <c r="D1580" s="99">
        <v>664.0</v>
      </c>
      <c r="E1580" s="100"/>
      <c r="F1580" s="100"/>
      <c r="G1580" s="100"/>
      <c r="H1580" s="100"/>
      <c r="I1580" s="101"/>
      <c r="J1580" s="101"/>
      <c r="K1580" s="101"/>
      <c r="L1580" s="101"/>
      <c r="M1580" s="101"/>
      <c r="N1580" s="101"/>
      <c r="O1580" s="101"/>
      <c r="P1580" s="101"/>
      <c r="Q1580" s="101"/>
      <c r="R1580" s="101"/>
      <c r="S1580" s="101"/>
      <c r="T1580" s="101"/>
      <c r="U1580" s="101"/>
      <c r="V1580" s="101"/>
      <c r="W1580" s="101"/>
      <c r="X1580" s="101"/>
      <c r="Y1580" s="101"/>
      <c r="Z1580" s="101"/>
    </row>
    <row r="1581" ht="15.75" customHeight="1">
      <c r="A1581" s="192"/>
      <c r="B1581" s="72" t="s">
        <v>470</v>
      </c>
      <c r="C1581" s="149" t="s">
        <v>471</v>
      </c>
      <c r="D1581" s="99">
        <v>1442.0</v>
      </c>
      <c r="E1581" s="100"/>
      <c r="F1581" s="100"/>
      <c r="G1581" s="100"/>
      <c r="H1581" s="100"/>
      <c r="I1581" s="101"/>
      <c r="J1581" s="101"/>
      <c r="K1581" s="101"/>
      <c r="L1581" s="101"/>
      <c r="M1581" s="101"/>
      <c r="N1581" s="101"/>
      <c r="O1581" s="101"/>
      <c r="P1581" s="101"/>
      <c r="Q1581" s="101"/>
      <c r="R1581" s="101"/>
      <c r="S1581" s="101"/>
      <c r="T1581" s="101"/>
      <c r="U1581" s="101"/>
      <c r="V1581" s="101"/>
      <c r="W1581" s="101"/>
      <c r="X1581" s="101"/>
      <c r="Y1581" s="101"/>
      <c r="Z1581" s="101"/>
    </row>
    <row r="1582" ht="15.75" customHeight="1">
      <c r="A1582" s="192"/>
      <c r="B1582" s="72" t="s">
        <v>452</v>
      </c>
      <c r="C1582" s="116" t="s">
        <v>453</v>
      </c>
      <c r="D1582" s="99">
        <v>479.0</v>
      </c>
      <c r="E1582" s="100"/>
      <c r="F1582" s="100"/>
      <c r="G1582" s="100"/>
      <c r="H1582" s="100"/>
      <c r="I1582" s="101"/>
      <c r="J1582" s="101"/>
      <c r="K1582" s="101"/>
      <c r="L1582" s="101"/>
      <c r="M1582" s="101"/>
      <c r="N1582" s="101"/>
      <c r="O1582" s="101"/>
      <c r="P1582" s="101"/>
      <c r="Q1582" s="101"/>
      <c r="R1582" s="101"/>
      <c r="S1582" s="101"/>
      <c r="T1582" s="101"/>
      <c r="U1582" s="101"/>
      <c r="V1582" s="101"/>
      <c r="W1582" s="101"/>
      <c r="X1582" s="101"/>
      <c r="Y1582" s="101"/>
      <c r="Z1582" s="101"/>
    </row>
    <row r="1583" ht="15.75" customHeight="1">
      <c r="A1583" s="192"/>
      <c r="B1583" s="125" t="s">
        <v>580</v>
      </c>
      <c r="C1583" s="125" t="s">
        <v>581</v>
      </c>
      <c r="D1583" s="100">
        <f>564+65</f>
        <v>629</v>
      </c>
      <c r="E1583" s="100"/>
      <c r="F1583" s="100"/>
      <c r="G1583" s="100"/>
      <c r="H1583" s="100"/>
      <c r="I1583" s="101"/>
      <c r="J1583" s="101"/>
      <c r="K1583" s="101"/>
      <c r="L1583" s="101"/>
      <c r="M1583" s="101"/>
      <c r="N1583" s="101"/>
      <c r="O1583" s="101"/>
      <c r="P1583" s="101"/>
      <c r="Q1583" s="101"/>
      <c r="R1583" s="101"/>
      <c r="S1583" s="101"/>
      <c r="T1583" s="101"/>
      <c r="U1583" s="101"/>
      <c r="V1583" s="101"/>
      <c r="W1583" s="101"/>
      <c r="X1583" s="101"/>
      <c r="Y1583" s="101"/>
      <c r="Z1583" s="101"/>
    </row>
    <row r="1584" ht="15.75" customHeight="1">
      <c r="A1584" s="192"/>
      <c r="B1584" s="125" t="s">
        <v>568</v>
      </c>
      <c r="C1584" s="125" t="s">
        <v>569</v>
      </c>
      <c r="D1584" s="99">
        <v>240.0</v>
      </c>
      <c r="E1584" s="100"/>
      <c r="F1584" s="100"/>
      <c r="G1584" s="100"/>
      <c r="H1584" s="100"/>
      <c r="I1584" s="101"/>
      <c r="J1584" s="101"/>
      <c r="K1584" s="101"/>
      <c r="L1584" s="101"/>
      <c r="M1584" s="101"/>
      <c r="N1584" s="101"/>
      <c r="O1584" s="101"/>
      <c r="P1584" s="101"/>
      <c r="Q1584" s="101"/>
      <c r="R1584" s="101"/>
      <c r="S1584" s="101"/>
      <c r="T1584" s="101"/>
      <c r="U1584" s="101"/>
      <c r="V1584" s="101"/>
      <c r="W1584" s="101"/>
      <c r="X1584" s="101"/>
      <c r="Y1584" s="101"/>
      <c r="Z1584" s="101"/>
    </row>
    <row r="1585" ht="15.75" customHeight="1">
      <c r="A1585" s="192"/>
      <c r="B1585" s="72" t="s">
        <v>574</v>
      </c>
      <c r="C1585" s="116" t="s">
        <v>575</v>
      </c>
      <c r="D1585" s="99">
        <v>795.0</v>
      </c>
      <c r="E1585" s="100"/>
      <c r="F1585" s="100"/>
      <c r="G1585" s="100"/>
      <c r="H1585" s="100"/>
      <c r="I1585" s="101"/>
      <c r="J1585" s="101"/>
      <c r="K1585" s="101"/>
      <c r="L1585" s="101"/>
      <c r="M1585" s="101"/>
      <c r="N1585" s="101"/>
      <c r="O1585" s="101"/>
      <c r="P1585" s="101"/>
      <c r="Q1585" s="101"/>
      <c r="R1585" s="101"/>
      <c r="S1585" s="101"/>
      <c r="T1585" s="101"/>
      <c r="U1585" s="101"/>
      <c r="V1585" s="101"/>
      <c r="W1585" s="101"/>
      <c r="X1585" s="101"/>
      <c r="Y1585" s="101"/>
      <c r="Z1585" s="101"/>
    </row>
    <row r="1586" ht="15.75" customHeight="1">
      <c r="A1586" s="192"/>
      <c r="B1586" s="109"/>
      <c r="C1586" s="31" t="s">
        <v>567</v>
      </c>
      <c r="D1586" s="99">
        <v>238.0</v>
      </c>
      <c r="E1586" s="100"/>
      <c r="F1586" s="100"/>
      <c r="G1586" s="100"/>
      <c r="H1586" s="100"/>
      <c r="I1586" s="101"/>
      <c r="J1586" s="101"/>
      <c r="K1586" s="101"/>
      <c r="L1586" s="101"/>
      <c r="M1586" s="101"/>
      <c r="N1586" s="101"/>
      <c r="O1586" s="101"/>
      <c r="P1586" s="101"/>
      <c r="Q1586" s="101"/>
      <c r="R1586" s="101"/>
      <c r="S1586" s="101"/>
      <c r="T1586" s="101"/>
      <c r="U1586" s="101"/>
      <c r="V1586" s="101"/>
      <c r="W1586" s="101"/>
      <c r="X1586" s="101"/>
      <c r="Y1586" s="101"/>
      <c r="Z1586" s="101"/>
    </row>
    <row r="1587" ht="15.75" customHeight="1">
      <c r="A1587" s="192"/>
      <c r="B1587" s="72" t="s">
        <v>540</v>
      </c>
      <c r="C1587" s="116" t="s">
        <v>541</v>
      </c>
      <c r="D1587" s="99">
        <v>499.0</v>
      </c>
      <c r="E1587" s="100"/>
      <c r="F1587" s="100"/>
      <c r="G1587" s="100"/>
      <c r="H1587" s="100"/>
      <c r="I1587" s="101"/>
      <c r="J1587" s="101"/>
      <c r="K1587" s="101"/>
      <c r="L1587" s="101"/>
      <c r="M1587" s="101"/>
      <c r="N1587" s="101"/>
      <c r="O1587" s="101"/>
      <c r="P1587" s="101"/>
      <c r="Q1587" s="101"/>
      <c r="R1587" s="101"/>
      <c r="S1587" s="101"/>
      <c r="T1587" s="101"/>
      <c r="U1587" s="101"/>
      <c r="V1587" s="101"/>
      <c r="W1587" s="101"/>
      <c r="X1587" s="101"/>
      <c r="Y1587" s="101"/>
      <c r="Z1587" s="101"/>
    </row>
    <row r="1588" ht="15.75" customHeight="1">
      <c r="A1588" s="192"/>
      <c r="B1588" s="31" t="s">
        <v>482</v>
      </c>
      <c r="C1588" s="31" t="s">
        <v>483</v>
      </c>
      <c r="D1588" s="99">
        <v>920.0</v>
      </c>
      <c r="E1588" s="100"/>
      <c r="F1588" s="100"/>
      <c r="G1588" s="100"/>
      <c r="H1588" s="100"/>
      <c r="I1588" s="101"/>
      <c r="J1588" s="101"/>
      <c r="K1588" s="101"/>
      <c r="L1588" s="101"/>
      <c r="M1588" s="101"/>
      <c r="N1588" s="101"/>
      <c r="O1588" s="101"/>
      <c r="P1588" s="101"/>
      <c r="Q1588" s="101"/>
      <c r="R1588" s="101"/>
      <c r="S1588" s="101"/>
      <c r="T1588" s="101"/>
      <c r="U1588" s="101"/>
      <c r="V1588" s="101"/>
      <c r="W1588" s="101"/>
      <c r="X1588" s="101"/>
      <c r="Y1588" s="101"/>
      <c r="Z1588" s="101"/>
    </row>
    <row r="1589" ht="15.75" customHeight="1">
      <c r="A1589" s="192"/>
      <c r="B1589" s="72" t="s">
        <v>500</v>
      </c>
      <c r="C1589" s="149" t="s">
        <v>501</v>
      </c>
      <c r="D1589" s="99">
        <v>199.0</v>
      </c>
      <c r="E1589" s="100"/>
      <c r="F1589" s="100"/>
      <c r="G1589" s="100"/>
      <c r="H1589" s="100"/>
      <c r="I1589" s="101"/>
      <c r="J1589" s="101"/>
      <c r="K1589" s="101"/>
      <c r="L1589" s="101"/>
      <c r="M1589" s="101"/>
      <c r="N1589" s="101"/>
      <c r="O1589" s="101"/>
      <c r="P1589" s="101"/>
      <c r="Q1589" s="101"/>
      <c r="R1589" s="101"/>
      <c r="S1589" s="101"/>
      <c r="T1589" s="101"/>
      <c r="U1589" s="101"/>
      <c r="V1589" s="101"/>
      <c r="W1589" s="101"/>
      <c r="X1589" s="101"/>
      <c r="Y1589" s="101"/>
      <c r="Z1589" s="101"/>
    </row>
    <row r="1590" ht="15.75" customHeight="1">
      <c r="A1590" s="192"/>
      <c r="B1590" s="109"/>
      <c r="C1590" s="149" t="s">
        <v>529</v>
      </c>
      <c r="D1590" s="99">
        <v>141.0</v>
      </c>
      <c r="E1590" s="100"/>
      <c r="F1590" s="100"/>
      <c r="G1590" s="100"/>
      <c r="H1590" s="100"/>
      <c r="I1590" s="101"/>
      <c r="J1590" s="101"/>
      <c r="K1590" s="101"/>
      <c r="L1590" s="101"/>
      <c r="M1590" s="101"/>
      <c r="N1590" s="101"/>
      <c r="O1590" s="101"/>
      <c r="P1590" s="101"/>
      <c r="Q1590" s="101"/>
      <c r="R1590" s="101"/>
      <c r="S1590" s="101"/>
      <c r="T1590" s="101"/>
      <c r="U1590" s="101"/>
      <c r="V1590" s="101"/>
      <c r="W1590" s="101"/>
      <c r="X1590" s="101"/>
      <c r="Y1590" s="101"/>
      <c r="Z1590" s="101"/>
    </row>
    <row r="1591" ht="15.75" customHeight="1">
      <c r="A1591" s="192"/>
      <c r="B1591" s="72" t="s">
        <v>564</v>
      </c>
      <c r="C1591" s="116" t="s">
        <v>565</v>
      </c>
      <c r="D1591" s="99">
        <v>449.0</v>
      </c>
      <c r="E1591" s="100"/>
      <c r="F1591" s="100"/>
      <c r="G1591" s="100"/>
      <c r="H1591" s="100"/>
      <c r="I1591" s="101"/>
      <c r="J1591" s="101"/>
      <c r="K1591" s="101"/>
      <c r="L1591" s="101"/>
      <c r="M1591" s="101"/>
      <c r="N1591" s="101"/>
      <c r="O1591" s="101"/>
      <c r="P1591" s="101"/>
      <c r="Q1591" s="101"/>
      <c r="R1591" s="101"/>
      <c r="S1591" s="101"/>
      <c r="T1591" s="101"/>
      <c r="U1591" s="101"/>
      <c r="V1591" s="101"/>
      <c r="W1591" s="101"/>
      <c r="X1591" s="101"/>
      <c r="Y1591" s="101"/>
      <c r="Z1591" s="101"/>
    </row>
    <row r="1592" ht="15.75" customHeight="1">
      <c r="A1592" s="192"/>
      <c r="B1592" s="31" t="s">
        <v>484</v>
      </c>
      <c r="C1592" s="31" t="s">
        <v>485</v>
      </c>
      <c r="D1592" s="99">
        <f>323+89</f>
        <v>412</v>
      </c>
      <c r="E1592" s="100"/>
      <c r="F1592" s="100"/>
      <c r="G1592" s="100"/>
      <c r="H1592" s="100"/>
      <c r="I1592" s="101"/>
      <c r="J1592" s="101"/>
      <c r="K1592" s="101"/>
      <c r="L1592" s="101"/>
      <c r="M1592" s="101"/>
      <c r="N1592" s="101"/>
      <c r="O1592" s="101"/>
      <c r="P1592" s="101"/>
      <c r="Q1592" s="101"/>
      <c r="R1592" s="101"/>
      <c r="S1592" s="101"/>
      <c r="T1592" s="101"/>
      <c r="U1592" s="101"/>
      <c r="V1592" s="101"/>
      <c r="W1592" s="101"/>
      <c r="X1592" s="101"/>
      <c r="Y1592" s="101"/>
      <c r="Z1592" s="101"/>
    </row>
    <row r="1593" ht="15.75" customHeight="1">
      <c r="A1593" s="192"/>
      <c r="B1593" s="72" t="s">
        <v>584</v>
      </c>
      <c r="C1593" s="149" t="s">
        <v>585</v>
      </c>
      <c r="D1593" s="100">
        <f>165+161</f>
        <v>326</v>
      </c>
      <c r="E1593" s="100"/>
      <c r="F1593" s="100"/>
      <c r="G1593" s="100"/>
      <c r="H1593" s="100"/>
      <c r="I1593" s="101"/>
      <c r="J1593" s="101"/>
      <c r="K1593" s="101"/>
      <c r="L1593" s="101"/>
      <c r="M1593" s="101"/>
      <c r="N1593" s="101"/>
      <c r="O1593" s="101"/>
      <c r="P1593" s="101"/>
      <c r="Q1593" s="101"/>
      <c r="R1593" s="101"/>
      <c r="S1593" s="101"/>
      <c r="T1593" s="101"/>
      <c r="U1593" s="101"/>
      <c r="V1593" s="101"/>
      <c r="W1593" s="101"/>
      <c r="X1593" s="101"/>
      <c r="Y1593" s="101"/>
      <c r="Z1593" s="101"/>
    </row>
    <row r="1594" ht="15.75" customHeight="1">
      <c r="A1594" s="192"/>
      <c r="B1594" s="109"/>
      <c r="C1594" s="236"/>
      <c r="D1594" s="100"/>
      <c r="E1594" s="100"/>
      <c r="F1594" s="100"/>
      <c r="G1594" s="100"/>
      <c r="H1594" s="100"/>
      <c r="I1594" s="101"/>
      <c r="J1594" s="101"/>
      <c r="K1594" s="101"/>
      <c r="L1594" s="101"/>
      <c r="M1594" s="101"/>
      <c r="N1594" s="101"/>
      <c r="O1594" s="101"/>
      <c r="P1594" s="101"/>
      <c r="Q1594" s="101"/>
      <c r="R1594" s="101"/>
      <c r="S1594" s="101"/>
      <c r="T1594" s="101"/>
      <c r="U1594" s="101"/>
      <c r="V1594" s="101"/>
      <c r="W1594" s="101"/>
      <c r="X1594" s="101"/>
      <c r="Y1594" s="101"/>
      <c r="Z1594" s="101"/>
    </row>
    <row r="1595" ht="15.75" customHeight="1">
      <c r="A1595" s="190">
        <v>45827.0</v>
      </c>
      <c r="B1595" s="72" t="s">
        <v>540</v>
      </c>
      <c r="C1595" s="116" t="s">
        <v>541</v>
      </c>
      <c r="D1595" s="100">
        <f>410</f>
        <v>410</v>
      </c>
      <c r="E1595" s="100"/>
      <c r="F1595" s="100"/>
      <c r="G1595" s="100"/>
      <c r="H1595" s="100"/>
      <c r="I1595" s="101"/>
      <c r="J1595" s="101"/>
      <c r="K1595" s="101"/>
      <c r="L1595" s="101"/>
      <c r="M1595" s="101"/>
      <c r="N1595" s="101"/>
      <c r="O1595" s="101"/>
      <c r="P1595" s="101"/>
      <c r="Q1595" s="101"/>
      <c r="R1595" s="101"/>
      <c r="S1595" s="101"/>
      <c r="T1595" s="101"/>
      <c r="U1595" s="101"/>
      <c r="V1595" s="101"/>
      <c r="W1595" s="101"/>
      <c r="X1595" s="101"/>
      <c r="Y1595" s="101"/>
      <c r="Z1595" s="101"/>
    </row>
    <row r="1596" ht="15.75" customHeight="1">
      <c r="A1596" s="192"/>
      <c r="B1596" s="72" t="s">
        <v>514</v>
      </c>
      <c r="C1596" s="116" t="s">
        <v>515</v>
      </c>
      <c r="D1596" s="99">
        <v>82.0</v>
      </c>
      <c r="E1596" s="100"/>
      <c r="F1596" s="100"/>
      <c r="G1596" s="100"/>
      <c r="H1596" s="100"/>
      <c r="I1596" s="101"/>
      <c r="J1596" s="101"/>
      <c r="K1596" s="101"/>
      <c r="L1596" s="101"/>
      <c r="M1596" s="101"/>
      <c r="N1596" s="101"/>
      <c r="O1596" s="101"/>
      <c r="P1596" s="101"/>
      <c r="Q1596" s="101"/>
      <c r="R1596" s="101"/>
      <c r="S1596" s="101"/>
      <c r="T1596" s="101"/>
      <c r="U1596" s="101"/>
      <c r="V1596" s="101"/>
      <c r="W1596" s="101"/>
      <c r="X1596" s="101"/>
      <c r="Y1596" s="101"/>
      <c r="Z1596" s="101"/>
    </row>
    <row r="1597" ht="15.75" customHeight="1">
      <c r="A1597" s="192"/>
      <c r="B1597" s="72" t="s">
        <v>570</v>
      </c>
      <c r="C1597" s="116" t="s">
        <v>571</v>
      </c>
      <c r="D1597" s="99">
        <v>8.0</v>
      </c>
      <c r="E1597" s="100"/>
      <c r="F1597" s="100"/>
      <c r="G1597" s="100"/>
      <c r="H1597" s="100"/>
      <c r="I1597" s="101"/>
      <c r="J1597" s="101"/>
      <c r="K1597" s="101"/>
      <c r="L1597" s="101"/>
      <c r="M1597" s="101"/>
      <c r="N1597" s="101"/>
      <c r="O1597" s="101"/>
      <c r="P1597" s="101"/>
      <c r="Q1597" s="101"/>
      <c r="R1597" s="101"/>
      <c r="S1597" s="101"/>
      <c r="T1597" s="101"/>
      <c r="U1597" s="101"/>
      <c r="V1597" s="101"/>
      <c r="W1597" s="101"/>
      <c r="X1597" s="101"/>
      <c r="Y1597" s="101"/>
      <c r="Z1597" s="101"/>
    </row>
    <row r="1598" ht="15.75" customHeight="1">
      <c r="A1598" s="192"/>
      <c r="B1598" s="76" t="s">
        <v>494</v>
      </c>
      <c r="C1598" s="77" t="s">
        <v>495</v>
      </c>
      <c r="D1598" s="100">
        <f>46+162+217+314</f>
        <v>739</v>
      </c>
      <c r="E1598" s="100"/>
      <c r="F1598" s="100"/>
      <c r="G1598" s="100"/>
      <c r="H1598" s="100"/>
      <c r="I1598" s="101"/>
      <c r="J1598" s="101"/>
      <c r="K1598" s="101"/>
      <c r="L1598" s="101"/>
      <c r="M1598" s="101"/>
      <c r="N1598" s="101"/>
      <c r="O1598" s="101"/>
      <c r="P1598" s="101"/>
      <c r="Q1598" s="101"/>
      <c r="R1598" s="101"/>
      <c r="S1598" s="101"/>
      <c r="T1598" s="101"/>
      <c r="U1598" s="101"/>
      <c r="V1598" s="101"/>
      <c r="W1598" s="101"/>
      <c r="X1598" s="101"/>
      <c r="Y1598" s="101"/>
      <c r="Z1598" s="101"/>
    </row>
    <row r="1599" ht="15.75" customHeight="1">
      <c r="A1599" s="192"/>
      <c r="B1599" s="76" t="s">
        <v>434</v>
      </c>
      <c r="C1599" s="77" t="s">
        <v>435</v>
      </c>
      <c r="D1599" s="100">
        <f>293+184+212+355</f>
        <v>1044</v>
      </c>
      <c r="E1599" s="100"/>
      <c r="F1599" s="100"/>
      <c r="G1599" s="100"/>
      <c r="H1599" s="100"/>
      <c r="I1599" s="101"/>
      <c r="J1599" s="101"/>
      <c r="K1599" s="101"/>
      <c r="L1599" s="101"/>
      <c r="M1599" s="101"/>
      <c r="N1599" s="101"/>
      <c r="O1599" s="101"/>
      <c r="P1599" s="101"/>
      <c r="Q1599" s="101"/>
      <c r="R1599" s="101"/>
      <c r="S1599" s="101"/>
      <c r="T1599" s="101"/>
      <c r="U1599" s="101"/>
      <c r="V1599" s="101"/>
      <c r="W1599" s="101"/>
      <c r="X1599" s="101"/>
      <c r="Y1599" s="101"/>
      <c r="Z1599" s="101"/>
    </row>
    <row r="1600" ht="15.75" customHeight="1">
      <c r="A1600" s="192"/>
      <c r="B1600" s="76" t="s">
        <v>460</v>
      </c>
      <c r="C1600" s="77" t="s">
        <v>461</v>
      </c>
      <c r="D1600" s="100">
        <f>133+20</f>
        <v>153</v>
      </c>
      <c r="E1600" s="100"/>
      <c r="F1600" s="100"/>
      <c r="G1600" s="100"/>
      <c r="H1600" s="100"/>
      <c r="I1600" s="101"/>
      <c r="J1600" s="101"/>
      <c r="K1600" s="101"/>
      <c r="L1600" s="101"/>
      <c r="M1600" s="101"/>
      <c r="N1600" s="101"/>
      <c r="O1600" s="101"/>
      <c r="P1600" s="101"/>
      <c r="Q1600" s="101"/>
      <c r="R1600" s="101"/>
      <c r="S1600" s="101"/>
      <c r="T1600" s="101"/>
      <c r="U1600" s="101"/>
      <c r="V1600" s="101"/>
      <c r="W1600" s="101"/>
      <c r="X1600" s="101"/>
      <c r="Y1600" s="101"/>
      <c r="Z1600" s="101"/>
    </row>
    <row r="1601" ht="15.75" customHeight="1">
      <c r="A1601" s="192"/>
      <c r="B1601" s="40"/>
      <c r="C1601" s="77" t="s">
        <v>547</v>
      </c>
      <c r="D1601" s="99">
        <v>70.0</v>
      </c>
      <c r="E1601" s="100"/>
      <c r="F1601" s="100"/>
      <c r="G1601" s="100"/>
      <c r="H1601" s="100"/>
      <c r="I1601" s="101"/>
      <c r="J1601" s="101"/>
      <c r="K1601" s="101"/>
      <c r="L1601" s="101"/>
      <c r="M1601" s="101"/>
      <c r="N1601" s="101"/>
      <c r="O1601" s="101"/>
      <c r="P1601" s="101"/>
      <c r="Q1601" s="101"/>
      <c r="R1601" s="101"/>
      <c r="S1601" s="101"/>
      <c r="T1601" s="101"/>
      <c r="U1601" s="101"/>
      <c r="V1601" s="101"/>
      <c r="W1601" s="101"/>
      <c r="X1601" s="101"/>
      <c r="Y1601" s="101"/>
      <c r="Z1601" s="101"/>
    </row>
    <row r="1602" ht="15.75" customHeight="1">
      <c r="A1602" s="192"/>
      <c r="B1602" s="40" t="s">
        <v>562</v>
      </c>
      <c r="C1602" s="77" t="s">
        <v>563</v>
      </c>
      <c r="D1602" s="99">
        <v>122.0</v>
      </c>
      <c r="E1602" s="100"/>
      <c r="F1602" s="100"/>
      <c r="G1602" s="100"/>
      <c r="H1602" s="100"/>
      <c r="I1602" s="101"/>
      <c r="J1602" s="101"/>
      <c r="K1602" s="101"/>
      <c r="L1602" s="101"/>
      <c r="M1602" s="101"/>
      <c r="N1602" s="101"/>
      <c r="O1602" s="101"/>
      <c r="P1602" s="101"/>
      <c r="Q1602" s="101"/>
      <c r="R1602" s="101"/>
      <c r="S1602" s="101"/>
      <c r="T1602" s="101"/>
      <c r="U1602" s="101"/>
      <c r="V1602" s="101"/>
      <c r="W1602" s="101"/>
      <c r="X1602" s="101"/>
      <c r="Y1602" s="101"/>
      <c r="Z1602" s="101"/>
    </row>
    <row r="1603" ht="15.75" customHeight="1">
      <c r="A1603" s="192"/>
      <c r="B1603" s="248" t="s">
        <v>699</v>
      </c>
      <c r="C1603" s="249" t="s">
        <v>700</v>
      </c>
      <c r="D1603" s="99">
        <v>44.0</v>
      </c>
      <c r="E1603" s="100"/>
      <c r="F1603" s="100"/>
      <c r="G1603" s="100"/>
      <c r="H1603" s="100"/>
      <c r="I1603" s="101"/>
      <c r="J1603" s="101"/>
      <c r="K1603" s="101"/>
      <c r="L1603" s="101"/>
      <c r="M1603" s="101"/>
      <c r="N1603" s="101"/>
      <c r="O1603" s="101"/>
      <c r="P1603" s="101"/>
      <c r="Q1603" s="101"/>
      <c r="R1603" s="101"/>
      <c r="S1603" s="101"/>
      <c r="T1603" s="101"/>
      <c r="U1603" s="101"/>
      <c r="V1603" s="101"/>
      <c r="W1603" s="101"/>
      <c r="X1603" s="101"/>
      <c r="Y1603" s="101"/>
      <c r="Z1603" s="101"/>
    </row>
    <row r="1604" ht="15.75" customHeight="1">
      <c r="A1604" s="192"/>
      <c r="B1604" s="40" t="s">
        <v>572</v>
      </c>
      <c r="C1604" s="250" t="s">
        <v>573</v>
      </c>
      <c r="D1604" s="99">
        <v>226.0</v>
      </c>
      <c r="E1604" s="100"/>
      <c r="F1604" s="100"/>
      <c r="G1604" s="100"/>
      <c r="H1604" s="100"/>
      <c r="I1604" s="101"/>
      <c r="J1604" s="101"/>
      <c r="K1604" s="101"/>
      <c r="L1604" s="101"/>
      <c r="M1604" s="101"/>
      <c r="N1604" s="101"/>
      <c r="O1604" s="101"/>
      <c r="P1604" s="101"/>
      <c r="Q1604" s="101"/>
      <c r="R1604" s="101"/>
      <c r="S1604" s="101"/>
      <c r="T1604" s="101"/>
      <c r="U1604" s="101"/>
      <c r="V1604" s="101"/>
      <c r="W1604" s="101"/>
      <c r="X1604" s="101"/>
      <c r="Y1604" s="101"/>
      <c r="Z1604" s="101"/>
    </row>
    <row r="1605" ht="15.75" customHeight="1">
      <c r="A1605" s="192"/>
      <c r="B1605" s="124" t="s">
        <v>476</v>
      </c>
      <c r="C1605" s="251" t="s">
        <v>477</v>
      </c>
      <c r="D1605" s="99">
        <v>83.0</v>
      </c>
      <c r="E1605" s="100"/>
      <c r="F1605" s="100"/>
      <c r="G1605" s="100"/>
      <c r="H1605" s="100"/>
      <c r="I1605" s="101"/>
      <c r="J1605" s="101"/>
      <c r="K1605" s="101"/>
      <c r="L1605" s="101"/>
      <c r="M1605" s="101"/>
      <c r="N1605" s="101"/>
      <c r="O1605" s="101"/>
      <c r="P1605" s="101"/>
      <c r="Q1605" s="101"/>
      <c r="R1605" s="101"/>
      <c r="S1605" s="101"/>
      <c r="T1605" s="101"/>
      <c r="U1605" s="101"/>
      <c r="V1605" s="101"/>
      <c r="W1605" s="101"/>
      <c r="X1605" s="101"/>
      <c r="Y1605" s="101"/>
      <c r="Z1605" s="101"/>
    </row>
    <row r="1606" ht="15.75" customHeight="1">
      <c r="A1606" s="192"/>
      <c r="B1606" s="40" t="s">
        <v>544</v>
      </c>
      <c r="C1606" s="252" t="s">
        <v>545</v>
      </c>
      <c r="D1606" s="99">
        <v>329.0</v>
      </c>
      <c r="E1606" s="100"/>
      <c r="F1606" s="100"/>
      <c r="G1606" s="100"/>
      <c r="H1606" s="100"/>
      <c r="I1606" s="101"/>
      <c r="J1606" s="101"/>
      <c r="K1606" s="101"/>
      <c r="L1606" s="101"/>
      <c r="M1606" s="101"/>
      <c r="N1606" s="101"/>
      <c r="O1606" s="101"/>
      <c r="P1606" s="101"/>
      <c r="Q1606" s="101"/>
      <c r="R1606" s="101"/>
      <c r="S1606" s="101"/>
      <c r="T1606" s="101"/>
      <c r="U1606" s="101"/>
      <c r="V1606" s="101"/>
      <c r="W1606" s="101"/>
      <c r="X1606" s="101"/>
      <c r="Y1606" s="101"/>
      <c r="Z1606" s="101"/>
    </row>
    <row r="1607" ht="15.75" customHeight="1">
      <c r="A1607" s="192"/>
      <c r="B1607" s="53" t="s">
        <v>588</v>
      </c>
      <c r="C1607" s="77" t="s">
        <v>589</v>
      </c>
      <c r="D1607" s="99">
        <v>389.0</v>
      </c>
      <c r="E1607" s="100"/>
      <c r="F1607" s="100"/>
      <c r="G1607" s="100"/>
      <c r="H1607" s="100"/>
      <c r="I1607" s="101"/>
      <c r="J1607" s="101"/>
      <c r="K1607" s="101"/>
      <c r="L1607" s="101"/>
      <c r="M1607" s="101"/>
      <c r="N1607" s="101"/>
      <c r="O1607" s="101"/>
      <c r="P1607" s="101"/>
      <c r="Q1607" s="101"/>
      <c r="R1607" s="101"/>
      <c r="S1607" s="101"/>
      <c r="T1607" s="101"/>
      <c r="U1607" s="101"/>
      <c r="V1607" s="101"/>
      <c r="W1607" s="101"/>
      <c r="X1607" s="101"/>
      <c r="Y1607" s="101"/>
      <c r="Z1607" s="101"/>
    </row>
    <row r="1608" ht="15.75" customHeight="1">
      <c r="A1608" s="192"/>
      <c r="B1608" s="72" t="s">
        <v>584</v>
      </c>
      <c r="C1608" s="149" t="s">
        <v>585</v>
      </c>
      <c r="D1608" s="99">
        <f>886+875</f>
        <v>1761</v>
      </c>
      <c r="E1608" s="100"/>
      <c r="F1608" s="100"/>
      <c r="G1608" s="100"/>
      <c r="H1608" s="100"/>
      <c r="I1608" s="101"/>
      <c r="J1608" s="101"/>
      <c r="K1608" s="101"/>
      <c r="L1608" s="101"/>
      <c r="M1608" s="101"/>
      <c r="N1608" s="101"/>
      <c r="O1608" s="101"/>
      <c r="P1608" s="101"/>
      <c r="Q1608" s="101"/>
      <c r="R1608" s="101"/>
      <c r="S1608" s="101"/>
      <c r="T1608" s="101"/>
      <c r="U1608" s="101"/>
      <c r="V1608" s="101"/>
      <c r="W1608" s="101"/>
      <c r="X1608" s="101"/>
      <c r="Y1608" s="101"/>
      <c r="Z1608" s="101"/>
    </row>
    <row r="1609" ht="15.75" customHeight="1">
      <c r="A1609" s="192"/>
      <c r="B1609" s="72" t="s">
        <v>458</v>
      </c>
      <c r="C1609" s="149" t="s">
        <v>459</v>
      </c>
      <c r="D1609" s="99">
        <v>1473.0</v>
      </c>
      <c r="E1609" s="100"/>
      <c r="F1609" s="100"/>
      <c r="G1609" s="100"/>
      <c r="H1609" s="100"/>
      <c r="I1609" s="101"/>
      <c r="J1609" s="101"/>
      <c r="K1609" s="101"/>
      <c r="L1609" s="101"/>
      <c r="M1609" s="101"/>
      <c r="N1609" s="101"/>
      <c r="O1609" s="101"/>
      <c r="P1609" s="101"/>
      <c r="Q1609" s="101"/>
      <c r="R1609" s="101"/>
      <c r="S1609" s="101"/>
      <c r="T1609" s="101"/>
      <c r="U1609" s="101"/>
      <c r="V1609" s="101"/>
      <c r="W1609" s="101"/>
      <c r="X1609" s="101"/>
      <c r="Y1609" s="101"/>
      <c r="Z1609" s="101"/>
    </row>
    <row r="1610" ht="15.75" customHeight="1">
      <c r="A1610" s="192"/>
      <c r="B1610" s="72" t="s">
        <v>454</v>
      </c>
      <c r="C1610" s="149" t="s">
        <v>455</v>
      </c>
      <c r="D1610" s="99">
        <v>568.0</v>
      </c>
      <c r="E1610" s="100"/>
      <c r="F1610" s="100"/>
      <c r="G1610" s="100"/>
      <c r="H1610" s="100"/>
      <c r="I1610" s="101"/>
      <c r="J1610" s="101"/>
      <c r="K1610" s="101"/>
      <c r="L1610" s="101"/>
      <c r="M1610" s="101"/>
      <c r="N1610" s="101"/>
      <c r="O1610" s="101"/>
      <c r="P1610" s="101"/>
      <c r="Q1610" s="101"/>
      <c r="R1610" s="101"/>
      <c r="S1610" s="101"/>
      <c r="T1610" s="101"/>
      <c r="U1610" s="101"/>
      <c r="V1610" s="101"/>
      <c r="W1610" s="101"/>
      <c r="X1610" s="101"/>
      <c r="Y1610" s="101"/>
      <c r="Z1610" s="101"/>
    </row>
    <row r="1611" ht="15.75" customHeight="1">
      <c r="A1611" s="192"/>
      <c r="B1611" s="125" t="s">
        <v>446</v>
      </c>
      <c r="C1611" s="125" t="s">
        <v>447</v>
      </c>
      <c r="D1611" s="99">
        <f>177+223</f>
        <v>400</v>
      </c>
      <c r="E1611" s="100"/>
      <c r="F1611" s="100"/>
      <c r="G1611" s="100"/>
      <c r="H1611" s="100"/>
      <c r="I1611" s="101"/>
      <c r="J1611" s="101"/>
      <c r="K1611" s="101"/>
      <c r="L1611" s="101"/>
      <c r="M1611" s="101"/>
      <c r="N1611" s="101"/>
      <c r="O1611" s="101"/>
      <c r="P1611" s="101"/>
      <c r="Q1611" s="101"/>
      <c r="R1611" s="101"/>
      <c r="S1611" s="101"/>
      <c r="T1611" s="101"/>
      <c r="U1611" s="101"/>
      <c r="V1611" s="101"/>
      <c r="W1611" s="101"/>
      <c r="X1611" s="101"/>
      <c r="Y1611" s="101"/>
      <c r="Z1611" s="101"/>
    </row>
    <row r="1612" ht="15.75" customHeight="1">
      <c r="A1612" s="192"/>
      <c r="B1612" s="125" t="s">
        <v>536</v>
      </c>
      <c r="C1612" s="125" t="s">
        <v>537</v>
      </c>
      <c r="D1612" s="99">
        <f>160+70</f>
        <v>230</v>
      </c>
      <c r="E1612" s="100"/>
      <c r="F1612" s="100"/>
      <c r="G1612" s="100"/>
      <c r="H1612" s="100"/>
      <c r="I1612" s="101"/>
      <c r="J1612" s="101"/>
      <c r="K1612" s="101"/>
      <c r="L1612" s="101"/>
      <c r="M1612" s="101"/>
      <c r="N1612" s="101"/>
      <c r="O1612" s="101"/>
      <c r="P1612" s="101"/>
      <c r="Q1612" s="101"/>
      <c r="R1612" s="101"/>
      <c r="S1612" s="101"/>
      <c r="T1612" s="101"/>
      <c r="U1612" s="101"/>
      <c r="V1612" s="101"/>
      <c r="W1612" s="101"/>
      <c r="X1612" s="101"/>
      <c r="Y1612" s="101"/>
      <c r="Z1612" s="101"/>
    </row>
    <row r="1613" ht="15.75" customHeight="1">
      <c r="A1613" s="192"/>
      <c r="B1613" s="76" t="s">
        <v>542</v>
      </c>
      <c r="C1613" s="77" t="s">
        <v>543</v>
      </c>
      <c r="D1613" s="99">
        <v>18.0</v>
      </c>
      <c r="E1613" s="100"/>
      <c r="F1613" s="100"/>
      <c r="G1613" s="100"/>
      <c r="H1613" s="100"/>
      <c r="I1613" s="101"/>
      <c r="J1613" s="101"/>
      <c r="K1613" s="101"/>
      <c r="L1613" s="101"/>
      <c r="M1613" s="101"/>
      <c r="N1613" s="101"/>
      <c r="O1613" s="101"/>
      <c r="P1613" s="101"/>
      <c r="Q1613" s="101"/>
      <c r="R1613" s="101"/>
      <c r="S1613" s="101"/>
      <c r="T1613" s="101"/>
      <c r="U1613" s="101"/>
      <c r="V1613" s="101"/>
      <c r="W1613" s="101"/>
      <c r="X1613" s="101"/>
      <c r="Y1613" s="101"/>
      <c r="Z1613" s="101"/>
    </row>
    <row r="1614" ht="15.75" customHeight="1">
      <c r="A1614" s="192"/>
      <c r="B1614" s="76"/>
      <c r="C1614" s="77" t="s">
        <v>543</v>
      </c>
      <c r="D1614" s="99">
        <v>176.0</v>
      </c>
      <c r="E1614" s="100"/>
      <c r="F1614" s="100"/>
      <c r="G1614" s="100"/>
      <c r="H1614" s="100"/>
      <c r="I1614" s="101"/>
      <c r="J1614" s="101"/>
      <c r="K1614" s="101"/>
      <c r="L1614" s="101"/>
      <c r="M1614" s="101"/>
      <c r="N1614" s="101"/>
      <c r="O1614" s="101"/>
      <c r="P1614" s="101"/>
      <c r="Q1614" s="101"/>
      <c r="R1614" s="101"/>
      <c r="S1614" s="101"/>
      <c r="T1614" s="101"/>
      <c r="U1614" s="101"/>
      <c r="V1614" s="101"/>
      <c r="W1614" s="101"/>
      <c r="X1614" s="101"/>
      <c r="Y1614" s="101"/>
      <c r="Z1614" s="101"/>
    </row>
    <row r="1615" ht="15.75" customHeight="1">
      <c r="A1615" s="192"/>
      <c r="B1615" s="76" t="s">
        <v>574</v>
      </c>
      <c r="C1615" s="77" t="s">
        <v>575</v>
      </c>
      <c r="D1615" s="57">
        <v>182.0</v>
      </c>
      <c r="E1615" s="100"/>
      <c r="F1615" s="100"/>
      <c r="G1615" s="100"/>
      <c r="H1615" s="100"/>
      <c r="I1615" s="101"/>
      <c r="J1615" s="101"/>
      <c r="K1615" s="101"/>
      <c r="L1615" s="101"/>
      <c r="M1615" s="101"/>
      <c r="N1615" s="101"/>
      <c r="O1615" s="101"/>
      <c r="P1615" s="101"/>
      <c r="Q1615" s="101"/>
      <c r="R1615" s="101"/>
      <c r="S1615" s="101"/>
      <c r="T1615" s="101"/>
      <c r="U1615" s="101"/>
      <c r="V1615" s="101"/>
      <c r="W1615" s="101"/>
      <c r="X1615" s="101"/>
      <c r="Y1615" s="101"/>
      <c r="Z1615" s="101"/>
    </row>
    <row r="1616" ht="15.75" customHeight="1">
      <c r="A1616" s="192"/>
      <c r="B1616" s="76" t="s">
        <v>586</v>
      </c>
      <c r="C1616" s="77" t="s">
        <v>587</v>
      </c>
      <c r="D1616" s="99">
        <v>363.0</v>
      </c>
      <c r="E1616" s="100"/>
      <c r="F1616" s="100"/>
      <c r="G1616" s="100"/>
      <c r="H1616" s="100"/>
      <c r="I1616" s="101"/>
      <c r="J1616" s="101"/>
      <c r="K1616" s="101"/>
      <c r="L1616" s="101"/>
      <c r="M1616" s="101"/>
      <c r="N1616" s="101"/>
      <c r="O1616" s="101"/>
      <c r="P1616" s="101"/>
      <c r="Q1616" s="101"/>
      <c r="R1616" s="101"/>
      <c r="S1616" s="101"/>
      <c r="T1616" s="101"/>
      <c r="U1616" s="101"/>
      <c r="V1616" s="101"/>
      <c r="W1616" s="101"/>
      <c r="X1616" s="101"/>
      <c r="Y1616" s="101"/>
      <c r="Z1616" s="101"/>
    </row>
    <row r="1617" ht="15.75" customHeight="1">
      <c r="A1617" s="192"/>
      <c r="B1617" s="76" t="s">
        <v>564</v>
      </c>
      <c r="C1617" s="77" t="s">
        <v>565</v>
      </c>
      <c r="D1617" s="99">
        <v>390.0</v>
      </c>
      <c r="E1617" s="100"/>
      <c r="F1617" s="100"/>
      <c r="G1617" s="100"/>
      <c r="H1617" s="100"/>
      <c r="I1617" s="101"/>
      <c r="J1617" s="101"/>
      <c r="K1617" s="101"/>
      <c r="L1617" s="101"/>
      <c r="M1617" s="101"/>
      <c r="N1617" s="101"/>
      <c r="O1617" s="101"/>
      <c r="P1617" s="101"/>
      <c r="Q1617" s="101"/>
      <c r="R1617" s="101"/>
      <c r="S1617" s="101"/>
      <c r="T1617" s="101"/>
      <c r="U1617" s="101"/>
      <c r="V1617" s="101"/>
      <c r="W1617" s="101"/>
      <c r="X1617" s="101"/>
      <c r="Y1617" s="101"/>
      <c r="Z1617" s="101"/>
    </row>
    <row r="1618" ht="15.75" customHeight="1">
      <c r="A1618" s="192"/>
      <c r="B1618" s="72" t="s">
        <v>502</v>
      </c>
      <c r="C1618" s="116" t="s">
        <v>503</v>
      </c>
      <c r="D1618" s="99">
        <v>314.0</v>
      </c>
      <c r="E1618" s="100"/>
      <c r="F1618" s="100"/>
      <c r="G1618" s="100"/>
      <c r="H1618" s="100"/>
      <c r="I1618" s="101"/>
      <c r="J1618" s="101"/>
      <c r="K1618" s="101"/>
      <c r="L1618" s="101"/>
      <c r="M1618" s="101"/>
      <c r="N1618" s="101"/>
      <c r="O1618" s="101"/>
      <c r="P1618" s="101"/>
      <c r="Q1618" s="101"/>
      <c r="R1618" s="101"/>
      <c r="S1618" s="101"/>
      <c r="T1618" s="101"/>
      <c r="U1618" s="101"/>
      <c r="V1618" s="101"/>
      <c r="W1618" s="101"/>
      <c r="X1618" s="101"/>
      <c r="Y1618" s="101"/>
      <c r="Z1618" s="101"/>
    </row>
    <row r="1619" ht="15.75" customHeight="1">
      <c r="A1619" s="192"/>
      <c r="B1619" s="72" t="s">
        <v>510</v>
      </c>
      <c r="C1619" s="116" t="s">
        <v>511</v>
      </c>
      <c r="D1619" s="99">
        <v>313.0</v>
      </c>
      <c r="E1619" s="100"/>
      <c r="F1619" s="100"/>
      <c r="G1619" s="100"/>
      <c r="H1619" s="100"/>
      <c r="I1619" s="101"/>
      <c r="J1619" s="101"/>
      <c r="K1619" s="101"/>
      <c r="L1619" s="101"/>
      <c r="M1619" s="101"/>
      <c r="N1619" s="101"/>
      <c r="O1619" s="101"/>
      <c r="P1619" s="101"/>
      <c r="Q1619" s="101"/>
      <c r="R1619" s="101"/>
      <c r="S1619" s="101"/>
      <c r="T1619" s="101"/>
      <c r="U1619" s="101"/>
      <c r="V1619" s="101"/>
      <c r="W1619" s="101"/>
      <c r="X1619" s="101"/>
      <c r="Y1619" s="101"/>
      <c r="Z1619" s="101"/>
    </row>
    <row r="1620" ht="15.75" customHeight="1">
      <c r="A1620" s="192"/>
      <c r="B1620" s="109"/>
      <c r="C1620" s="236"/>
      <c r="D1620" s="100"/>
      <c r="E1620" s="100"/>
      <c r="F1620" s="100"/>
      <c r="G1620" s="100"/>
      <c r="H1620" s="100"/>
      <c r="I1620" s="101"/>
      <c r="J1620" s="101"/>
      <c r="K1620" s="101"/>
      <c r="L1620" s="101"/>
      <c r="M1620" s="101"/>
      <c r="N1620" s="101"/>
      <c r="O1620" s="101"/>
      <c r="P1620" s="101"/>
      <c r="Q1620" s="101"/>
      <c r="R1620" s="101"/>
      <c r="S1620" s="101"/>
      <c r="T1620" s="101"/>
      <c r="U1620" s="101"/>
      <c r="V1620" s="101"/>
      <c r="W1620" s="101"/>
      <c r="X1620" s="101"/>
      <c r="Y1620" s="101"/>
      <c r="Z1620" s="101"/>
    </row>
    <row r="1621" ht="15.75" customHeight="1">
      <c r="A1621" s="190">
        <v>45828.0</v>
      </c>
      <c r="B1621" s="72" t="s">
        <v>452</v>
      </c>
      <c r="C1621" s="116" t="s">
        <v>453</v>
      </c>
      <c r="D1621" s="100">
        <f>211</f>
        <v>211</v>
      </c>
      <c r="E1621" s="100"/>
      <c r="F1621" s="100"/>
      <c r="G1621" s="100"/>
      <c r="H1621" s="100"/>
      <c r="I1621" s="101"/>
      <c r="J1621" s="101"/>
      <c r="K1621" s="101"/>
      <c r="L1621" s="101"/>
      <c r="M1621" s="101"/>
      <c r="N1621" s="101"/>
      <c r="O1621" s="101"/>
      <c r="P1621" s="101"/>
      <c r="Q1621" s="101"/>
      <c r="R1621" s="101"/>
      <c r="S1621" s="101"/>
      <c r="T1621" s="101"/>
      <c r="U1621" s="101"/>
      <c r="V1621" s="101"/>
      <c r="W1621" s="101"/>
      <c r="X1621" s="101"/>
      <c r="Y1621" s="101"/>
      <c r="Z1621" s="101"/>
    </row>
    <row r="1622" ht="15.75" customHeight="1">
      <c r="A1622" s="192"/>
      <c r="B1622" s="72" t="s">
        <v>456</v>
      </c>
      <c r="C1622" s="116" t="s">
        <v>457</v>
      </c>
      <c r="D1622" s="99">
        <v>233.0</v>
      </c>
      <c r="E1622" s="100"/>
      <c r="F1622" s="100"/>
      <c r="G1622" s="100"/>
      <c r="H1622" s="100"/>
      <c r="I1622" s="101"/>
      <c r="J1622" s="101"/>
      <c r="K1622" s="101"/>
      <c r="L1622" s="101"/>
      <c r="M1622" s="101"/>
      <c r="N1622" s="101"/>
      <c r="O1622" s="101"/>
      <c r="P1622" s="101"/>
      <c r="Q1622" s="101"/>
      <c r="R1622" s="101"/>
      <c r="S1622" s="101"/>
      <c r="T1622" s="101"/>
      <c r="U1622" s="101"/>
      <c r="V1622" s="101"/>
      <c r="W1622" s="101"/>
      <c r="X1622" s="101"/>
      <c r="Y1622" s="101"/>
      <c r="Z1622" s="101"/>
    </row>
    <row r="1623" ht="15.75" customHeight="1">
      <c r="A1623" s="192"/>
      <c r="B1623" s="72" t="s">
        <v>458</v>
      </c>
      <c r="C1623" s="149" t="s">
        <v>459</v>
      </c>
      <c r="D1623" s="100">
        <f>691+212</f>
        <v>903</v>
      </c>
      <c r="E1623" s="100"/>
      <c r="F1623" s="100"/>
      <c r="G1623" s="100"/>
      <c r="H1623" s="100"/>
      <c r="I1623" s="101"/>
      <c r="J1623" s="101"/>
      <c r="K1623" s="101"/>
      <c r="L1623" s="101"/>
      <c r="M1623" s="101"/>
      <c r="N1623" s="101"/>
      <c r="O1623" s="101"/>
      <c r="P1623" s="101"/>
      <c r="Q1623" s="101"/>
      <c r="R1623" s="101"/>
      <c r="S1623" s="101"/>
      <c r="T1623" s="101"/>
      <c r="U1623" s="101"/>
      <c r="V1623" s="101"/>
      <c r="W1623" s="101"/>
      <c r="X1623" s="101"/>
      <c r="Y1623" s="101"/>
      <c r="Z1623" s="101"/>
    </row>
    <row r="1624" ht="15.75" customHeight="1">
      <c r="A1624" s="192"/>
      <c r="B1624" s="72" t="s">
        <v>502</v>
      </c>
      <c r="C1624" s="116" t="s">
        <v>503</v>
      </c>
      <c r="D1624" s="99">
        <v>911.0</v>
      </c>
      <c r="E1624" s="100"/>
      <c r="F1624" s="100"/>
      <c r="G1624" s="100"/>
      <c r="H1624" s="100"/>
      <c r="I1624" s="101"/>
      <c r="J1624" s="101"/>
      <c r="K1624" s="101"/>
      <c r="L1624" s="101"/>
      <c r="M1624" s="101"/>
      <c r="N1624" s="101"/>
      <c r="O1624" s="101"/>
      <c r="P1624" s="101"/>
      <c r="Q1624" s="101"/>
      <c r="R1624" s="101"/>
      <c r="S1624" s="101"/>
      <c r="T1624" s="101"/>
      <c r="U1624" s="101"/>
      <c r="V1624" s="101"/>
      <c r="W1624" s="101"/>
      <c r="X1624" s="101"/>
      <c r="Y1624" s="101"/>
      <c r="Z1624" s="101"/>
    </row>
    <row r="1625" ht="15.75" customHeight="1">
      <c r="A1625" s="192"/>
      <c r="B1625" s="72" t="s">
        <v>510</v>
      </c>
      <c r="C1625" s="116" t="s">
        <v>511</v>
      </c>
      <c r="D1625" s="100">
        <f>936+307</f>
        <v>1243</v>
      </c>
      <c r="E1625" s="100"/>
      <c r="F1625" s="100"/>
      <c r="G1625" s="100"/>
      <c r="H1625" s="100"/>
      <c r="I1625" s="101"/>
      <c r="J1625" s="101"/>
      <c r="K1625" s="101"/>
      <c r="L1625" s="101"/>
      <c r="M1625" s="101"/>
      <c r="N1625" s="101"/>
      <c r="O1625" s="101"/>
      <c r="P1625" s="101"/>
      <c r="Q1625" s="101"/>
      <c r="R1625" s="101"/>
      <c r="S1625" s="101"/>
      <c r="T1625" s="101"/>
      <c r="U1625" s="101"/>
      <c r="V1625" s="101"/>
      <c r="W1625" s="101"/>
      <c r="X1625" s="101"/>
      <c r="Y1625" s="101"/>
      <c r="Z1625" s="101"/>
    </row>
    <row r="1626" ht="15.75" customHeight="1">
      <c r="A1626" s="192"/>
      <c r="B1626" s="72" t="s">
        <v>514</v>
      </c>
      <c r="C1626" s="116" t="s">
        <v>515</v>
      </c>
      <c r="D1626" s="99">
        <v>70.0</v>
      </c>
      <c r="E1626" s="100"/>
      <c r="F1626" s="100"/>
      <c r="G1626" s="100"/>
      <c r="H1626" s="100"/>
      <c r="I1626" s="101"/>
      <c r="J1626" s="101"/>
      <c r="K1626" s="101"/>
      <c r="L1626" s="101"/>
      <c r="M1626" s="101"/>
      <c r="N1626" s="101"/>
      <c r="O1626" s="101"/>
      <c r="P1626" s="101"/>
      <c r="Q1626" s="101"/>
      <c r="R1626" s="101"/>
      <c r="S1626" s="101"/>
      <c r="T1626" s="101"/>
      <c r="U1626" s="101"/>
      <c r="V1626" s="101"/>
      <c r="W1626" s="101"/>
      <c r="X1626" s="101"/>
      <c r="Y1626" s="101"/>
      <c r="Z1626" s="101"/>
    </row>
    <row r="1627" ht="15.75" customHeight="1">
      <c r="A1627" s="192"/>
      <c r="B1627" s="72" t="s">
        <v>516</v>
      </c>
      <c r="C1627" s="116" t="s">
        <v>517</v>
      </c>
      <c r="D1627" s="99">
        <v>59.0</v>
      </c>
      <c r="E1627" s="100"/>
      <c r="F1627" s="100"/>
      <c r="G1627" s="100"/>
      <c r="H1627" s="100"/>
      <c r="I1627" s="101"/>
      <c r="J1627" s="101"/>
      <c r="K1627" s="101"/>
      <c r="L1627" s="101"/>
      <c r="M1627" s="101"/>
      <c r="N1627" s="101"/>
      <c r="O1627" s="101"/>
      <c r="P1627" s="101"/>
      <c r="Q1627" s="101"/>
      <c r="R1627" s="101"/>
      <c r="S1627" s="101"/>
      <c r="T1627" s="101"/>
      <c r="U1627" s="101"/>
      <c r="V1627" s="101"/>
      <c r="W1627" s="101"/>
      <c r="X1627" s="101"/>
      <c r="Y1627" s="101"/>
      <c r="Z1627" s="101"/>
    </row>
    <row r="1628" ht="15.75" customHeight="1">
      <c r="A1628" s="192"/>
      <c r="B1628" s="72" t="s">
        <v>540</v>
      </c>
      <c r="C1628" s="116" t="s">
        <v>541</v>
      </c>
      <c r="D1628" s="99">
        <v>42.0</v>
      </c>
      <c r="E1628" s="100"/>
      <c r="F1628" s="100"/>
      <c r="G1628" s="100"/>
      <c r="H1628" s="100"/>
      <c r="I1628" s="101"/>
      <c r="J1628" s="101"/>
      <c r="K1628" s="101"/>
      <c r="L1628" s="101"/>
      <c r="M1628" s="101"/>
      <c r="N1628" s="101"/>
      <c r="O1628" s="101"/>
      <c r="P1628" s="101"/>
      <c r="Q1628" s="101"/>
      <c r="R1628" s="101"/>
      <c r="S1628" s="101"/>
      <c r="T1628" s="101"/>
      <c r="U1628" s="101"/>
      <c r="V1628" s="101"/>
      <c r="W1628" s="101"/>
      <c r="X1628" s="101"/>
      <c r="Y1628" s="101"/>
      <c r="Z1628" s="101"/>
    </row>
    <row r="1629" ht="15.75" customHeight="1">
      <c r="A1629" s="192"/>
      <c r="B1629" s="109"/>
      <c r="C1629" s="116" t="s">
        <v>541</v>
      </c>
      <c r="D1629" s="99">
        <v>421.0</v>
      </c>
      <c r="E1629" s="100"/>
      <c r="F1629" s="100"/>
      <c r="G1629" s="100"/>
      <c r="H1629" s="100"/>
      <c r="I1629" s="101"/>
      <c r="J1629" s="101"/>
      <c r="K1629" s="101"/>
      <c r="L1629" s="101"/>
      <c r="M1629" s="101"/>
      <c r="N1629" s="101"/>
      <c r="O1629" s="101"/>
      <c r="P1629" s="101"/>
      <c r="Q1629" s="101"/>
      <c r="R1629" s="101"/>
      <c r="S1629" s="101"/>
      <c r="T1629" s="101"/>
      <c r="U1629" s="101"/>
      <c r="V1629" s="101"/>
      <c r="W1629" s="101"/>
      <c r="X1629" s="101"/>
      <c r="Y1629" s="101"/>
      <c r="Z1629" s="101"/>
    </row>
    <row r="1630" ht="15.75" customHeight="1">
      <c r="A1630" s="192"/>
      <c r="B1630" s="72" t="s">
        <v>454</v>
      </c>
      <c r="C1630" s="149" t="s">
        <v>455</v>
      </c>
      <c r="D1630" s="99">
        <v>264.0</v>
      </c>
      <c r="E1630" s="100"/>
      <c r="F1630" s="100"/>
      <c r="G1630" s="100"/>
      <c r="H1630" s="100"/>
      <c r="I1630" s="101"/>
      <c r="J1630" s="101"/>
      <c r="K1630" s="101"/>
      <c r="L1630" s="101"/>
      <c r="M1630" s="101"/>
      <c r="N1630" s="101"/>
      <c r="O1630" s="101"/>
      <c r="P1630" s="101"/>
      <c r="Q1630" s="101"/>
      <c r="R1630" s="101"/>
      <c r="S1630" s="101"/>
      <c r="T1630" s="101"/>
      <c r="U1630" s="101"/>
      <c r="V1630" s="101"/>
      <c r="W1630" s="101"/>
      <c r="X1630" s="101"/>
      <c r="Y1630" s="101"/>
      <c r="Z1630" s="101"/>
    </row>
    <row r="1631" ht="15.75" customHeight="1">
      <c r="A1631" s="192"/>
      <c r="B1631" s="72" t="s">
        <v>436</v>
      </c>
      <c r="C1631" s="116" t="s">
        <v>437</v>
      </c>
      <c r="D1631" s="99">
        <f>126+636</f>
        <v>762</v>
      </c>
      <c r="E1631" s="100"/>
      <c r="F1631" s="100"/>
      <c r="G1631" s="100"/>
      <c r="H1631" s="100"/>
      <c r="I1631" s="101"/>
      <c r="J1631" s="101"/>
      <c r="K1631" s="101"/>
      <c r="L1631" s="101"/>
      <c r="M1631" s="101"/>
      <c r="N1631" s="101"/>
      <c r="O1631" s="101"/>
      <c r="P1631" s="101"/>
      <c r="Q1631" s="101"/>
      <c r="R1631" s="101"/>
      <c r="S1631" s="101"/>
      <c r="T1631" s="101"/>
      <c r="U1631" s="101"/>
      <c r="V1631" s="101"/>
      <c r="W1631" s="101"/>
      <c r="X1631" s="101"/>
      <c r="Y1631" s="101"/>
      <c r="Z1631" s="101"/>
    </row>
    <row r="1632" ht="15.75" customHeight="1">
      <c r="A1632" s="192"/>
      <c r="B1632" s="72" t="s">
        <v>584</v>
      </c>
      <c r="C1632" s="149" t="s">
        <v>585</v>
      </c>
      <c r="D1632" s="99">
        <f>757+795</f>
        <v>1552</v>
      </c>
      <c r="E1632" s="100"/>
      <c r="F1632" s="100"/>
      <c r="G1632" s="100"/>
      <c r="H1632" s="100"/>
      <c r="I1632" s="101"/>
      <c r="J1632" s="101"/>
      <c r="K1632" s="101"/>
      <c r="L1632" s="101"/>
      <c r="M1632" s="101"/>
      <c r="N1632" s="101"/>
      <c r="O1632" s="101"/>
      <c r="P1632" s="101"/>
      <c r="Q1632" s="101"/>
      <c r="R1632" s="101"/>
      <c r="S1632" s="101"/>
      <c r="T1632" s="101"/>
      <c r="U1632" s="101"/>
      <c r="V1632" s="101"/>
      <c r="W1632" s="101"/>
      <c r="X1632" s="101"/>
      <c r="Y1632" s="101"/>
      <c r="Z1632" s="101"/>
    </row>
    <row r="1633" ht="15.75" customHeight="1">
      <c r="A1633" s="192"/>
      <c r="B1633" s="125" t="s">
        <v>446</v>
      </c>
      <c r="C1633" s="125" t="s">
        <v>447</v>
      </c>
      <c r="D1633" s="99">
        <f>237+223</f>
        <v>460</v>
      </c>
      <c r="E1633" s="100"/>
      <c r="F1633" s="100"/>
      <c r="G1633" s="100"/>
      <c r="H1633" s="100"/>
      <c r="I1633" s="101"/>
      <c r="J1633" s="101"/>
      <c r="K1633" s="101"/>
      <c r="L1633" s="101"/>
      <c r="M1633" s="101"/>
      <c r="N1633" s="101"/>
      <c r="O1633" s="101"/>
      <c r="P1633" s="101"/>
      <c r="Q1633" s="101"/>
      <c r="R1633" s="101"/>
      <c r="S1633" s="101"/>
      <c r="T1633" s="101"/>
      <c r="U1633" s="101"/>
      <c r="V1633" s="101"/>
      <c r="W1633" s="101"/>
      <c r="X1633" s="101"/>
      <c r="Y1633" s="101"/>
      <c r="Z1633" s="101"/>
    </row>
    <row r="1634" ht="15.75" customHeight="1">
      <c r="A1634" s="192"/>
      <c r="B1634" s="125" t="s">
        <v>536</v>
      </c>
      <c r="C1634" s="125" t="s">
        <v>537</v>
      </c>
      <c r="D1634" s="99">
        <f>117+125</f>
        <v>242</v>
      </c>
      <c r="E1634" s="100"/>
      <c r="F1634" s="100"/>
      <c r="G1634" s="100"/>
      <c r="H1634" s="100"/>
      <c r="I1634" s="101"/>
      <c r="J1634" s="101"/>
      <c r="K1634" s="101"/>
      <c r="L1634" s="101"/>
      <c r="M1634" s="101"/>
      <c r="N1634" s="101"/>
      <c r="O1634" s="101"/>
      <c r="P1634" s="101"/>
      <c r="Q1634" s="101"/>
      <c r="R1634" s="101"/>
      <c r="S1634" s="101"/>
      <c r="T1634" s="101"/>
      <c r="U1634" s="101"/>
      <c r="V1634" s="101"/>
      <c r="W1634" s="101"/>
      <c r="X1634" s="101"/>
      <c r="Y1634" s="101"/>
      <c r="Z1634" s="101"/>
    </row>
    <row r="1635" ht="15.75" customHeight="1">
      <c r="A1635" s="192"/>
      <c r="B1635" s="109"/>
      <c r="C1635" s="236"/>
      <c r="D1635" s="100"/>
      <c r="E1635" s="100"/>
      <c r="F1635" s="100"/>
      <c r="G1635" s="100"/>
      <c r="H1635" s="100"/>
      <c r="I1635" s="101"/>
      <c r="J1635" s="101"/>
      <c r="K1635" s="101"/>
      <c r="L1635" s="101"/>
      <c r="M1635" s="101"/>
      <c r="N1635" s="101"/>
      <c r="O1635" s="101"/>
      <c r="P1635" s="101"/>
      <c r="Q1635" s="101"/>
      <c r="R1635" s="101"/>
      <c r="S1635" s="101"/>
      <c r="T1635" s="101"/>
      <c r="U1635" s="101"/>
      <c r="V1635" s="101"/>
      <c r="W1635" s="101"/>
      <c r="X1635" s="101"/>
      <c r="Y1635" s="101"/>
      <c r="Z1635" s="101"/>
    </row>
    <row r="1636" ht="15.75" customHeight="1">
      <c r="A1636" s="190">
        <v>45829.0</v>
      </c>
      <c r="B1636" s="72" t="s">
        <v>584</v>
      </c>
      <c r="C1636" s="149" t="s">
        <v>585</v>
      </c>
      <c r="D1636" s="100">
        <f>742+688</f>
        <v>1430</v>
      </c>
      <c r="E1636" s="100"/>
      <c r="F1636" s="100"/>
      <c r="G1636" s="100"/>
      <c r="H1636" s="100"/>
      <c r="I1636" s="101"/>
      <c r="J1636" s="101"/>
      <c r="K1636" s="101"/>
      <c r="L1636" s="101"/>
      <c r="M1636" s="101"/>
      <c r="N1636" s="101"/>
      <c r="O1636" s="101"/>
      <c r="P1636" s="101"/>
      <c r="Q1636" s="101"/>
      <c r="R1636" s="101"/>
      <c r="S1636" s="101"/>
      <c r="T1636" s="101"/>
      <c r="U1636" s="101"/>
      <c r="V1636" s="101"/>
      <c r="W1636" s="101"/>
      <c r="X1636" s="101"/>
      <c r="Y1636" s="101"/>
      <c r="Z1636" s="101"/>
    </row>
    <row r="1637" ht="15.75" customHeight="1">
      <c r="A1637" s="192"/>
      <c r="B1637" s="72" t="s">
        <v>458</v>
      </c>
      <c r="C1637" s="149" t="s">
        <v>459</v>
      </c>
      <c r="D1637" s="99">
        <f>654+239</f>
        <v>893</v>
      </c>
      <c r="E1637" s="100"/>
      <c r="F1637" s="100"/>
      <c r="G1637" s="100"/>
      <c r="H1637" s="100"/>
      <c r="I1637" s="101"/>
      <c r="J1637" s="101"/>
      <c r="K1637" s="101"/>
      <c r="L1637" s="101"/>
      <c r="M1637" s="101"/>
      <c r="N1637" s="101"/>
      <c r="O1637" s="101"/>
      <c r="P1637" s="101"/>
      <c r="Q1637" s="101"/>
      <c r="R1637" s="101"/>
      <c r="S1637" s="101"/>
      <c r="T1637" s="101"/>
      <c r="U1637" s="101"/>
      <c r="V1637" s="101"/>
      <c r="W1637" s="101"/>
      <c r="X1637" s="101"/>
      <c r="Y1637" s="101"/>
      <c r="Z1637" s="101"/>
    </row>
    <row r="1638" ht="15.75" customHeight="1">
      <c r="A1638" s="192"/>
      <c r="B1638" s="72" t="s">
        <v>454</v>
      </c>
      <c r="C1638" s="149" t="s">
        <v>455</v>
      </c>
      <c r="D1638" s="99">
        <f>138+562</f>
        <v>700</v>
      </c>
      <c r="E1638" s="100"/>
      <c r="F1638" s="100"/>
      <c r="G1638" s="100"/>
      <c r="H1638" s="100"/>
      <c r="I1638" s="101"/>
      <c r="J1638" s="101"/>
      <c r="K1638" s="101"/>
      <c r="L1638" s="101"/>
      <c r="M1638" s="101"/>
      <c r="N1638" s="101"/>
      <c r="O1638" s="101"/>
      <c r="P1638" s="101"/>
      <c r="Q1638" s="101"/>
      <c r="R1638" s="101"/>
      <c r="S1638" s="101"/>
      <c r="T1638" s="101"/>
      <c r="U1638" s="101"/>
      <c r="V1638" s="101"/>
      <c r="W1638" s="101"/>
      <c r="X1638" s="101"/>
      <c r="Y1638" s="101"/>
      <c r="Z1638" s="101"/>
    </row>
    <row r="1639" ht="15.75" customHeight="1">
      <c r="A1639" s="192"/>
      <c r="B1639" s="72" t="s">
        <v>544</v>
      </c>
      <c r="C1639" s="116" t="s">
        <v>545</v>
      </c>
      <c r="D1639" s="99">
        <v>70.0</v>
      </c>
      <c r="E1639" s="100"/>
      <c r="F1639" s="100"/>
      <c r="G1639" s="100"/>
      <c r="H1639" s="100"/>
      <c r="I1639" s="101"/>
      <c r="J1639" s="101"/>
      <c r="K1639" s="101"/>
      <c r="L1639" s="101"/>
      <c r="M1639" s="101"/>
      <c r="N1639" s="101"/>
      <c r="O1639" s="101"/>
      <c r="P1639" s="101"/>
      <c r="Q1639" s="101"/>
      <c r="R1639" s="101"/>
      <c r="S1639" s="101"/>
      <c r="T1639" s="101"/>
      <c r="U1639" s="101"/>
      <c r="V1639" s="101"/>
      <c r="W1639" s="101"/>
      <c r="X1639" s="101"/>
      <c r="Y1639" s="101"/>
      <c r="Z1639" s="101"/>
    </row>
    <row r="1640" ht="15.75" customHeight="1">
      <c r="A1640" s="192"/>
      <c r="B1640" s="72" t="s">
        <v>588</v>
      </c>
      <c r="C1640" s="116" t="s">
        <v>589</v>
      </c>
      <c r="D1640" s="99">
        <f>468+290</f>
        <v>758</v>
      </c>
      <c r="E1640" s="100"/>
      <c r="F1640" s="100"/>
      <c r="G1640" s="100"/>
      <c r="H1640" s="100"/>
      <c r="I1640" s="101"/>
      <c r="J1640" s="101"/>
      <c r="K1640" s="101"/>
      <c r="L1640" s="101"/>
      <c r="M1640" s="101"/>
      <c r="N1640" s="101"/>
      <c r="O1640" s="101"/>
      <c r="P1640" s="101"/>
      <c r="Q1640" s="101"/>
      <c r="R1640" s="101"/>
      <c r="S1640" s="101"/>
      <c r="T1640" s="101"/>
      <c r="U1640" s="101"/>
      <c r="V1640" s="101"/>
      <c r="W1640" s="101"/>
      <c r="X1640" s="101"/>
      <c r="Y1640" s="101"/>
      <c r="Z1640" s="101"/>
    </row>
    <row r="1641" ht="15.75" customHeight="1">
      <c r="A1641" s="192"/>
      <c r="B1641" s="125" t="s">
        <v>446</v>
      </c>
      <c r="C1641" s="125" t="s">
        <v>447</v>
      </c>
      <c r="D1641" s="100">
        <f>204+180</f>
        <v>384</v>
      </c>
      <c r="E1641" s="100"/>
      <c r="F1641" s="100"/>
      <c r="G1641" s="100"/>
      <c r="H1641" s="100"/>
      <c r="I1641" s="101"/>
      <c r="J1641" s="101"/>
      <c r="K1641" s="101"/>
      <c r="L1641" s="101"/>
      <c r="M1641" s="101"/>
      <c r="N1641" s="101"/>
      <c r="O1641" s="101"/>
      <c r="P1641" s="101"/>
      <c r="Q1641" s="101"/>
      <c r="R1641" s="101"/>
      <c r="S1641" s="101"/>
      <c r="T1641" s="101"/>
      <c r="U1641" s="101"/>
      <c r="V1641" s="101"/>
      <c r="W1641" s="101"/>
      <c r="X1641" s="101"/>
      <c r="Y1641" s="101"/>
      <c r="Z1641" s="101"/>
    </row>
    <row r="1642" ht="15.75" customHeight="1">
      <c r="A1642" s="192"/>
      <c r="B1642" s="125" t="s">
        <v>536</v>
      </c>
      <c r="C1642" s="125" t="s">
        <v>537</v>
      </c>
      <c r="D1642" s="100">
        <f>145+102</f>
        <v>247</v>
      </c>
      <c r="E1642" s="100"/>
      <c r="F1642" s="100"/>
      <c r="G1642" s="100"/>
      <c r="H1642" s="100"/>
      <c r="I1642" s="101"/>
      <c r="J1642" s="101"/>
      <c r="K1642" s="101"/>
      <c r="L1642" s="101"/>
      <c r="M1642" s="101"/>
      <c r="N1642" s="101"/>
      <c r="O1642" s="101"/>
      <c r="P1642" s="101"/>
      <c r="Q1642" s="101"/>
      <c r="R1642" s="101"/>
      <c r="S1642" s="101"/>
      <c r="T1642" s="101"/>
      <c r="U1642" s="101"/>
      <c r="V1642" s="101"/>
      <c r="W1642" s="101"/>
      <c r="X1642" s="101"/>
      <c r="Y1642" s="101"/>
      <c r="Z1642" s="101"/>
    </row>
    <row r="1643" ht="15.75" customHeight="1">
      <c r="A1643" s="192"/>
      <c r="B1643" s="72" t="s">
        <v>514</v>
      </c>
      <c r="C1643" s="116" t="s">
        <v>515</v>
      </c>
      <c r="D1643" s="99">
        <v>130.0</v>
      </c>
      <c r="E1643" s="100"/>
      <c r="F1643" s="100"/>
      <c r="G1643" s="100"/>
      <c r="H1643" s="100"/>
      <c r="I1643" s="101"/>
      <c r="J1643" s="101"/>
      <c r="K1643" s="101"/>
      <c r="L1643" s="101"/>
      <c r="M1643" s="101"/>
      <c r="N1643" s="101"/>
      <c r="O1643" s="101"/>
      <c r="P1643" s="101"/>
      <c r="Q1643" s="101"/>
      <c r="R1643" s="101"/>
      <c r="S1643" s="101"/>
      <c r="T1643" s="101"/>
      <c r="U1643" s="101"/>
      <c r="V1643" s="101"/>
      <c r="W1643" s="101"/>
      <c r="X1643" s="101"/>
      <c r="Y1643" s="101"/>
      <c r="Z1643" s="101"/>
    </row>
    <row r="1644" ht="15.75" customHeight="1">
      <c r="A1644" s="192"/>
      <c r="B1644" s="72" t="s">
        <v>494</v>
      </c>
      <c r="C1644" s="116" t="s">
        <v>495</v>
      </c>
      <c r="D1644" s="99">
        <v>301.0</v>
      </c>
      <c r="E1644" s="100"/>
      <c r="F1644" s="100"/>
      <c r="G1644" s="100"/>
      <c r="H1644" s="100"/>
      <c r="I1644" s="101"/>
      <c r="J1644" s="101"/>
      <c r="K1644" s="101"/>
      <c r="L1644" s="101"/>
      <c r="M1644" s="101"/>
      <c r="N1644" s="101"/>
      <c r="O1644" s="101"/>
      <c r="P1644" s="101"/>
      <c r="Q1644" s="101"/>
      <c r="R1644" s="101"/>
      <c r="S1644" s="101"/>
      <c r="T1644" s="101"/>
      <c r="U1644" s="101"/>
      <c r="V1644" s="101"/>
      <c r="W1644" s="101"/>
      <c r="X1644" s="101"/>
      <c r="Y1644" s="101"/>
      <c r="Z1644" s="101"/>
    </row>
    <row r="1645" ht="15.75" customHeight="1">
      <c r="A1645" s="192"/>
      <c r="B1645" s="72" t="s">
        <v>434</v>
      </c>
      <c r="C1645" s="116" t="s">
        <v>435</v>
      </c>
      <c r="D1645" s="99">
        <v>498.0</v>
      </c>
      <c r="E1645" s="100"/>
      <c r="F1645" s="100"/>
      <c r="G1645" s="100"/>
      <c r="H1645" s="100"/>
      <c r="I1645" s="101"/>
      <c r="J1645" s="101"/>
      <c r="K1645" s="101"/>
      <c r="L1645" s="101"/>
      <c r="M1645" s="101"/>
      <c r="N1645" s="101"/>
      <c r="O1645" s="101"/>
      <c r="P1645" s="101"/>
      <c r="Q1645" s="101"/>
      <c r="R1645" s="101"/>
      <c r="S1645" s="101"/>
      <c r="T1645" s="101"/>
      <c r="U1645" s="101"/>
      <c r="V1645" s="101"/>
      <c r="W1645" s="101"/>
      <c r="X1645" s="101"/>
      <c r="Y1645" s="101"/>
      <c r="Z1645" s="101"/>
    </row>
    <row r="1646" ht="15.75" customHeight="1">
      <c r="A1646" s="192"/>
      <c r="B1646" s="72" t="s">
        <v>502</v>
      </c>
      <c r="C1646" s="116" t="s">
        <v>503</v>
      </c>
      <c r="D1646" s="99">
        <v>935.0</v>
      </c>
      <c r="E1646" s="100"/>
      <c r="F1646" s="100"/>
      <c r="G1646" s="100"/>
      <c r="H1646" s="100"/>
      <c r="I1646" s="101"/>
      <c r="J1646" s="101"/>
      <c r="K1646" s="101"/>
      <c r="L1646" s="101"/>
      <c r="M1646" s="101"/>
      <c r="N1646" s="101"/>
      <c r="O1646" s="101"/>
      <c r="P1646" s="101"/>
      <c r="Q1646" s="101"/>
      <c r="R1646" s="101"/>
      <c r="S1646" s="101"/>
      <c r="T1646" s="101"/>
      <c r="U1646" s="101"/>
      <c r="V1646" s="101"/>
      <c r="W1646" s="101"/>
      <c r="X1646" s="101"/>
      <c r="Y1646" s="101"/>
      <c r="Z1646" s="101"/>
    </row>
    <row r="1647" ht="15.75" customHeight="1">
      <c r="A1647" s="192"/>
      <c r="B1647" s="72" t="s">
        <v>510</v>
      </c>
      <c r="C1647" s="116" t="s">
        <v>511</v>
      </c>
      <c r="D1647" s="99">
        <v>614.0</v>
      </c>
      <c r="E1647" s="100"/>
      <c r="F1647" s="100"/>
      <c r="G1647" s="100"/>
      <c r="H1647" s="100"/>
      <c r="I1647" s="101"/>
      <c r="J1647" s="101"/>
      <c r="K1647" s="101"/>
      <c r="L1647" s="101"/>
      <c r="M1647" s="101"/>
      <c r="N1647" s="101"/>
      <c r="O1647" s="101"/>
      <c r="P1647" s="101"/>
      <c r="Q1647" s="101"/>
      <c r="R1647" s="101"/>
      <c r="S1647" s="101"/>
      <c r="T1647" s="101"/>
      <c r="U1647" s="101"/>
      <c r="V1647" s="101"/>
      <c r="W1647" s="101"/>
      <c r="X1647" s="101"/>
      <c r="Y1647" s="101"/>
      <c r="Z1647" s="101"/>
    </row>
    <row r="1648" ht="15.75" customHeight="1">
      <c r="A1648" s="192"/>
      <c r="B1648" s="31" t="s">
        <v>482</v>
      </c>
      <c r="C1648" s="31" t="s">
        <v>483</v>
      </c>
      <c r="D1648" s="99">
        <v>202.0</v>
      </c>
      <c r="E1648" s="100"/>
      <c r="F1648" s="100"/>
      <c r="G1648" s="100"/>
      <c r="H1648" s="100"/>
      <c r="I1648" s="101"/>
      <c r="J1648" s="101"/>
      <c r="K1648" s="101"/>
      <c r="L1648" s="101"/>
      <c r="M1648" s="101"/>
      <c r="N1648" s="101"/>
      <c r="O1648" s="101"/>
      <c r="P1648" s="101"/>
      <c r="Q1648" s="101"/>
      <c r="R1648" s="101"/>
      <c r="S1648" s="101"/>
      <c r="T1648" s="101"/>
      <c r="U1648" s="101"/>
      <c r="V1648" s="101"/>
      <c r="W1648" s="101"/>
      <c r="X1648" s="101"/>
      <c r="Y1648" s="101"/>
      <c r="Z1648" s="101"/>
    </row>
    <row r="1649" ht="15.75" customHeight="1">
      <c r="A1649" s="192"/>
      <c r="B1649" s="72"/>
      <c r="C1649" s="116" t="s">
        <v>453</v>
      </c>
      <c r="D1649" s="99">
        <v>286.0</v>
      </c>
      <c r="E1649" s="100"/>
      <c r="F1649" s="100"/>
      <c r="G1649" s="100"/>
      <c r="H1649" s="100"/>
      <c r="I1649" s="101"/>
      <c r="J1649" s="101"/>
      <c r="K1649" s="101"/>
      <c r="L1649" s="101"/>
      <c r="M1649" s="101"/>
      <c r="N1649" s="101"/>
      <c r="O1649" s="101"/>
      <c r="P1649" s="101"/>
      <c r="Q1649" s="101"/>
      <c r="R1649" s="101"/>
      <c r="S1649" s="101"/>
      <c r="T1649" s="101"/>
      <c r="U1649" s="101"/>
      <c r="V1649" s="101"/>
      <c r="W1649" s="101"/>
      <c r="X1649" s="101"/>
      <c r="Y1649" s="101"/>
      <c r="Z1649" s="101"/>
    </row>
    <row r="1650" ht="15.75" customHeight="1">
      <c r="A1650" s="192"/>
      <c r="B1650" s="72" t="s">
        <v>456</v>
      </c>
      <c r="C1650" s="116" t="s">
        <v>457</v>
      </c>
      <c r="D1650" s="99">
        <v>34.0</v>
      </c>
      <c r="E1650" s="100"/>
      <c r="F1650" s="100"/>
      <c r="G1650" s="100"/>
      <c r="H1650" s="100"/>
      <c r="I1650" s="101"/>
      <c r="J1650" s="101"/>
      <c r="K1650" s="101"/>
      <c r="L1650" s="101"/>
      <c r="M1650" s="101"/>
      <c r="N1650" s="101"/>
      <c r="O1650" s="101"/>
      <c r="P1650" s="101"/>
      <c r="Q1650" s="101"/>
      <c r="R1650" s="101"/>
      <c r="S1650" s="101"/>
      <c r="T1650" s="101"/>
      <c r="U1650" s="101"/>
      <c r="V1650" s="101"/>
      <c r="W1650" s="101"/>
      <c r="X1650" s="101"/>
      <c r="Y1650" s="101"/>
      <c r="Z1650" s="101"/>
    </row>
    <row r="1651" ht="15.75" customHeight="1">
      <c r="A1651" s="192"/>
      <c r="B1651" s="109"/>
      <c r="C1651" s="116" t="s">
        <v>457</v>
      </c>
      <c r="D1651" s="99">
        <v>211.0</v>
      </c>
      <c r="E1651" s="100"/>
      <c r="F1651" s="100"/>
      <c r="G1651" s="100"/>
      <c r="H1651" s="100"/>
      <c r="I1651" s="101"/>
      <c r="J1651" s="101"/>
      <c r="K1651" s="101"/>
      <c r="L1651" s="101"/>
      <c r="M1651" s="101"/>
      <c r="N1651" s="101"/>
      <c r="O1651" s="101"/>
      <c r="P1651" s="101"/>
      <c r="Q1651" s="101"/>
      <c r="R1651" s="101"/>
      <c r="S1651" s="101"/>
      <c r="T1651" s="101"/>
      <c r="U1651" s="101"/>
      <c r="V1651" s="101"/>
      <c r="W1651" s="101"/>
      <c r="X1651" s="101"/>
      <c r="Y1651" s="101"/>
      <c r="Z1651" s="101"/>
    </row>
    <row r="1652" ht="15.75" customHeight="1">
      <c r="A1652" s="192"/>
      <c r="B1652" s="109"/>
      <c r="C1652" s="236"/>
      <c r="D1652" s="100"/>
      <c r="E1652" s="100"/>
      <c r="F1652" s="100"/>
      <c r="G1652" s="100"/>
      <c r="H1652" s="100"/>
      <c r="I1652" s="101"/>
      <c r="J1652" s="101"/>
      <c r="K1652" s="101"/>
      <c r="L1652" s="101"/>
      <c r="M1652" s="101"/>
      <c r="N1652" s="101"/>
      <c r="O1652" s="101"/>
      <c r="P1652" s="101"/>
      <c r="Q1652" s="101"/>
      <c r="R1652" s="101"/>
      <c r="S1652" s="101"/>
      <c r="T1652" s="101"/>
      <c r="U1652" s="101"/>
      <c r="V1652" s="101"/>
      <c r="W1652" s="101"/>
      <c r="X1652" s="101"/>
      <c r="Y1652" s="101"/>
      <c r="Z1652" s="101"/>
    </row>
    <row r="1653" ht="15.75" customHeight="1">
      <c r="A1653" s="192"/>
      <c r="B1653" s="109"/>
      <c r="C1653" s="236"/>
      <c r="D1653" s="100"/>
      <c r="E1653" s="100"/>
      <c r="F1653" s="100"/>
      <c r="G1653" s="100"/>
      <c r="H1653" s="100"/>
      <c r="I1653" s="101"/>
      <c r="J1653" s="101"/>
      <c r="K1653" s="101"/>
      <c r="L1653" s="101"/>
      <c r="M1653" s="101"/>
      <c r="N1653" s="101"/>
      <c r="O1653" s="101"/>
      <c r="P1653" s="101"/>
      <c r="Q1653" s="101"/>
      <c r="R1653" s="101"/>
      <c r="S1653" s="101"/>
      <c r="T1653" s="101"/>
      <c r="U1653" s="101"/>
      <c r="V1653" s="101"/>
      <c r="W1653" s="101"/>
      <c r="X1653" s="101"/>
      <c r="Y1653" s="101"/>
      <c r="Z1653" s="101"/>
    </row>
    <row r="1654" ht="15.75" customHeight="1">
      <c r="A1654" s="192"/>
      <c r="B1654" s="109"/>
      <c r="C1654" s="236"/>
      <c r="D1654" s="100"/>
      <c r="E1654" s="100"/>
      <c r="F1654" s="100"/>
      <c r="G1654" s="100"/>
      <c r="H1654" s="100"/>
      <c r="I1654" s="101"/>
      <c r="J1654" s="101"/>
      <c r="K1654" s="101"/>
      <c r="L1654" s="101"/>
      <c r="M1654" s="101"/>
      <c r="N1654" s="101"/>
      <c r="O1654" s="101"/>
      <c r="P1654" s="101"/>
      <c r="Q1654" s="101"/>
      <c r="R1654" s="101"/>
      <c r="S1654" s="101"/>
      <c r="T1654" s="101"/>
      <c r="U1654" s="101"/>
      <c r="V1654" s="101"/>
      <c r="W1654" s="101"/>
      <c r="X1654" s="101"/>
      <c r="Y1654" s="101"/>
      <c r="Z1654" s="101"/>
    </row>
    <row r="1655" ht="15.75" customHeight="1">
      <c r="A1655" s="192"/>
      <c r="B1655" s="109"/>
      <c r="C1655" s="236"/>
      <c r="D1655" s="100"/>
      <c r="E1655" s="100"/>
      <c r="F1655" s="100"/>
      <c r="G1655" s="100"/>
      <c r="H1655" s="100"/>
      <c r="I1655" s="101"/>
      <c r="J1655" s="101"/>
      <c r="K1655" s="101"/>
      <c r="L1655" s="101"/>
      <c r="M1655" s="101"/>
      <c r="N1655" s="101"/>
      <c r="O1655" s="101"/>
      <c r="P1655" s="101"/>
      <c r="Q1655" s="101"/>
      <c r="R1655" s="101"/>
      <c r="S1655" s="101"/>
      <c r="T1655" s="101"/>
      <c r="U1655" s="101"/>
      <c r="V1655" s="101"/>
      <c r="W1655" s="101"/>
      <c r="X1655" s="101"/>
      <c r="Y1655" s="101"/>
      <c r="Z1655" s="101"/>
    </row>
    <row r="1656" ht="15.75" customHeight="1">
      <c r="A1656" s="192"/>
      <c r="B1656" s="109"/>
      <c r="C1656" s="236"/>
      <c r="D1656" s="100"/>
      <c r="E1656" s="100"/>
      <c r="F1656" s="100"/>
      <c r="G1656" s="100"/>
      <c r="H1656" s="100"/>
      <c r="I1656" s="101"/>
      <c r="J1656" s="101"/>
      <c r="K1656" s="101"/>
      <c r="L1656" s="101"/>
      <c r="M1656" s="101"/>
      <c r="N1656" s="101"/>
      <c r="O1656" s="101"/>
      <c r="P1656" s="101"/>
      <c r="Q1656" s="101"/>
      <c r="R1656" s="101"/>
      <c r="S1656" s="101"/>
      <c r="T1656" s="101"/>
      <c r="U1656" s="101"/>
      <c r="V1656" s="101"/>
      <c r="W1656" s="101"/>
      <c r="X1656" s="101"/>
      <c r="Y1656" s="101"/>
      <c r="Z1656" s="101"/>
    </row>
    <row r="1657" ht="15.75" customHeight="1">
      <c r="A1657" s="192"/>
      <c r="B1657" s="109"/>
      <c r="C1657" s="236"/>
      <c r="D1657" s="100"/>
      <c r="E1657" s="100"/>
      <c r="F1657" s="100"/>
      <c r="G1657" s="100"/>
      <c r="H1657" s="100"/>
      <c r="I1657" s="101"/>
      <c r="J1657" s="101"/>
      <c r="K1657" s="101"/>
      <c r="L1657" s="101"/>
      <c r="M1657" s="101"/>
      <c r="N1657" s="101"/>
      <c r="O1657" s="101"/>
      <c r="P1657" s="101"/>
      <c r="Q1657" s="101"/>
      <c r="R1657" s="101"/>
      <c r="S1657" s="101"/>
      <c r="T1657" s="101"/>
      <c r="U1657" s="101"/>
      <c r="V1657" s="101"/>
      <c r="W1657" s="101"/>
      <c r="X1657" s="101"/>
      <c r="Y1657" s="101"/>
      <c r="Z1657" s="101"/>
    </row>
    <row r="1658" ht="15.75" customHeight="1">
      <c r="A1658" s="192"/>
      <c r="B1658" s="109"/>
      <c r="C1658" s="236"/>
      <c r="D1658" s="100"/>
      <c r="E1658" s="100"/>
      <c r="F1658" s="100"/>
      <c r="G1658" s="100"/>
      <c r="H1658" s="100"/>
      <c r="I1658" s="101"/>
      <c r="J1658" s="101"/>
      <c r="K1658" s="101"/>
      <c r="L1658" s="101"/>
      <c r="M1658" s="101"/>
      <c r="N1658" s="101"/>
      <c r="O1658" s="101"/>
      <c r="P1658" s="101"/>
      <c r="Q1658" s="101"/>
      <c r="R1658" s="101"/>
      <c r="S1658" s="101"/>
      <c r="T1658" s="101"/>
      <c r="U1658" s="101"/>
      <c r="V1658" s="101"/>
      <c r="W1658" s="101"/>
      <c r="X1658" s="101"/>
      <c r="Y1658" s="101"/>
      <c r="Z1658" s="101"/>
    </row>
    <row r="1659" ht="15.75" customHeight="1">
      <c r="A1659" s="192"/>
      <c r="B1659" s="109"/>
      <c r="C1659" s="236"/>
      <c r="D1659" s="100"/>
      <c r="E1659" s="100"/>
      <c r="F1659" s="100"/>
      <c r="G1659" s="100"/>
      <c r="H1659" s="100"/>
      <c r="I1659" s="101"/>
      <c r="J1659" s="101"/>
      <c r="K1659" s="101"/>
      <c r="L1659" s="101"/>
      <c r="M1659" s="101"/>
      <c r="N1659" s="101"/>
      <c r="O1659" s="101"/>
      <c r="P1659" s="101"/>
      <c r="Q1659" s="101"/>
      <c r="R1659" s="101"/>
      <c r="S1659" s="101"/>
      <c r="T1659" s="101"/>
      <c r="U1659" s="101"/>
      <c r="V1659" s="101"/>
      <c r="W1659" s="101"/>
      <c r="X1659" s="101"/>
      <c r="Y1659" s="101"/>
      <c r="Z1659" s="101"/>
    </row>
    <row r="1660" ht="15.75" customHeight="1">
      <c r="A1660" s="192"/>
      <c r="B1660" s="109"/>
      <c r="C1660" s="236"/>
      <c r="D1660" s="100"/>
      <c r="E1660" s="100"/>
      <c r="F1660" s="100"/>
      <c r="G1660" s="100"/>
      <c r="H1660" s="100"/>
      <c r="I1660" s="101"/>
      <c r="J1660" s="101"/>
      <c r="K1660" s="101"/>
      <c r="L1660" s="101"/>
      <c r="M1660" s="101"/>
      <c r="N1660" s="101"/>
      <c r="O1660" s="101"/>
      <c r="P1660" s="101"/>
      <c r="Q1660" s="101"/>
      <c r="R1660" s="101"/>
      <c r="S1660" s="101"/>
      <c r="T1660" s="101"/>
      <c r="U1660" s="101"/>
      <c r="V1660" s="101"/>
      <c r="W1660" s="101"/>
      <c r="X1660" s="101"/>
      <c r="Y1660" s="101"/>
      <c r="Z1660" s="101"/>
    </row>
    <row r="1661" ht="15.75" customHeight="1">
      <c r="A1661" s="192"/>
      <c r="B1661" s="109"/>
      <c r="C1661" s="236"/>
      <c r="D1661" s="100"/>
      <c r="E1661" s="100"/>
      <c r="F1661" s="100"/>
      <c r="G1661" s="100"/>
      <c r="H1661" s="100"/>
      <c r="I1661" s="101"/>
      <c r="J1661" s="101"/>
      <c r="K1661" s="101"/>
      <c r="L1661" s="101"/>
      <c r="M1661" s="101"/>
      <c r="N1661" s="101"/>
      <c r="O1661" s="101"/>
      <c r="P1661" s="101"/>
      <c r="Q1661" s="101"/>
      <c r="R1661" s="101"/>
      <c r="S1661" s="101"/>
      <c r="T1661" s="101"/>
      <c r="U1661" s="101"/>
      <c r="V1661" s="101"/>
      <c r="W1661" s="101"/>
      <c r="X1661" s="101"/>
      <c r="Y1661" s="101"/>
      <c r="Z1661" s="101"/>
    </row>
    <row r="1662" ht="15.75" customHeight="1">
      <c r="A1662" s="192"/>
      <c r="B1662" s="100"/>
      <c r="C1662" s="245"/>
      <c r="D1662" s="100"/>
      <c r="E1662" s="100"/>
      <c r="F1662" s="100"/>
      <c r="G1662" s="100"/>
      <c r="H1662" s="100"/>
      <c r="I1662" s="101"/>
      <c r="J1662" s="101"/>
      <c r="K1662" s="101"/>
      <c r="L1662" s="101"/>
      <c r="M1662" s="101"/>
      <c r="N1662" s="101"/>
      <c r="O1662" s="101"/>
      <c r="P1662" s="101"/>
      <c r="Q1662" s="101"/>
      <c r="R1662" s="101"/>
      <c r="S1662" s="101"/>
      <c r="T1662" s="101"/>
      <c r="U1662" s="101"/>
      <c r="V1662" s="101"/>
      <c r="W1662" s="101"/>
      <c r="X1662" s="101"/>
      <c r="Y1662" s="101"/>
      <c r="Z1662" s="101"/>
    </row>
    <row r="1663" ht="15.75" customHeight="1">
      <c r="A1663" s="201"/>
      <c r="B1663" s="95"/>
      <c r="C1663" s="253" t="s">
        <v>701</v>
      </c>
      <c r="D1663" s="95"/>
      <c r="E1663" s="95"/>
      <c r="F1663" s="95"/>
      <c r="G1663" s="95"/>
      <c r="H1663" s="95"/>
    </row>
    <row r="1664" ht="15.75" customHeight="1">
      <c r="A1664" s="190">
        <v>45808.0</v>
      </c>
      <c r="B1664" s="31" t="s">
        <v>281</v>
      </c>
      <c r="C1664" s="31" t="s">
        <v>282</v>
      </c>
      <c r="D1664" s="254">
        <f>9+4+7+5</f>
        <v>25</v>
      </c>
      <c r="E1664" s="254"/>
      <c r="F1664" s="254"/>
      <c r="G1664" s="254"/>
      <c r="H1664" s="254"/>
    </row>
    <row r="1665" ht="15.75" customHeight="1">
      <c r="A1665" s="254"/>
      <c r="B1665" s="31" t="s">
        <v>383</v>
      </c>
      <c r="C1665" s="31" t="s">
        <v>384</v>
      </c>
      <c r="D1665" s="255">
        <v>13.0</v>
      </c>
      <c r="E1665" s="254"/>
      <c r="F1665" s="254"/>
      <c r="G1665" s="254"/>
      <c r="H1665" s="254"/>
    </row>
    <row r="1666" ht="15.75" customHeight="1">
      <c r="A1666" s="254"/>
      <c r="B1666" s="31" t="s">
        <v>277</v>
      </c>
      <c r="C1666" s="31" t="s">
        <v>278</v>
      </c>
      <c r="D1666" s="255">
        <v>9.0</v>
      </c>
      <c r="E1666" s="254"/>
      <c r="F1666" s="254"/>
      <c r="G1666" s="254"/>
      <c r="H1666" s="254"/>
    </row>
    <row r="1667" ht="15.75" customHeight="1">
      <c r="A1667" s="254"/>
      <c r="B1667" s="31" t="s">
        <v>283</v>
      </c>
      <c r="C1667" s="31" t="s">
        <v>284</v>
      </c>
      <c r="D1667" s="255">
        <v>16.0</v>
      </c>
      <c r="E1667" s="254"/>
      <c r="F1667" s="254"/>
      <c r="G1667" s="254"/>
      <c r="H1667" s="254"/>
    </row>
    <row r="1668" ht="15.75" customHeight="1">
      <c r="A1668" s="254"/>
      <c r="B1668" s="169"/>
      <c r="C1668" s="169"/>
      <c r="D1668" s="254"/>
      <c r="E1668" s="254"/>
      <c r="F1668" s="254"/>
      <c r="G1668" s="254"/>
      <c r="H1668" s="254"/>
    </row>
    <row r="1669" ht="15.75" customHeight="1">
      <c r="A1669" s="190">
        <v>45810.0</v>
      </c>
      <c r="B1669" s="31" t="s">
        <v>281</v>
      </c>
      <c r="C1669" s="31" t="s">
        <v>282</v>
      </c>
      <c r="D1669" s="254">
        <f>7+10+5+4</f>
        <v>26</v>
      </c>
      <c r="E1669" s="254"/>
      <c r="F1669" s="254"/>
      <c r="G1669" s="254"/>
      <c r="H1669" s="254"/>
    </row>
    <row r="1670" ht="15.75" customHeight="1">
      <c r="A1670" s="254"/>
      <c r="B1670" s="31" t="s">
        <v>277</v>
      </c>
      <c r="C1670" s="31" t="s">
        <v>278</v>
      </c>
      <c r="D1670" s="254">
        <f>5+3+5+10</f>
        <v>23</v>
      </c>
      <c r="E1670" s="254"/>
      <c r="F1670" s="254"/>
      <c r="G1670" s="254"/>
      <c r="H1670" s="254"/>
    </row>
    <row r="1671" ht="15.75" customHeight="1">
      <c r="A1671" s="254"/>
      <c r="B1671" s="31" t="s">
        <v>307</v>
      </c>
      <c r="C1671" s="31" t="s">
        <v>308</v>
      </c>
      <c r="D1671" s="254">
        <f>10+7+5</f>
        <v>22</v>
      </c>
      <c r="E1671" s="254"/>
      <c r="F1671" s="254"/>
      <c r="G1671" s="254"/>
      <c r="H1671" s="254"/>
    </row>
    <row r="1672" ht="15.75" customHeight="1">
      <c r="A1672" s="254"/>
      <c r="B1672" s="31" t="s">
        <v>702</v>
      </c>
      <c r="C1672" s="31" t="s">
        <v>703</v>
      </c>
      <c r="D1672" s="255">
        <v>5.0</v>
      </c>
      <c r="E1672" s="254"/>
      <c r="F1672" s="254"/>
      <c r="G1672" s="254"/>
      <c r="H1672" s="254"/>
    </row>
    <row r="1673" ht="15.75" customHeight="1">
      <c r="A1673" s="254"/>
      <c r="B1673" s="31" t="s">
        <v>281</v>
      </c>
      <c r="C1673" s="31" t="s">
        <v>282</v>
      </c>
      <c r="D1673" s="255">
        <v>10.0</v>
      </c>
      <c r="E1673" s="254"/>
      <c r="F1673" s="254"/>
      <c r="G1673" s="254"/>
      <c r="H1673" s="254"/>
    </row>
    <row r="1674" ht="15.75" customHeight="1">
      <c r="A1674" s="254"/>
      <c r="B1674" s="31" t="s">
        <v>301</v>
      </c>
      <c r="C1674" s="31" t="s">
        <v>302</v>
      </c>
      <c r="D1674" s="255">
        <v>10.0</v>
      </c>
      <c r="E1674" s="254"/>
      <c r="F1674" s="254"/>
      <c r="G1674" s="254"/>
      <c r="H1674" s="254"/>
    </row>
    <row r="1675" ht="15.75" customHeight="1">
      <c r="A1675" s="254"/>
      <c r="B1675" s="169"/>
      <c r="C1675" s="169"/>
      <c r="D1675" s="254"/>
      <c r="E1675" s="254"/>
      <c r="F1675" s="254"/>
      <c r="G1675" s="254"/>
      <c r="H1675" s="254"/>
    </row>
    <row r="1676" ht="15.75" customHeight="1">
      <c r="A1676" s="190">
        <v>45811.0</v>
      </c>
      <c r="B1676" s="31" t="s">
        <v>307</v>
      </c>
      <c r="C1676" s="31" t="s">
        <v>308</v>
      </c>
      <c r="D1676" s="254">
        <f>5+16</f>
        <v>21</v>
      </c>
      <c r="E1676" s="254"/>
      <c r="F1676" s="254"/>
      <c r="G1676" s="254"/>
      <c r="H1676" s="254"/>
    </row>
    <row r="1677" ht="15.75" customHeight="1">
      <c r="A1677" s="254"/>
      <c r="B1677" s="31" t="s">
        <v>277</v>
      </c>
      <c r="C1677" s="31" t="s">
        <v>278</v>
      </c>
      <c r="D1677" s="254">
        <f>15+5+6+5</f>
        <v>31</v>
      </c>
      <c r="E1677" s="254"/>
      <c r="F1677" s="254"/>
      <c r="G1677" s="254"/>
      <c r="H1677" s="254"/>
    </row>
    <row r="1678" ht="15.75" customHeight="1">
      <c r="A1678" s="254"/>
      <c r="B1678" s="31" t="s">
        <v>403</v>
      </c>
      <c r="C1678" s="31" t="s">
        <v>404</v>
      </c>
      <c r="D1678" s="255">
        <v>10.0</v>
      </c>
      <c r="E1678" s="254"/>
      <c r="F1678" s="254"/>
      <c r="G1678" s="254"/>
      <c r="H1678" s="254"/>
    </row>
    <row r="1679" ht="15.75" customHeight="1">
      <c r="A1679" s="254"/>
      <c r="B1679" s="31" t="s">
        <v>704</v>
      </c>
      <c r="C1679" s="31" t="s">
        <v>705</v>
      </c>
      <c r="D1679" s="255">
        <v>9.0</v>
      </c>
      <c r="E1679" s="254"/>
      <c r="F1679" s="254"/>
      <c r="G1679" s="254"/>
      <c r="H1679" s="254"/>
    </row>
    <row r="1680" ht="15.75" customHeight="1">
      <c r="A1680" s="254"/>
      <c r="B1680" s="31" t="s">
        <v>281</v>
      </c>
      <c r="C1680" s="31" t="s">
        <v>282</v>
      </c>
      <c r="D1680" s="255">
        <v>5.0</v>
      </c>
      <c r="E1680" s="254"/>
      <c r="F1680" s="254"/>
      <c r="G1680" s="254"/>
      <c r="H1680" s="254"/>
    </row>
    <row r="1681" ht="15.75" customHeight="1">
      <c r="A1681" s="254"/>
      <c r="B1681" s="31" t="s">
        <v>313</v>
      </c>
      <c r="C1681" s="31" t="s">
        <v>314</v>
      </c>
      <c r="D1681" s="255">
        <v>15.0</v>
      </c>
      <c r="E1681" s="254"/>
      <c r="F1681" s="254"/>
      <c r="G1681" s="254"/>
      <c r="H1681" s="254"/>
    </row>
    <row r="1682" ht="15.75" customHeight="1">
      <c r="A1682" s="254"/>
      <c r="B1682" s="31" t="s">
        <v>305</v>
      </c>
      <c r="C1682" s="31" t="s">
        <v>306</v>
      </c>
      <c r="D1682" s="255">
        <v>18.0</v>
      </c>
      <c r="E1682" s="254"/>
      <c r="F1682" s="254"/>
      <c r="G1682" s="254"/>
      <c r="H1682" s="254"/>
    </row>
    <row r="1683" ht="15.75" customHeight="1">
      <c r="A1683" s="254"/>
      <c r="B1683" s="169"/>
      <c r="C1683" s="169"/>
      <c r="D1683" s="254"/>
      <c r="E1683" s="254"/>
      <c r="F1683" s="254"/>
      <c r="G1683" s="254"/>
      <c r="H1683" s="254"/>
    </row>
    <row r="1684" ht="15.75" customHeight="1">
      <c r="A1684" s="190">
        <v>45812.0</v>
      </c>
      <c r="B1684" s="31" t="s">
        <v>301</v>
      </c>
      <c r="C1684" s="31" t="s">
        <v>302</v>
      </c>
      <c r="D1684" s="254">
        <f>5+5+5</f>
        <v>15</v>
      </c>
      <c r="E1684" s="254"/>
      <c r="F1684" s="254"/>
      <c r="G1684" s="254"/>
      <c r="H1684" s="254"/>
    </row>
    <row r="1685" ht="15.75" customHeight="1">
      <c r="A1685" s="254"/>
      <c r="B1685" s="31" t="s">
        <v>277</v>
      </c>
      <c r="C1685" s="31" t="s">
        <v>278</v>
      </c>
      <c r="D1685" s="255">
        <v>10.0</v>
      </c>
      <c r="E1685" s="254"/>
      <c r="F1685" s="254"/>
      <c r="G1685" s="254"/>
      <c r="H1685" s="254"/>
    </row>
    <row r="1686" ht="15.75" customHeight="1">
      <c r="A1686" s="254"/>
      <c r="B1686" s="31" t="s">
        <v>313</v>
      </c>
      <c r="C1686" s="31" t="s">
        <v>314</v>
      </c>
      <c r="D1686" s="255">
        <v>9.0</v>
      </c>
      <c r="E1686" s="254"/>
      <c r="F1686" s="254"/>
      <c r="G1686" s="254"/>
      <c r="H1686" s="254"/>
    </row>
    <row r="1687" ht="15.75" customHeight="1">
      <c r="A1687" s="254"/>
      <c r="B1687" s="169"/>
      <c r="C1687" s="31" t="s">
        <v>330</v>
      </c>
      <c r="D1687" s="255">
        <v>18.0</v>
      </c>
      <c r="E1687" s="254"/>
      <c r="F1687" s="254"/>
      <c r="G1687" s="254"/>
      <c r="H1687" s="254"/>
    </row>
    <row r="1688" ht="15.75" customHeight="1">
      <c r="A1688" s="254"/>
      <c r="B1688" s="169"/>
      <c r="C1688" s="169"/>
      <c r="D1688" s="254"/>
      <c r="E1688" s="254"/>
      <c r="F1688" s="254"/>
      <c r="G1688" s="254"/>
      <c r="H1688" s="254"/>
    </row>
    <row r="1689" ht="15.75" customHeight="1">
      <c r="A1689" s="190">
        <v>45813.0</v>
      </c>
      <c r="B1689" s="31" t="s">
        <v>321</v>
      </c>
      <c r="C1689" s="31" t="s">
        <v>322</v>
      </c>
      <c r="D1689" s="254">
        <f>8+6+5+5</f>
        <v>24</v>
      </c>
      <c r="E1689" s="254"/>
      <c r="F1689" s="254"/>
      <c r="G1689" s="254"/>
      <c r="H1689" s="254"/>
    </row>
    <row r="1690" ht="15.75" customHeight="1">
      <c r="A1690" s="254"/>
      <c r="B1690" s="31" t="s">
        <v>277</v>
      </c>
      <c r="C1690" s="31" t="s">
        <v>278</v>
      </c>
      <c r="D1690" s="254">
        <f>2+6+2+12+5+2+20</f>
        <v>49</v>
      </c>
      <c r="E1690" s="254"/>
      <c r="F1690" s="254"/>
      <c r="G1690" s="254"/>
      <c r="H1690" s="254"/>
    </row>
    <row r="1691" ht="15.75" customHeight="1">
      <c r="A1691" s="254"/>
      <c r="B1691" s="31" t="s">
        <v>706</v>
      </c>
      <c r="C1691" s="31" t="s">
        <v>707</v>
      </c>
      <c r="D1691" s="255">
        <v>8.0</v>
      </c>
      <c r="E1691" s="254"/>
      <c r="F1691" s="254"/>
      <c r="G1691" s="254"/>
      <c r="H1691" s="254"/>
    </row>
    <row r="1692" ht="15.75" customHeight="1">
      <c r="A1692" s="254"/>
      <c r="B1692" s="169"/>
      <c r="C1692" s="31" t="s">
        <v>340</v>
      </c>
      <c r="D1692" s="255">
        <v>2.0</v>
      </c>
      <c r="E1692" s="254"/>
      <c r="F1692" s="254"/>
      <c r="G1692" s="254"/>
      <c r="H1692" s="254"/>
    </row>
    <row r="1693" ht="15.75" customHeight="1">
      <c r="A1693" s="254"/>
      <c r="B1693" s="169"/>
      <c r="C1693" s="31" t="s">
        <v>384</v>
      </c>
      <c r="D1693" s="255">
        <v>3.0</v>
      </c>
      <c r="E1693" s="254"/>
      <c r="F1693" s="254"/>
      <c r="G1693" s="254"/>
      <c r="H1693" s="254"/>
    </row>
    <row r="1694" ht="15.75" customHeight="1">
      <c r="A1694" s="254"/>
      <c r="B1694" s="31" t="s">
        <v>335</v>
      </c>
      <c r="C1694" s="31" t="s">
        <v>336</v>
      </c>
      <c r="D1694" s="254">
        <f>9+4</f>
        <v>13</v>
      </c>
      <c r="E1694" s="254"/>
      <c r="F1694" s="254"/>
      <c r="G1694" s="254"/>
      <c r="H1694" s="254"/>
    </row>
    <row r="1695" ht="15.75" customHeight="1">
      <c r="A1695" s="254"/>
      <c r="B1695" s="31" t="s">
        <v>331</v>
      </c>
      <c r="C1695" s="31" t="s">
        <v>332</v>
      </c>
      <c r="D1695" s="255">
        <v>23.0</v>
      </c>
      <c r="E1695" s="254"/>
      <c r="F1695" s="254"/>
      <c r="G1695" s="254"/>
      <c r="H1695" s="254"/>
    </row>
    <row r="1696" ht="15.75" customHeight="1">
      <c r="A1696" s="254"/>
      <c r="B1696" s="31" t="s">
        <v>260</v>
      </c>
      <c r="C1696" s="31" t="s">
        <v>261</v>
      </c>
      <c r="D1696" s="255">
        <v>75.0</v>
      </c>
      <c r="E1696" s="254"/>
      <c r="F1696" s="254"/>
      <c r="G1696" s="254"/>
      <c r="H1696" s="254"/>
    </row>
    <row r="1697" ht="15.75" customHeight="1">
      <c r="A1697" s="254"/>
      <c r="B1697" s="169"/>
      <c r="C1697" s="169"/>
      <c r="D1697" s="254"/>
      <c r="E1697" s="254"/>
      <c r="F1697" s="254"/>
      <c r="G1697" s="254"/>
      <c r="H1697" s="254"/>
    </row>
    <row r="1698" ht="15.75" customHeight="1">
      <c r="A1698" s="190">
        <v>45814.0</v>
      </c>
      <c r="B1698" s="31" t="s">
        <v>305</v>
      </c>
      <c r="C1698" s="31" t="s">
        <v>306</v>
      </c>
      <c r="D1698" s="254">
        <f>5+9+5</f>
        <v>19</v>
      </c>
      <c r="E1698" s="254"/>
      <c r="F1698" s="254"/>
      <c r="G1698" s="254"/>
      <c r="H1698" s="254"/>
    </row>
    <row r="1699" ht="15.75" customHeight="1">
      <c r="A1699" s="254"/>
      <c r="B1699" s="31" t="s">
        <v>277</v>
      </c>
      <c r="C1699" s="31" t="s">
        <v>278</v>
      </c>
      <c r="D1699" s="254">
        <f>28+8+3+10+12+4+4+5</f>
        <v>74</v>
      </c>
      <c r="E1699" s="254"/>
      <c r="F1699" s="254"/>
      <c r="G1699" s="254"/>
      <c r="H1699" s="254"/>
    </row>
    <row r="1700" ht="15.75" customHeight="1">
      <c r="A1700" s="254"/>
      <c r="B1700" s="31" t="s">
        <v>341</v>
      </c>
      <c r="C1700" s="31" t="s">
        <v>342</v>
      </c>
      <c r="D1700" s="254">
        <f>15</f>
        <v>15</v>
      </c>
      <c r="E1700" s="254"/>
      <c r="F1700" s="254"/>
      <c r="G1700" s="254"/>
      <c r="H1700" s="254"/>
    </row>
    <row r="1701" ht="15.75" customHeight="1">
      <c r="A1701" s="254"/>
      <c r="B1701" s="31" t="s">
        <v>339</v>
      </c>
      <c r="C1701" s="31" t="s">
        <v>340</v>
      </c>
      <c r="D1701" s="254">
        <f>7+3</f>
        <v>10</v>
      </c>
      <c r="E1701" s="254"/>
      <c r="F1701" s="254"/>
      <c r="G1701" s="254"/>
      <c r="H1701" s="254"/>
    </row>
    <row r="1702" ht="15.75" customHeight="1">
      <c r="A1702" s="254"/>
      <c r="B1702" s="31" t="s">
        <v>337</v>
      </c>
      <c r="C1702" s="31" t="s">
        <v>338</v>
      </c>
      <c r="D1702" s="254">
        <f>12+7+4</f>
        <v>23</v>
      </c>
      <c r="E1702" s="254"/>
      <c r="F1702" s="254"/>
      <c r="G1702" s="254"/>
      <c r="H1702" s="254"/>
    </row>
    <row r="1703" ht="15.75" customHeight="1">
      <c r="A1703" s="254"/>
      <c r="B1703" s="31" t="s">
        <v>706</v>
      </c>
      <c r="C1703" s="31" t="s">
        <v>707</v>
      </c>
      <c r="D1703" s="255">
        <v>5.0</v>
      </c>
      <c r="E1703" s="254"/>
      <c r="F1703" s="254"/>
      <c r="G1703" s="254"/>
      <c r="H1703" s="254"/>
    </row>
    <row r="1704" ht="15.75" customHeight="1">
      <c r="A1704" s="254"/>
      <c r="B1704" s="31" t="s">
        <v>313</v>
      </c>
      <c r="C1704" s="31" t="s">
        <v>314</v>
      </c>
      <c r="D1704" s="254">
        <f>6+5+6</f>
        <v>17</v>
      </c>
      <c r="E1704" s="254"/>
      <c r="F1704" s="254"/>
      <c r="G1704" s="254"/>
      <c r="H1704" s="254"/>
    </row>
    <row r="1705" ht="15.75" customHeight="1">
      <c r="A1705" s="254"/>
      <c r="B1705" s="31" t="s">
        <v>301</v>
      </c>
      <c r="C1705" s="31" t="s">
        <v>302</v>
      </c>
      <c r="D1705" s="254">
        <f>10+5+5</f>
        <v>20</v>
      </c>
      <c r="E1705" s="254"/>
      <c r="F1705" s="254"/>
      <c r="G1705" s="254"/>
      <c r="H1705" s="254"/>
    </row>
    <row r="1706" ht="15.75" customHeight="1">
      <c r="A1706" s="254"/>
      <c r="B1706" s="31" t="s">
        <v>321</v>
      </c>
      <c r="C1706" s="31" t="s">
        <v>322</v>
      </c>
      <c r="D1706" s="254">
        <f>6+4+5+3</f>
        <v>18</v>
      </c>
      <c r="E1706" s="254"/>
      <c r="F1706" s="254"/>
      <c r="G1706" s="254"/>
      <c r="H1706" s="254"/>
    </row>
    <row r="1707" ht="15.75" customHeight="1">
      <c r="A1707" s="254"/>
      <c r="B1707" s="169"/>
      <c r="C1707" s="31" t="s">
        <v>273</v>
      </c>
      <c r="D1707" s="255">
        <v>100.0</v>
      </c>
      <c r="E1707" s="254"/>
      <c r="F1707" s="254"/>
      <c r="G1707" s="254"/>
      <c r="H1707" s="254"/>
    </row>
    <row r="1708" ht="15.75" customHeight="1">
      <c r="A1708" s="254"/>
      <c r="B1708" s="169"/>
      <c r="C1708" s="169"/>
      <c r="D1708" s="254"/>
      <c r="E1708" s="254"/>
      <c r="F1708" s="254"/>
      <c r="G1708" s="254"/>
      <c r="H1708" s="254"/>
    </row>
    <row r="1709" ht="15.75" customHeight="1">
      <c r="A1709" s="190">
        <v>45815.0</v>
      </c>
      <c r="B1709" s="169"/>
      <c r="C1709" s="31" t="s">
        <v>261</v>
      </c>
      <c r="D1709" s="255">
        <v>50.0</v>
      </c>
      <c r="E1709" s="254"/>
      <c r="F1709" s="254"/>
      <c r="G1709" s="254"/>
      <c r="H1709" s="254"/>
    </row>
    <row r="1710" ht="15.75" customHeight="1">
      <c r="A1710" s="254"/>
      <c r="B1710" s="31" t="s">
        <v>339</v>
      </c>
      <c r="C1710" s="31" t="s">
        <v>340</v>
      </c>
      <c r="D1710" s="255">
        <v>1.0</v>
      </c>
      <c r="E1710" s="254"/>
      <c r="F1710" s="254"/>
      <c r="G1710" s="254"/>
      <c r="H1710" s="254"/>
    </row>
    <row r="1711" ht="15.75" customHeight="1">
      <c r="A1711" s="254"/>
      <c r="B1711" s="31" t="s">
        <v>706</v>
      </c>
      <c r="C1711" s="31" t="s">
        <v>707</v>
      </c>
      <c r="D1711" s="255">
        <v>15.0</v>
      </c>
      <c r="E1711" s="254"/>
      <c r="F1711" s="254"/>
      <c r="G1711" s="254"/>
      <c r="H1711" s="254"/>
    </row>
    <row r="1712" ht="15.75" customHeight="1">
      <c r="A1712" s="254"/>
      <c r="B1712" s="31" t="s">
        <v>301</v>
      </c>
      <c r="C1712" s="31" t="s">
        <v>302</v>
      </c>
      <c r="D1712" s="255">
        <v>9.0</v>
      </c>
      <c r="E1712" s="254"/>
      <c r="F1712" s="254"/>
      <c r="G1712" s="254"/>
      <c r="H1712" s="254"/>
    </row>
    <row r="1713" ht="15.75" customHeight="1">
      <c r="A1713" s="254"/>
      <c r="B1713" s="31" t="s">
        <v>331</v>
      </c>
      <c r="C1713" s="31" t="s">
        <v>332</v>
      </c>
      <c r="D1713" s="254">
        <f>5+4+3</f>
        <v>12</v>
      </c>
      <c r="E1713" s="254"/>
      <c r="F1713" s="254"/>
      <c r="G1713" s="254"/>
      <c r="H1713" s="254"/>
    </row>
    <row r="1714" ht="15.75" customHeight="1">
      <c r="A1714" s="254"/>
      <c r="B1714" s="31" t="s">
        <v>311</v>
      </c>
      <c r="C1714" s="31" t="s">
        <v>312</v>
      </c>
      <c r="D1714" s="255">
        <v>8.0</v>
      </c>
      <c r="E1714" s="254"/>
      <c r="F1714" s="254"/>
      <c r="G1714" s="254"/>
      <c r="H1714" s="254"/>
    </row>
    <row r="1715" ht="15.75" customHeight="1">
      <c r="A1715" s="254"/>
      <c r="B1715" s="31" t="s">
        <v>277</v>
      </c>
      <c r="C1715" s="31" t="s">
        <v>278</v>
      </c>
      <c r="D1715" s="254">
        <f>10+23+6</f>
        <v>39</v>
      </c>
      <c r="E1715" s="254"/>
      <c r="F1715" s="254"/>
      <c r="G1715" s="254"/>
      <c r="H1715" s="254"/>
    </row>
    <row r="1716" ht="15.75" customHeight="1">
      <c r="A1716" s="254"/>
      <c r="B1716" s="169"/>
      <c r="C1716" s="169"/>
      <c r="D1716" s="254"/>
      <c r="E1716" s="254"/>
      <c r="F1716" s="254"/>
      <c r="G1716" s="254"/>
      <c r="H1716" s="254"/>
    </row>
    <row r="1717" ht="15.75" customHeight="1">
      <c r="A1717" s="190">
        <v>45817.0</v>
      </c>
      <c r="B1717" s="31" t="s">
        <v>313</v>
      </c>
      <c r="C1717" s="31" t="s">
        <v>314</v>
      </c>
      <c r="D1717" s="255">
        <v>6.0</v>
      </c>
      <c r="E1717" s="254"/>
      <c r="F1717" s="254"/>
      <c r="G1717" s="254"/>
      <c r="H1717" s="254"/>
    </row>
    <row r="1718" ht="15.75" customHeight="1">
      <c r="A1718" s="254"/>
      <c r="B1718" s="31" t="s">
        <v>277</v>
      </c>
      <c r="C1718" s="31" t="s">
        <v>278</v>
      </c>
      <c r="D1718" s="254">
        <f>5+5+10+5+8</f>
        <v>33</v>
      </c>
      <c r="E1718" s="254"/>
      <c r="F1718" s="254"/>
      <c r="G1718" s="254"/>
      <c r="H1718" s="254"/>
    </row>
    <row r="1719" ht="15.75" customHeight="1">
      <c r="A1719" s="190"/>
      <c r="B1719" s="31" t="s">
        <v>706</v>
      </c>
      <c r="C1719" s="31" t="s">
        <v>707</v>
      </c>
      <c r="D1719" s="255">
        <v>10.0</v>
      </c>
      <c r="E1719" s="254"/>
      <c r="F1719" s="254"/>
      <c r="G1719" s="254"/>
      <c r="H1719" s="254"/>
    </row>
    <row r="1720" ht="15.75" customHeight="1">
      <c r="A1720" s="254"/>
      <c r="B1720" s="31" t="s">
        <v>321</v>
      </c>
      <c r="C1720" s="31" t="s">
        <v>322</v>
      </c>
      <c r="D1720" s="254">
        <f>7+8+5</f>
        <v>20</v>
      </c>
      <c r="E1720" s="254"/>
      <c r="F1720" s="254"/>
      <c r="G1720" s="254"/>
      <c r="H1720" s="254"/>
    </row>
    <row r="1721" ht="15.75" customHeight="1">
      <c r="A1721" s="254"/>
      <c r="B1721" s="31" t="s">
        <v>331</v>
      </c>
      <c r="C1721" s="31" t="s">
        <v>332</v>
      </c>
      <c r="D1721" s="254">
        <f>5+9+8</f>
        <v>22</v>
      </c>
      <c r="E1721" s="254"/>
      <c r="F1721" s="254"/>
      <c r="G1721" s="254"/>
      <c r="H1721" s="254"/>
    </row>
    <row r="1722" ht="15.75" customHeight="1">
      <c r="A1722" s="254"/>
      <c r="B1722" s="31" t="s">
        <v>359</v>
      </c>
      <c r="C1722" s="31" t="s">
        <v>360</v>
      </c>
      <c r="D1722" s="255">
        <v>8.0</v>
      </c>
      <c r="E1722" s="254"/>
      <c r="F1722" s="254"/>
      <c r="G1722" s="254"/>
      <c r="H1722" s="254"/>
    </row>
    <row r="1723" ht="15.75" customHeight="1">
      <c r="A1723" s="254"/>
      <c r="B1723" s="169"/>
      <c r="C1723" s="31" t="s">
        <v>261</v>
      </c>
      <c r="D1723" s="255">
        <v>50.0</v>
      </c>
      <c r="E1723" s="254"/>
      <c r="F1723" s="254"/>
      <c r="G1723" s="254"/>
      <c r="H1723" s="254"/>
    </row>
    <row r="1724" ht="15.75" customHeight="1">
      <c r="A1724" s="254"/>
      <c r="B1724" s="31" t="s">
        <v>377</v>
      </c>
      <c r="C1724" s="31" t="s">
        <v>378</v>
      </c>
      <c r="D1724" s="255">
        <v>5.0</v>
      </c>
      <c r="E1724" s="254"/>
      <c r="F1724" s="254"/>
      <c r="G1724" s="254"/>
      <c r="H1724" s="254"/>
    </row>
    <row r="1725" ht="15.75" customHeight="1">
      <c r="A1725" s="254"/>
      <c r="B1725" s="31" t="s">
        <v>367</v>
      </c>
      <c r="C1725" s="31" t="s">
        <v>368</v>
      </c>
      <c r="D1725" s="254">
        <f>19+5</f>
        <v>24</v>
      </c>
      <c r="E1725" s="254"/>
      <c r="F1725" s="254"/>
      <c r="G1725" s="254"/>
      <c r="H1725" s="254"/>
    </row>
    <row r="1726" ht="15.75" customHeight="1">
      <c r="A1726" s="254"/>
      <c r="B1726" s="31" t="s">
        <v>369</v>
      </c>
      <c r="C1726" s="31" t="s">
        <v>370</v>
      </c>
      <c r="D1726" s="254">
        <f>9+1+9</f>
        <v>19</v>
      </c>
      <c r="E1726" s="254"/>
      <c r="F1726" s="254"/>
      <c r="G1726" s="254"/>
      <c r="H1726" s="254"/>
    </row>
    <row r="1727" ht="15.75" customHeight="1">
      <c r="A1727" s="254"/>
      <c r="B1727" s="169"/>
      <c r="C1727" s="169"/>
      <c r="D1727" s="254"/>
      <c r="E1727" s="254"/>
      <c r="F1727" s="254"/>
      <c r="G1727" s="254"/>
      <c r="H1727" s="254"/>
    </row>
    <row r="1728" ht="15.75" customHeight="1">
      <c r="A1728" s="190">
        <v>45818.0</v>
      </c>
      <c r="B1728" s="169"/>
      <c r="C1728" s="31" t="s">
        <v>261</v>
      </c>
      <c r="D1728" s="255">
        <v>50.0</v>
      </c>
      <c r="E1728" s="254"/>
      <c r="F1728" s="254"/>
      <c r="G1728" s="254"/>
      <c r="H1728" s="254"/>
    </row>
    <row r="1729" ht="15.75" customHeight="1">
      <c r="A1729" s="254"/>
      <c r="B1729" s="31" t="s">
        <v>339</v>
      </c>
      <c r="C1729" s="31" t="s">
        <v>340</v>
      </c>
      <c r="D1729" s="255">
        <v>1.0</v>
      </c>
      <c r="E1729" s="254"/>
      <c r="F1729" s="254"/>
      <c r="G1729" s="254"/>
      <c r="H1729" s="254"/>
    </row>
    <row r="1730" ht="15.75" customHeight="1">
      <c r="A1730" s="254"/>
      <c r="B1730" s="31" t="s">
        <v>369</v>
      </c>
      <c r="C1730" s="31" t="s">
        <v>370</v>
      </c>
      <c r="D1730" s="254">
        <f>10+4</f>
        <v>14</v>
      </c>
      <c r="E1730" s="254"/>
      <c r="F1730" s="254"/>
      <c r="G1730" s="254"/>
      <c r="H1730" s="254"/>
    </row>
    <row r="1731" ht="15.75" customHeight="1">
      <c r="A1731" s="254"/>
      <c r="B1731" s="31" t="s">
        <v>331</v>
      </c>
      <c r="C1731" s="31" t="s">
        <v>332</v>
      </c>
      <c r="D1731" s="255">
        <v>6.0</v>
      </c>
      <c r="E1731" s="254"/>
      <c r="F1731" s="254"/>
      <c r="G1731" s="254"/>
      <c r="H1731" s="254"/>
    </row>
    <row r="1732" ht="15.75" customHeight="1">
      <c r="A1732" s="254"/>
      <c r="B1732" s="31" t="s">
        <v>337</v>
      </c>
      <c r="C1732" s="31" t="s">
        <v>338</v>
      </c>
      <c r="D1732" s="255">
        <v>7.0</v>
      </c>
      <c r="E1732" s="254"/>
      <c r="F1732" s="254"/>
      <c r="G1732" s="254"/>
      <c r="H1732" s="254"/>
    </row>
    <row r="1733" ht="15.75" customHeight="1">
      <c r="A1733" s="254"/>
      <c r="B1733" s="31" t="s">
        <v>371</v>
      </c>
      <c r="C1733" s="31" t="s">
        <v>372</v>
      </c>
      <c r="D1733" s="255">
        <v>6.0</v>
      </c>
      <c r="E1733" s="254"/>
      <c r="F1733" s="254"/>
      <c r="G1733" s="254"/>
      <c r="H1733" s="254"/>
    </row>
    <row r="1734" ht="15.75" customHeight="1">
      <c r="A1734" s="254"/>
      <c r="B1734" s="31" t="s">
        <v>277</v>
      </c>
      <c r="C1734" s="31" t="s">
        <v>278</v>
      </c>
      <c r="D1734" s="255">
        <v>7.0</v>
      </c>
      <c r="E1734" s="254"/>
      <c r="F1734" s="254"/>
      <c r="G1734" s="254"/>
      <c r="H1734" s="254"/>
    </row>
    <row r="1735" ht="15.75" customHeight="1">
      <c r="A1735" s="254"/>
      <c r="B1735" s="31" t="s">
        <v>367</v>
      </c>
      <c r="C1735" s="31" t="s">
        <v>368</v>
      </c>
      <c r="D1735" s="255">
        <v>10.0</v>
      </c>
      <c r="E1735" s="254"/>
      <c r="F1735" s="254"/>
      <c r="G1735" s="254"/>
      <c r="H1735" s="254"/>
    </row>
    <row r="1736" ht="15.75" customHeight="1">
      <c r="A1736" s="254"/>
      <c r="B1736" s="31" t="s">
        <v>387</v>
      </c>
      <c r="C1736" s="31" t="s">
        <v>388</v>
      </c>
      <c r="D1736" s="255">
        <v>1.0</v>
      </c>
      <c r="E1736" s="254"/>
      <c r="F1736" s="254"/>
      <c r="G1736" s="254"/>
      <c r="H1736" s="254"/>
    </row>
    <row r="1737" ht="15.75" customHeight="1">
      <c r="A1737" s="254"/>
      <c r="B1737" s="31" t="s">
        <v>395</v>
      </c>
      <c r="C1737" s="31" t="s">
        <v>396</v>
      </c>
      <c r="D1737" s="255">
        <v>5.0</v>
      </c>
      <c r="E1737" s="254"/>
      <c r="F1737" s="254"/>
      <c r="G1737" s="254"/>
      <c r="H1737" s="254"/>
    </row>
    <row r="1738" ht="15.75" customHeight="1">
      <c r="A1738" s="254"/>
      <c r="B1738" s="169"/>
      <c r="C1738" s="169"/>
      <c r="D1738" s="254"/>
      <c r="E1738" s="254"/>
      <c r="F1738" s="254"/>
      <c r="G1738" s="254"/>
      <c r="H1738" s="254"/>
    </row>
    <row r="1739" ht="15.75" customHeight="1">
      <c r="A1739" s="190">
        <v>45819.0</v>
      </c>
      <c r="B1739" s="31" t="s">
        <v>395</v>
      </c>
      <c r="C1739" s="31" t="s">
        <v>396</v>
      </c>
      <c r="D1739" s="255">
        <v>5.0</v>
      </c>
      <c r="E1739" s="254"/>
      <c r="F1739" s="254"/>
      <c r="G1739" s="254"/>
      <c r="H1739" s="254"/>
    </row>
    <row r="1740" ht="15.75" customHeight="1">
      <c r="A1740" s="254"/>
      <c r="B1740" s="31" t="s">
        <v>367</v>
      </c>
      <c r="C1740" s="31" t="s">
        <v>368</v>
      </c>
      <c r="D1740" s="254">
        <f>5+5+8</f>
        <v>18</v>
      </c>
      <c r="E1740" s="254"/>
      <c r="F1740" s="254"/>
      <c r="G1740" s="254"/>
      <c r="H1740" s="254"/>
    </row>
    <row r="1741" ht="15.75" customHeight="1">
      <c r="A1741" s="254"/>
      <c r="B1741" s="106"/>
      <c r="C1741" s="31" t="s">
        <v>384</v>
      </c>
      <c r="D1741" s="254">
        <f>5</f>
        <v>5</v>
      </c>
      <c r="E1741" s="254"/>
      <c r="F1741" s="254"/>
      <c r="G1741" s="254"/>
      <c r="H1741" s="254"/>
    </row>
    <row r="1742" ht="15.75" customHeight="1">
      <c r="A1742" s="254"/>
      <c r="B1742" s="31" t="s">
        <v>337</v>
      </c>
      <c r="C1742" s="31" t="s">
        <v>338</v>
      </c>
      <c r="D1742" s="254">
        <f>5+9</f>
        <v>14</v>
      </c>
      <c r="E1742" s="254"/>
      <c r="F1742" s="254"/>
      <c r="G1742" s="254"/>
      <c r="H1742" s="254"/>
    </row>
    <row r="1743" ht="15.75" customHeight="1">
      <c r="A1743" s="254"/>
      <c r="B1743" s="31" t="s">
        <v>339</v>
      </c>
      <c r="C1743" s="31" t="s">
        <v>340</v>
      </c>
      <c r="D1743" s="255">
        <v>11.0</v>
      </c>
      <c r="E1743" s="254"/>
      <c r="F1743" s="254"/>
      <c r="G1743" s="254"/>
      <c r="H1743" s="254"/>
    </row>
    <row r="1744" ht="15.75" customHeight="1">
      <c r="A1744" s="254"/>
      <c r="B1744" s="169"/>
      <c r="C1744" s="31" t="s">
        <v>261</v>
      </c>
      <c r="D1744" s="255">
        <v>50.0</v>
      </c>
      <c r="E1744" s="254"/>
      <c r="F1744" s="254"/>
      <c r="G1744" s="254"/>
      <c r="H1744" s="254"/>
    </row>
    <row r="1745" ht="15.75" customHeight="1">
      <c r="A1745" s="254"/>
      <c r="B1745" s="31" t="s">
        <v>377</v>
      </c>
      <c r="C1745" s="31" t="s">
        <v>378</v>
      </c>
      <c r="D1745" s="255">
        <v>15.0</v>
      </c>
      <c r="E1745" s="254"/>
      <c r="F1745" s="254"/>
      <c r="G1745" s="254"/>
      <c r="H1745" s="254"/>
    </row>
    <row r="1746" ht="15.75" customHeight="1">
      <c r="A1746" s="254"/>
      <c r="B1746" s="169"/>
      <c r="C1746" s="169"/>
      <c r="D1746" s="254"/>
      <c r="E1746" s="254"/>
      <c r="F1746" s="254"/>
      <c r="G1746" s="254"/>
      <c r="H1746" s="254"/>
    </row>
    <row r="1747" ht="15.75" customHeight="1">
      <c r="A1747" s="190">
        <v>45820.0</v>
      </c>
      <c r="B1747" s="31" t="s">
        <v>301</v>
      </c>
      <c r="C1747" s="31" t="s">
        <v>302</v>
      </c>
      <c r="D1747" s="255">
        <v>11.0</v>
      </c>
      <c r="E1747" s="254"/>
      <c r="F1747" s="254"/>
      <c r="G1747" s="254"/>
      <c r="H1747" s="254"/>
    </row>
    <row r="1748" ht="15.75" customHeight="1">
      <c r="A1748" s="254"/>
      <c r="B1748" s="31" t="s">
        <v>277</v>
      </c>
      <c r="C1748" s="31" t="s">
        <v>278</v>
      </c>
      <c r="D1748" s="254">
        <f>5+10+5</f>
        <v>20</v>
      </c>
      <c r="E1748" s="254"/>
      <c r="F1748" s="254"/>
      <c r="G1748" s="254"/>
      <c r="H1748" s="254"/>
    </row>
    <row r="1749" ht="15.75" customHeight="1">
      <c r="A1749" s="254"/>
      <c r="B1749" s="31" t="s">
        <v>377</v>
      </c>
      <c r="C1749" s="31" t="s">
        <v>378</v>
      </c>
      <c r="D1749" s="255">
        <v>8.0</v>
      </c>
      <c r="E1749" s="254"/>
      <c r="F1749" s="254"/>
      <c r="G1749" s="254"/>
      <c r="H1749" s="254"/>
    </row>
    <row r="1750" ht="15.75" customHeight="1">
      <c r="A1750" s="254"/>
      <c r="B1750" s="31" t="s">
        <v>367</v>
      </c>
      <c r="C1750" s="31" t="s">
        <v>368</v>
      </c>
      <c r="D1750" s="255">
        <v>9.0</v>
      </c>
      <c r="E1750" s="254"/>
      <c r="F1750" s="254"/>
      <c r="G1750" s="254"/>
      <c r="H1750" s="254"/>
    </row>
    <row r="1751" ht="15.75" customHeight="1">
      <c r="A1751" s="254"/>
      <c r="B1751" s="31" t="s">
        <v>383</v>
      </c>
      <c r="C1751" s="31" t="s">
        <v>384</v>
      </c>
      <c r="D1751" s="255">
        <v>26.0</v>
      </c>
      <c r="E1751" s="254"/>
      <c r="F1751" s="254"/>
      <c r="G1751" s="254"/>
      <c r="H1751" s="254"/>
    </row>
    <row r="1752" ht="15.75" customHeight="1">
      <c r="A1752" s="254"/>
      <c r="B1752" s="31" t="s">
        <v>337</v>
      </c>
      <c r="C1752" s="31" t="s">
        <v>338</v>
      </c>
      <c r="D1752" s="254">
        <f>12+9</f>
        <v>21</v>
      </c>
      <c r="E1752" s="254"/>
      <c r="F1752" s="254"/>
      <c r="G1752" s="254"/>
      <c r="H1752" s="254"/>
    </row>
    <row r="1753" ht="15.75" customHeight="1">
      <c r="A1753" s="254"/>
      <c r="B1753" s="31" t="s">
        <v>387</v>
      </c>
      <c r="C1753" s="31" t="s">
        <v>388</v>
      </c>
      <c r="D1753" s="255">
        <v>12.0</v>
      </c>
      <c r="E1753" s="254"/>
      <c r="F1753" s="254"/>
      <c r="G1753" s="254"/>
      <c r="H1753" s="254"/>
    </row>
    <row r="1754" ht="15.75" customHeight="1">
      <c r="A1754" s="254"/>
      <c r="B1754" s="31" t="s">
        <v>335</v>
      </c>
      <c r="C1754" s="31" t="s">
        <v>336</v>
      </c>
      <c r="D1754" s="255">
        <v>13.0</v>
      </c>
      <c r="E1754" s="254"/>
      <c r="F1754" s="254"/>
      <c r="G1754" s="254"/>
      <c r="H1754" s="254"/>
    </row>
    <row r="1755" ht="15.75" customHeight="1">
      <c r="A1755" s="254"/>
      <c r="B1755" s="31" t="s">
        <v>389</v>
      </c>
      <c r="C1755" s="31" t="s">
        <v>390</v>
      </c>
      <c r="D1755" s="255">
        <v>2.0</v>
      </c>
      <c r="E1755" s="254"/>
      <c r="F1755" s="254"/>
      <c r="G1755" s="254"/>
      <c r="H1755" s="254"/>
    </row>
    <row r="1756" ht="15.75" customHeight="1">
      <c r="A1756" s="254"/>
      <c r="B1756" s="31" t="s">
        <v>311</v>
      </c>
      <c r="C1756" s="31" t="s">
        <v>312</v>
      </c>
      <c r="D1756" s="255">
        <v>2.0</v>
      </c>
      <c r="E1756" s="254"/>
      <c r="F1756" s="254"/>
      <c r="G1756" s="254"/>
      <c r="H1756" s="254"/>
    </row>
    <row r="1757" ht="15.75" customHeight="1">
      <c r="A1757" s="254"/>
      <c r="B1757" s="169"/>
      <c r="C1757" s="47" t="s">
        <v>708</v>
      </c>
      <c r="D1757" s="255">
        <v>12.0</v>
      </c>
      <c r="E1757" s="254"/>
      <c r="F1757" s="254"/>
      <c r="G1757" s="254"/>
      <c r="H1757" s="254"/>
    </row>
    <row r="1758" ht="15.75" customHeight="1">
      <c r="A1758" s="254"/>
      <c r="B1758" s="169"/>
      <c r="C1758" s="169"/>
      <c r="D1758" s="254"/>
      <c r="E1758" s="254"/>
      <c r="F1758" s="254"/>
      <c r="G1758" s="254"/>
      <c r="H1758" s="254"/>
    </row>
    <row r="1759" ht="15.75" customHeight="1">
      <c r="A1759" s="190">
        <v>45821.0</v>
      </c>
      <c r="B1759" s="31" t="s">
        <v>301</v>
      </c>
      <c r="C1759" s="31" t="s">
        <v>302</v>
      </c>
      <c r="D1759" s="254">
        <f>5+5+5</f>
        <v>15</v>
      </c>
      <c r="E1759" s="254"/>
      <c r="F1759" s="254"/>
      <c r="G1759" s="254"/>
      <c r="H1759" s="254"/>
    </row>
    <row r="1760" ht="15.75" customHeight="1">
      <c r="A1760" s="254"/>
      <c r="B1760" s="31" t="s">
        <v>367</v>
      </c>
      <c r="C1760" s="31" t="s">
        <v>368</v>
      </c>
      <c r="D1760" s="255">
        <v>5.0</v>
      </c>
      <c r="E1760" s="254"/>
      <c r="F1760" s="254"/>
      <c r="G1760" s="254"/>
      <c r="H1760" s="254"/>
    </row>
    <row r="1761" ht="15.75" customHeight="1">
      <c r="A1761" s="254"/>
      <c r="B1761" s="31" t="s">
        <v>377</v>
      </c>
      <c r="C1761" s="31" t="s">
        <v>378</v>
      </c>
      <c r="D1761" s="255">
        <v>5.0</v>
      </c>
      <c r="E1761" s="254"/>
      <c r="F1761" s="254"/>
      <c r="G1761" s="254"/>
      <c r="H1761" s="254"/>
    </row>
    <row r="1762" ht="15.75" customHeight="1">
      <c r="A1762" s="254"/>
      <c r="B1762" s="31" t="s">
        <v>387</v>
      </c>
      <c r="C1762" s="31" t="s">
        <v>388</v>
      </c>
      <c r="D1762" s="255">
        <v>15.0</v>
      </c>
      <c r="E1762" s="254"/>
      <c r="F1762" s="254"/>
      <c r="G1762" s="254"/>
      <c r="H1762" s="254"/>
    </row>
    <row r="1763" ht="15.75" customHeight="1">
      <c r="A1763" s="254"/>
      <c r="B1763" s="31" t="s">
        <v>383</v>
      </c>
      <c r="C1763" s="31" t="s">
        <v>384</v>
      </c>
      <c r="D1763" s="254">
        <f>12+7</f>
        <v>19</v>
      </c>
      <c r="E1763" s="254"/>
      <c r="F1763" s="254"/>
      <c r="G1763" s="254"/>
      <c r="H1763" s="254"/>
    </row>
    <row r="1764" ht="15.75" customHeight="1">
      <c r="A1764" s="169"/>
      <c r="B1764" s="31" t="s">
        <v>389</v>
      </c>
      <c r="C1764" s="31" t="s">
        <v>390</v>
      </c>
      <c r="D1764" s="256">
        <v>10.0</v>
      </c>
      <c r="E1764" s="169"/>
      <c r="F1764" s="169"/>
      <c r="G1764" s="169"/>
      <c r="H1764" s="169"/>
    </row>
    <row r="1765" ht="15.75" customHeight="1">
      <c r="A1765" s="257"/>
      <c r="B1765" s="31" t="s">
        <v>337</v>
      </c>
      <c r="C1765" s="31" t="s">
        <v>338</v>
      </c>
      <c r="D1765" s="194">
        <v>12.0</v>
      </c>
      <c r="E1765" s="257"/>
      <c r="F1765" s="257"/>
      <c r="G1765" s="257"/>
      <c r="H1765" s="257"/>
    </row>
    <row r="1766" ht="15.75" customHeight="1">
      <c r="A1766" s="257"/>
      <c r="B1766" s="31" t="s">
        <v>277</v>
      </c>
      <c r="C1766" s="31" t="s">
        <v>278</v>
      </c>
      <c r="D1766" s="257">
        <f>14+5</f>
        <v>19</v>
      </c>
      <c r="E1766" s="257"/>
      <c r="F1766" s="257"/>
      <c r="G1766" s="257"/>
      <c r="H1766" s="257"/>
    </row>
    <row r="1767" ht="15.75" customHeight="1">
      <c r="A1767" s="257"/>
      <c r="B1767" s="31" t="s">
        <v>339</v>
      </c>
      <c r="C1767" s="31" t="s">
        <v>340</v>
      </c>
      <c r="D1767" s="194">
        <v>1.0</v>
      </c>
      <c r="E1767" s="257"/>
      <c r="F1767" s="257"/>
      <c r="G1767" s="257"/>
      <c r="H1767" s="257"/>
    </row>
    <row r="1768" ht="15.75" customHeight="1">
      <c r="A1768" s="257"/>
      <c r="B1768" s="31" t="s">
        <v>395</v>
      </c>
      <c r="C1768" s="31" t="s">
        <v>396</v>
      </c>
      <c r="D1768" s="194">
        <v>7.0</v>
      </c>
      <c r="E1768" s="257"/>
      <c r="F1768" s="257"/>
      <c r="G1768" s="257"/>
      <c r="H1768" s="257"/>
    </row>
    <row r="1769" ht="15.75" customHeight="1">
      <c r="A1769" s="257"/>
      <c r="B1769" s="257"/>
      <c r="C1769" s="257"/>
      <c r="D1769" s="257"/>
      <c r="E1769" s="257"/>
      <c r="F1769" s="257"/>
      <c r="G1769" s="257"/>
      <c r="H1769" s="257"/>
    </row>
    <row r="1770" ht="15.75" customHeight="1">
      <c r="A1770" s="190">
        <v>45822.0</v>
      </c>
      <c r="B1770" s="31" t="s">
        <v>337</v>
      </c>
      <c r="C1770" s="31" t="s">
        <v>338</v>
      </c>
      <c r="D1770" s="194">
        <v>3.0</v>
      </c>
      <c r="E1770" s="257"/>
      <c r="F1770" s="257"/>
      <c r="G1770" s="257"/>
      <c r="H1770" s="257"/>
    </row>
    <row r="1771" ht="15.75" customHeight="1">
      <c r="A1771" s="257"/>
      <c r="B1771" s="31" t="s">
        <v>277</v>
      </c>
      <c r="C1771" s="31" t="s">
        <v>278</v>
      </c>
      <c r="D1771" s="194">
        <v>7.0</v>
      </c>
      <c r="E1771" s="257"/>
      <c r="F1771" s="257"/>
      <c r="G1771" s="257"/>
      <c r="H1771" s="257"/>
    </row>
    <row r="1772" ht="15.75" customHeight="1">
      <c r="A1772" s="257"/>
      <c r="B1772" s="31" t="s">
        <v>389</v>
      </c>
      <c r="C1772" s="31" t="s">
        <v>390</v>
      </c>
      <c r="D1772" s="194">
        <v>4.0</v>
      </c>
      <c r="E1772" s="257"/>
      <c r="F1772" s="257"/>
      <c r="G1772" s="257"/>
      <c r="H1772" s="257"/>
    </row>
    <row r="1773" ht="15.75" customHeight="1">
      <c r="A1773" s="257"/>
      <c r="B1773" s="31" t="s">
        <v>387</v>
      </c>
      <c r="C1773" s="31" t="s">
        <v>388</v>
      </c>
      <c r="D1773" s="194">
        <v>13.0</v>
      </c>
      <c r="E1773" s="257"/>
      <c r="F1773" s="257"/>
      <c r="G1773" s="257"/>
      <c r="H1773" s="257"/>
    </row>
    <row r="1774" ht="15.75" customHeight="1">
      <c r="A1774" s="257"/>
      <c r="B1774" s="31" t="s">
        <v>262</v>
      </c>
      <c r="C1774" s="31" t="s">
        <v>263</v>
      </c>
      <c r="D1774" s="194">
        <v>100.0</v>
      </c>
      <c r="E1774" s="257"/>
      <c r="F1774" s="257"/>
      <c r="G1774" s="257"/>
      <c r="H1774" s="257"/>
    </row>
    <row r="1775" ht="15.75" customHeight="1">
      <c r="A1775" s="257"/>
      <c r="B1775" s="31" t="s">
        <v>367</v>
      </c>
      <c r="C1775" s="31" t="s">
        <v>368</v>
      </c>
      <c r="D1775" s="257">
        <f>5+5+1</f>
        <v>11</v>
      </c>
      <c r="E1775" s="257"/>
      <c r="F1775" s="257"/>
      <c r="G1775" s="257"/>
      <c r="H1775" s="257"/>
    </row>
    <row r="1776" ht="15.75" customHeight="1">
      <c r="A1776" s="257"/>
      <c r="B1776" s="31" t="s">
        <v>393</v>
      </c>
      <c r="C1776" s="31" t="s">
        <v>394</v>
      </c>
      <c r="D1776" s="194">
        <v>15.0</v>
      </c>
      <c r="E1776" s="257"/>
      <c r="F1776" s="257"/>
      <c r="G1776" s="257"/>
      <c r="H1776" s="257"/>
    </row>
    <row r="1777" ht="15.75" customHeight="1">
      <c r="A1777" s="257"/>
      <c r="B1777" s="31" t="s">
        <v>337</v>
      </c>
      <c r="C1777" s="31" t="s">
        <v>338</v>
      </c>
      <c r="D1777" s="194">
        <v>5.0</v>
      </c>
      <c r="E1777" s="257"/>
      <c r="F1777" s="257"/>
      <c r="G1777" s="257"/>
      <c r="H1777" s="257"/>
    </row>
    <row r="1778" ht="15.75" customHeight="1">
      <c r="A1778" s="257"/>
      <c r="B1778" s="31" t="s">
        <v>277</v>
      </c>
      <c r="C1778" s="31" t="s">
        <v>278</v>
      </c>
      <c r="D1778" s="194">
        <v>10.0</v>
      </c>
      <c r="E1778" s="257"/>
      <c r="F1778" s="257"/>
      <c r="G1778" s="257"/>
      <c r="H1778" s="257"/>
    </row>
    <row r="1779" ht="15.75" customHeight="1">
      <c r="A1779" s="257"/>
      <c r="B1779" s="31" t="s">
        <v>383</v>
      </c>
      <c r="C1779" s="31" t="s">
        <v>384</v>
      </c>
      <c r="D1779" s="194">
        <v>12.0</v>
      </c>
      <c r="E1779" s="257"/>
      <c r="F1779" s="257"/>
      <c r="G1779" s="257"/>
      <c r="H1779" s="257"/>
    </row>
    <row r="1780" ht="15.75" customHeight="1">
      <c r="A1780" s="257"/>
      <c r="B1780" s="31" t="s">
        <v>377</v>
      </c>
      <c r="C1780" s="31" t="s">
        <v>378</v>
      </c>
      <c r="D1780" s="194">
        <v>2.0</v>
      </c>
      <c r="E1780" s="257"/>
      <c r="F1780" s="257"/>
      <c r="G1780" s="257"/>
      <c r="H1780" s="257"/>
    </row>
    <row r="1781" ht="15.75" customHeight="1">
      <c r="A1781" s="257"/>
      <c r="B1781" s="257"/>
      <c r="C1781" s="47" t="s">
        <v>708</v>
      </c>
      <c r="D1781" s="194">
        <v>2.0</v>
      </c>
      <c r="E1781" s="257"/>
      <c r="F1781" s="257"/>
      <c r="G1781" s="257"/>
      <c r="H1781" s="257"/>
    </row>
    <row r="1782" ht="15.75" customHeight="1">
      <c r="A1782" s="257"/>
      <c r="B1782" s="257"/>
      <c r="C1782" s="31" t="s">
        <v>396</v>
      </c>
      <c r="D1782" s="194">
        <v>6.0</v>
      </c>
      <c r="E1782" s="257"/>
      <c r="F1782" s="257"/>
      <c r="G1782" s="257"/>
      <c r="H1782" s="257"/>
    </row>
    <row r="1783" ht="15.75" customHeight="1">
      <c r="A1783" s="257"/>
      <c r="B1783" s="257"/>
      <c r="C1783" s="257"/>
      <c r="D1783" s="257"/>
      <c r="E1783" s="257"/>
      <c r="F1783" s="257"/>
      <c r="G1783" s="257"/>
      <c r="H1783" s="257"/>
    </row>
    <row r="1784" ht="15.75" customHeight="1">
      <c r="A1784" s="190">
        <v>45824.0</v>
      </c>
      <c r="B1784" s="31" t="s">
        <v>393</v>
      </c>
      <c r="C1784" s="31" t="s">
        <v>394</v>
      </c>
      <c r="D1784" s="194">
        <v>9.0</v>
      </c>
      <c r="E1784" s="257"/>
      <c r="F1784" s="257"/>
      <c r="G1784" s="257"/>
      <c r="H1784" s="257"/>
    </row>
    <row r="1785" ht="15.75" customHeight="1">
      <c r="A1785" s="257"/>
      <c r="B1785" s="31" t="s">
        <v>383</v>
      </c>
      <c r="C1785" s="31" t="s">
        <v>384</v>
      </c>
      <c r="D1785" s="194">
        <v>13.0</v>
      </c>
      <c r="E1785" s="257"/>
      <c r="F1785" s="257"/>
      <c r="G1785" s="257"/>
      <c r="H1785" s="257"/>
    </row>
    <row r="1786" ht="15.75" customHeight="1">
      <c r="A1786" s="257"/>
      <c r="B1786" s="31" t="s">
        <v>704</v>
      </c>
      <c r="C1786" s="31" t="s">
        <v>705</v>
      </c>
      <c r="D1786" s="194">
        <v>5.0</v>
      </c>
      <c r="E1786" s="257"/>
      <c r="F1786" s="257"/>
      <c r="G1786" s="257"/>
      <c r="H1786" s="257"/>
    </row>
    <row r="1787" ht="15.75" customHeight="1">
      <c r="A1787" s="257"/>
      <c r="B1787" s="31" t="s">
        <v>277</v>
      </c>
      <c r="C1787" s="31" t="s">
        <v>278</v>
      </c>
      <c r="D1787" s="257">
        <f>10+2+10</f>
        <v>22</v>
      </c>
      <c r="E1787" s="257"/>
      <c r="F1787" s="257"/>
      <c r="G1787" s="257"/>
      <c r="H1787" s="257"/>
    </row>
    <row r="1788" ht="15.75" customHeight="1">
      <c r="A1788" s="257"/>
      <c r="B1788" s="31" t="s">
        <v>371</v>
      </c>
      <c r="C1788" s="31" t="s">
        <v>372</v>
      </c>
      <c r="D1788" s="194">
        <v>5.0</v>
      </c>
      <c r="E1788" s="257"/>
      <c r="F1788" s="257"/>
      <c r="G1788" s="257"/>
      <c r="H1788" s="257"/>
    </row>
    <row r="1789" ht="15.75" customHeight="1">
      <c r="A1789" s="257"/>
      <c r="B1789" s="31" t="s">
        <v>395</v>
      </c>
      <c r="C1789" s="31" t="s">
        <v>396</v>
      </c>
      <c r="D1789" s="194">
        <v>12.0</v>
      </c>
      <c r="E1789" s="257"/>
      <c r="F1789" s="257"/>
      <c r="G1789" s="257"/>
      <c r="H1789" s="257"/>
    </row>
    <row r="1790" ht="15.75" customHeight="1">
      <c r="A1790" s="257"/>
      <c r="B1790" s="31" t="s">
        <v>403</v>
      </c>
      <c r="C1790" s="31" t="s">
        <v>404</v>
      </c>
      <c r="D1790" s="194">
        <v>12.0</v>
      </c>
      <c r="E1790" s="257"/>
      <c r="F1790" s="257"/>
      <c r="G1790" s="257"/>
      <c r="H1790" s="257"/>
    </row>
    <row r="1791" ht="15.75" customHeight="1">
      <c r="A1791" s="257"/>
      <c r="B1791" s="257"/>
      <c r="C1791" s="47" t="s">
        <v>708</v>
      </c>
      <c r="D1791" s="194">
        <v>3.0</v>
      </c>
      <c r="E1791" s="257"/>
      <c r="F1791" s="257"/>
      <c r="G1791" s="257"/>
      <c r="H1791" s="257"/>
    </row>
    <row r="1792" ht="15.75" customHeight="1">
      <c r="A1792" s="257"/>
      <c r="B1792" s="257"/>
      <c r="C1792" s="257"/>
      <c r="D1792" s="257"/>
      <c r="E1792" s="257"/>
      <c r="F1792" s="257"/>
      <c r="G1792" s="257"/>
      <c r="H1792" s="257"/>
    </row>
    <row r="1793" ht="15.75" customHeight="1">
      <c r="A1793" s="190">
        <v>45825.0</v>
      </c>
      <c r="B1793" s="31" t="s">
        <v>383</v>
      </c>
      <c r="C1793" s="31" t="s">
        <v>384</v>
      </c>
      <c r="D1793" s="257">
        <f>5+6+5</f>
        <v>16</v>
      </c>
      <c r="E1793" s="257"/>
      <c r="F1793" s="257"/>
      <c r="G1793" s="257"/>
      <c r="H1793" s="257"/>
    </row>
    <row r="1794" ht="15.75" customHeight="1">
      <c r="A1794" s="257"/>
      <c r="B1794" s="31" t="s">
        <v>403</v>
      </c>
      <c r="C1794" s="31" t="s">
        <v>404</v>
      </c>
      <c r="D1794" s="257">
        <f>10+5+5</f>
        <v>20</v>
      </c>
      <c r="E1794" s="257"/>
      <c r="F1794" s="257"/>
      <c r="G1794" s="257"/>
      <c r="H1794" s="257"/>
    </row>
    <row r="1795" ht="15.75" customHeight="1">
      <c r="A1795" s="257"/>
      <c r="B1795" s="257"/>
      <c r="C1795" s="31" t="s">
        <v>245</v>
      </c>
      <c r="D1795" s="194">
        <v>100.0</v>
      </c>
      <c r="E1795" s="257"/>
      <c r="F1795" s="257"/>
      <c r="G1795" s="257"/>
      <c r="H1795" s="257"/>
    </row>
    <row r="1796" ht="15.75" customHeight="1">
      <c r="A1796" s="257"/>
      <c r="B1796" s="31" t="s">
        <v>395</v>
      </c>
      <c r="C1796" s="31" t="s">
        <v>396</v>
      </c>
      <c r="D1796" s="194">
        <v>11.0</v>
      </c>
      <c r="E1796" s="257"/>
      <c r="F1796" s="257"/>
      <c r="G1796" s="257"/>
      <c r="H1796" s="257"/>
    </row>
    <row r="1797" ht="15.75" customHeight="1">
      <c r="A1797" s="257"/>
      <c r="B1797" s="31" t="s">
        <v>393</v>
      </c>
      <c r="C1797" s="31" t="s">
        <v>394</v>
      </c>
      <c r="D1797" s="194">
        <v>15.0</v>
      </c>
      <c r="E1797" s="257"/>
      <c r="F1797" s="257"/>
      <c r="G1797" s="257"/>
      <c r="H1797" s="257"/>
    </row>
    <row r="1798" ht="15.75" customHeight="1">
      <c r="A1798" s="257"/>
      <c r="B1798" s="257"/>
      <c r="C1798" s="47" t="s">
        <v>709</v>
      </c>
      <c r="D1798" s="194">
        <v>3.0</v>
      </c>
      <c r="E1798" s="257"/>
      <c r="F1798" s="257"/>
      <c r="G1798" s="257"/>
      <c r="H1798" s="257"/>
    </row>
    <row r="1799" ht="15.75" customHeight="1">
      <c r="A1799" s="257"/>
      <c r="B1799" s="31" t="s">
        <v>277</v>
      </c>
      <c r="C1799" s="31" t="s">
        <v>278</v>
      </c>
      <c r="D1799" s="257">
        <f>10+5+5+5</f>
        <v>25</v>
      </c>
      <c r="E1799" s="257"/>
      <c r="F1799" s="257"/>
      <c r="G1799" s="257"/>
      <c r="H1799" s="257"/>
    </row>
    <row r="1800" ht="15.75" customHeight="1">
      <c r="A1800" s="257"/>
      <c r="B1800" s="31" t="s">
        <v>359</v>
      </c>
      <c r="C1800" s="31" t="s">
        <v>360</v>
      </c>
      <c r="D1800" s="194">
        <v>5.0</v>
      </c>
      <c r="E1800" s="257"/>
      <c r="F1800" s="257"/>
      <c r="G1800" s="257"/>
      <c r="H1800" s="257"/>
    </row>
    <row r="1801" ht="15.75" customHeight="1">
      <c r="A1801" s="257"/>
      <c r="B1801" s="31" t="s">
        <v>311</v>
      </c>
      <c r="C1801" s="31" t="s">
        <v>312</v>
      </c>
      <c r="D1801" s="194">
        <v>4.0</v>
      </c>
      <c r="E1801" s="257"/>
      <c r="F1801" s="257"/>
      <c r="G1801" s="257"/>
      <c r="H1801" s="257"/>
    </row>
    <row r="1802" ht="15.75" customHeight="1">
      <c r="A1802" s="257"/>
      <c r="B1802" s="31" t="s">
        <v>393</v>
      </c>
      <c r="C1802" s="31" t="s">
        <v>394</v>
      </c>
      <c r="D1802" s="194">
        <v>5.0</v>
      </c>
      <c r="E1802" s="257"/>
      <c r="F1802" s="257"/>
      <c r="G1802" s="257"/>
      <c r="H1802" s="257"/>
    </row>
    <row r="1803" ht="15.75" customHeight="1">
      <c r="A1803" s="257"/>
      <c r="B1803" s="258" t="s">
        <v>407</v>
      </c>
      <c r="C1803" s="258" t="s">
        <v>408</v>
      </c>
      <c r="D1803" s="194">
        <v>10.0</v>
      </c>
      <c r="E1803" s="257"/>
      <c r="F1803" s="257"/>
      <c r="G1803" s="257"/>
      <c r="H1803" s="257"/>
    </row>
    <row r="1804" ht="15.75" customHeight="1">
      <c r="A1804" s="257"/>
      <c r="B1804" s="258" t="s">
        <v>281</v>
      </c>
      <c r="C1804" s="258" t="s">
        <v>282</v>
      </c>
      <c r="D1804" s="194">
        <v>5.0</v>
      </c>
      <c r="E1804" s="257"/>
      <c r="F1804" s="257"/>
      <c r="G1804" s="257"/>
      <c r="H1804" s="257"/>
    </row>
    <row r="1805" ht="15.75" customHeight="1">
      <c r="A1805" s="257"/>
      <c r="B1805" s="257"/>
      <c r="C1805" s="257"/>
      <c r="D1805" s="257"/>
      <c r="E1805" s="257"/>
      <c r="F1805" s="257"/>
      <c r="G1805" s="257"/>
      <c r="H1805" s="257"/>
    </row>
    <row r="1806" ht="15.75" customHeight="1">
      <c r="A1806" s="190">
        <v>45827.0</v>
      </c>
      <c r="B1806" s="31" t="s">
        <v>383</v>
      </c>
      <c r="C1806" s="31" t="s">
        <v>384</v>
      </c>
      <c r="D1806" s="194">
        <v>9.0</v>
      </c>
      <c r="E1806" s="257"/>
      <c r="F1806" s="257"/>
      <c r="G1806" s="257"/>
      <c r="H1806" s="257"/>
    </row>
    <row r="1807" ht="15.75" customHeight="1">
      <c r="A1807" s="257"/>
      <c r="B1807" s="31" t="s">
        <v>359</v>
      </c>
      <c r="C1807" s="31" t="s">
        <v>360</v>
      </c>
      <c r="D1807" s="194">
        <v>5.0</v>
      </c>
      <c r="E1807" s="257"/>
      <c r="F1807" s="257"/>
      <c r="G1807" s="257"/>
      <c r="H1807" s="257"/>
    </row>
    <row r="1808" ht="15.75" customHeight="1">
      <c r="A1808" s="257"/>
      <c r="B1808" s="31" t="s">
        <v>321</v>
      </c>
      <c r="C1808" s="31" t="s">
        <v>322</v>
      </c>
      <c r="D1808" s="257">
        <f>10+5+5</f>
        <v>20</v>
      </c>
      <c r="E1808" s="257"/>
      <c r="F1808" s="257"/>
      <c r="G1808" s="257"/>
      <c r="H1808" s="257"/>
    </row>
    <row r="1809" ht="15.75" customHeight="1">
      <c r="A1809" s="257"/>
      <c r="B1809" s="31" t="s">
        <v>331</v>
      </c>
      <c r="C1809" s="31" t="s">
        <v>332</v>
      </c>
      <c r="D1809" s="194">
        <v>5.0</v>
      </c>
      <c r="E1809" s="257"/>
      <c r="F1809" s="257"/>
      <c r="G1809" s="257"/>
      <c r="H1809" s="257"/>
    </row>
    <row r="1810" ht="15.75" customHeight="1">
      <c r="A1810" s="257"/>
      <c r="B1810" s="31" t="s">
        <v>409</v>
      </c>
      <c r="C1810" s="31" t="s">
        <v>410</v>
      </c>
      <c r="D1810" s="257">
        <f>6+10+7</f>
        <v>23</v>
      </c>
      <c r="E1810" s="257"/>
      <c r="F1810" s="257"/>
      <c r="G1810" s="257"/>
      <c r="H1810" s="257"/>
    </row>
    <row r="1811" ht="15.75" customHeight="1">
      <c r="A1811" s="257"/>
      <c r="B1811" s="31" t="s">
        <v>387</v>
      </c>
      <c r="C1811" s="31" t="s">
        <v>388</v>
      </c>
      <c r="D1811" s="194">
        <v>15.0</v>
      </c>
      <c r="E1811" s="257"/>
      <c r="F1811" s="257"/>
      <c r="G1811" s="257"/>
      <c r="H1811" s="257"/>
    </row>
    <row r="1812" ht="15.75" customHeight="1">
      <c r="A1812" s="257"/>
      <c r="B1812" s="258" t="s">
        <v>281</v>
      </c>
      <c r="C1812" s="258" t="s">
        <v>282</v>
      </c>
      <c r="D1812" s="257">
        <f>5+3+10</f>
        <v>18</v>
      </c>
      <c r="E1812" s="257"/>
      <c r="F1812" s="257"/>
      <c r="G1812" s="257"/>
      <c r="H1812" s="257"/>
    </row>
    <row r="1813" ht="15.75" customHeight="1">
      <c r="A1813" s="257"/>
      <c r="B1813" s="257"/>
      <c r="C1813" s="47" t="s">
        <v>709</v>
      </c>
      <c r="D1813" s="194">
        <v>2.0</v>
      </c>
      <c r="E1813" s="257"/>
      <c r="F1813" s="257"/>
      <c r="G1813" s="257"/>
      <c r="H1813" s="257"/>
    </row>
    <row r="1814" ht="15.75" customHeight="1">
      <c r="A1814" s="257"/>
      <c r="B1814" s="31" t="s">
        <v>277</v>
      </c>
      <c r="C1814" s="31" t="s">
        <v>278</v>
      </c>
      <c r="D1814" s="194">
        <v>36.0</v>
      </c>
      <c r="E1814" s="257"/>
      <c r="F1814" s="257"/>
      <c r="G1814" s="257"/>
      <c r="H1814" s="257"/>
    </row>
    <row r="1815" ht="15.75" customHeight="1">
      <c r="A1815" s="257"/>
      <c r="B1815" s="257"/>
      <c r="C1815" s="31" t="s">
        <v>245</v>
      </c>
      <c r="D1815" s="194">
        <v>200.0</v>
      </c>
      <c r="E1815" s="257"/>
      <c r="F1815" s="257"/>
      <c r="G1815" s="257"/>
      <c r="H1815" s="257"/>
    </row>
    <row r="1816" ht="15.75" customHeight="1">
      <c r="A1816" s="257"/>
      <c r="B1816" s="257"/>
      <c r="C1816" s="257"/>
      <c r="D1816" s="257"/>
      <c r="E1816" s="257"/>
      <c r="F1816" s="257"/>
      <c r="G1816" s="257"/>
      <c r="H1816" s="257"/>
    </row>
    <row r="1817" ht="15.75" customHeight="1">
      <c r="A1817" s="190">
        <v>45828.0</v>
      </c>
      <c r="B1817" s="31" t="s">
        <v>321</v>
      </c>
      <c r="C1817" s="31" t="s">
        <v>322</v>
      </c>
      <c r="D1817" s="257">
        <f>5+5+15+1</f>
        <v>26</v>
      </c>
      <c r="E1817" s="257"/>
      <c r="F1817" s="257"/>
      <c r="G1817" s="257"/>
      <c r="H1817" s="257"/>
    </row>
    <row r="1818" ht="15.75" customHeight="1">
      <c r="A1818" s="257"/>
      <c r="B1818" s="31" t="s">
        <v>409</v>
      </c>
      <c r="C1818" s="31" t="s">
        <v>410</v>
      </c>
      <c r="D1818" s="257">
        <f>15+1+5+10</f>
        <v>31</v>
      </c>
      <c r="E1818" s="257"/>
      <c r="F1818" s="257"/>
      <c r="G1818" s="257"/>
      <c r="H1818" s="257"/>
    </row>
    <row r="1819" ht="15.75" customHeight="1">
      <c r="A1819" s="257"/>
      <c r="B1819" s="31" t="s">
        <v>277</v>
      </c>
      <c r="C1819" s="31" t="s">
        <v>278</v>
      </c>
      <c r="D1819" s="257">
        <f>10+5+10+2+10+5</f>
        <v>42</v>
      </c>
      <c r="E1819" s="257"/>
      <c r="F1819" s="257"/>
      <c r="G1819" s="257"/>
      <c r="H1819" s="257"/>
    </row>
    <row r="1820" ht="15.75" customHeight="1">
      <c r="A1820" s="257"/>
      <c r="B1820" s="31"/>
      <c r="C1820" s="31" t="s">
        <v>710</v>
      </c>
      <c r="D1820" s="194">
        <v>4.0</v>
      </c>
      <c r="E1820" s="257"/>
      <c r="F1820" s="257"/>
      <c r="G1820" s="257"/>
      <c r="H1820" s="257"/>
    </row>
    <row r="1821" ht="15.75" customHeight="1">
      <c r="A1821" s="257"/>
      <c r="B1821" s="31" t="s">
        <v>359</v>
      </c>
      <c r="C1821" s="31" t="s">
        <v>360</v>
      </c>
      <c r="D1821" s="194">
        <v>5.0</v>
      </c>
      <c r="E1821" s="257"/>
      <c r="F1821" s="257"/>
      <c r="G1821" s="257"/>
      <c r="H1821" s="257"/>
    </row>
    <row r="1822" ht="15.75" customHeight="1">
      <c r="A1822" s="257"/>
      <c r="B1822" s="31" t="s">
        <v>331</v>
      </c>
      <c r="C1822" s="31" t="s">
        <v>332</v>
      </c>
      <c r="D1822" s="194">
        <v>7.0</v>
      </c>
      <c r="E1822" s="257"/>
      <c r="F1822" s="257"/>
      <c r="G1822" s="257"/>
      <c r="H1822" s="257"/>
    </row>
    <row r="1823" ht="15.75" customHeight="1">
      <c r="A1823" s="257"/>
      <c r="B1823" s="258" t="s">
        <v>281</v>
      </c>
      <c r="C1823" s="258" t="s">
        <v>282</v>
      </c>
      <c r="D1823" s="194">
        <v>10.0</v>
      </c>
      <c r="E1823" s="257"/>
      <c r="F1823" s="257"/>
      <c r="G1823" s="257"/>
      <c r="H1823" s="257"/>
    </row>
    <row r="1824" ht="15.75" customHeight="1">
      <c r="A1824" s="257"/>
      <c r="B1824" s="257"/>
      <c r="C1824" s="257"/>
      <c r="D1824" s="257"/>
      <c r="E1824" s="257"/>
      <c r="F1824" s="257"/>
      <c r="G1824" s="257"/>
      <c r="H1824" s="257"/>
    </row>
    <row r="1825" ht="15.75" customHeight="1">
      <c r="A1825" s="190">
        <v>45829.0</v>
      </c>
      <c r="B1825" s="31" t="s">
        <v>321</v>
      </c>
      <c r="C1825" s="31" t="s">
        <v>322</v>
      </c>
      <c r="D1825" s="257">
        <f>15</f>
        <v>15</v>
      </c>
      <c r="E1825" s="257"/>
      <c r="F1825" s="257"/>
      <c r="G1825" s="257"/>
      <c r="H1825" s="257"/>
    </row>
    <row r="1826" ht="15.75" customHeight="1">
      <c r="A1826" s="257"/>
      <c r="B1826" s="31" t="s">
        <v>409</v>
      </c>
      <c r="C1826" s="31" t="s">
        <v>410</v>
      </c>
      <c r="D1826" s="257">
        <f>5+5+16</f>
        <v>26</v>
      </c>
      <c r="E1826" s="257"/>
      <c r="F1826" s="257"/>
      <c r="G1826" s="257"/>
      <c r="H1826" s="257"/>
    </row>
    <row r="1827" ht="15.75" customHeight="1">
      <c r="A1827" s="257"/>
      <c r="B1827" s="31" t="s">
        <v>277</v>
      </c>
      <c r="C1827" s="31" t="s">
        <v>278</v>
      </c>
      <c r="D1827" s="257">
        <f>5+5+18</f>
        <v>28</v>
      </c>
      <c r="E1827" s="257"/>
      <c r="F1827" s="257"/>
      <c r="G1827" s="257"/>
      <c r="H1827" s="257"/>
    </row>
    <row r="1828" ht="15.75" customHeight="1">
      <c r="A1828" s="257"/>
      <c r="B1828" s="31" t="s">
        <v>393</v>
      </c>
      <c r="C1828" s="31" t="s">
        <v>394</v>
      </c>
      <c r="D1828" s="194">
        <v>5.0</v>
      </c>
      <c r="E1828" s="257"/>
      <c r="F1828" s="257"/>
      <c r="G1828" s="257"/>
      <c r="H1828" s="257"/>
    </row>
    <row r="1829" ht="15.75" customHeight="1">
      <c r="A1829" s="257"/>
      <c r="B1829" s="31" t="s">
        <v>331</v>
      </c>
      <c r="C1829" s="31" t="s">
        <v>332</v>
      </c>
      <c r="D1829" s="194">
        <v>8.0</v>
      </c>
      <c r="E1829" s="257"/>
      <c r="F1829" s="257"/>
      <c r="G1829" s="257"/>
      <c r="H1829" s="257"/>
    </row>
    <row r="1830" ht="15.75" customHeight="1">
      <c r="A1830" s="257"/>
      <c r="B1830" s="257"/>
      <c r="C1830" s="257"/>
      <c r="D1830" s="257"/>
      <c r="E1830" s="257"/>
      <c r="F1830" s="257"/>
      <c r="G1830" s="257"/>
      <c r="H1830" s="257"/>
    </row>
    <row r="1831" ht="15.75" customHeight="1">
      <c r="A1831" s="257"/>
      <c r="B1831" s="257"/>
      <c r="C1831" s="257"/>
      <c r="D1831" s="257"/>
      <c r="E1831" s="257"/>
      <c r="F1831" s="257"/>
      <c r="G1831" s="257"/>
      <c r="H1831" s="257"/>
    </row>
    <row r="1832" ht="15.75" customHeight="1">
      <c r="A1832" s="257"/>
      <c r="B1832" s="257"/>
      <c r="C1832" s="257"/>
      <c r="D1832" s="257"/>
      <c r="E1832" s="257"/>
      <c r="F1832" s="257"/>
      <c r="G1832" s="257"/>
      <c r="H1832" s="257"/>
    </row>
    <row r="1833" ht="15.75" customHeight="1">
      <c r="A1833" s="257"/>
      <c r="B1833" s="257"/>
      <c r="C1833" s="257"/>
      <c r="D1833" s="257"/>
      <c r="E1833" s="257"/>
      <c r="F1833" s="257"/>
      <c r="G1833" s="257"/>
      <c r="H1833" s="257"/>
    </row>
    <row r="1834" ht="15.75" customHeight="1">
      <c r="A1834" s="257"/>
      <c r="B1834" s="257"/>
      <c r="C1834" s="257"/>
      <c r="D1834" s="257"/>
      <c r="E1834" s="257"/>
      <c r="F1834" s="257"/>
      <c r="G1834" s="257"/>
      <c r="H1834" s="257"/>
    </row>
    <row r="1835" ht="15.75" customHeight="1">
      <c r="A1835" s="257"/>
      <c r="B1835" s="257"/>
      <c r="C1835" s="257"/>
      <c r="D1835" s="257"/>
      <c r="E1835" s="257"/>
      <c r="F1835" s="257"/>
      <c r="G1835" s="257"/>
      <c r="H1835" s="257"/>
    </row>
    <row r="1836" ht="15.75" customHeight="1">
      <c r="A1836" s="257"/>
      <c r="B1836" s="257"/>
      <c r="C1836" s="257"/>
      <c r="D1836" s="257"/>
      <c r="E1836" s="257"/>
      <c r="F1836" s="257"/>
      <c r="G1836" s="257"/>
      <c r="H1836" s="257"/>
    </row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47.29"/>
    <col customWidth="1" min="3" max="3" width="6.0"/>
    <col customWidth="1" min="4" max="4" width="9.29"/>
    <col customWidth="1" min="5" max="5" width="9.14"/>
    <col customWidth="1" min="6" max="6" width="14.0"/>
    <col customWidth="1" min="7" max="7" width="12.14"/>
    <col customWidth="1" min="8" max="8" width="15.86"/>
    <col customWidth="1" hidden="1" min="9" max="9" width="10.43"/>
    <col customWidth="1" min="10" max="10" width="10.43"/>
    <col customWidth="1" hidden="1" min="11" max="11" width="4.0"/>
    <col customWidth="1" min="12" max="12" width="14.0"/>
    <col customWidth="1" min="13" max="13" width="15.43"/>
  </cols>
  <sheetData>
    <row r="1" ht="12.75" customHeight="1">
      <c r="A1" s="259" t="s">
        <v>711</v>
      </c>
      <c r="B1" s="260" t="s">
        <v>599</v>
      </c>
      <c r="C1" s="261"/>
      <c r="D1" s="262"/>
      <c r="E1" s="259"/>
      <c r="F1" s="259"/>
      <c r="G1" s="259" t="s">
        <v>712</v>
      </c>
      <c r="H1" s="259"/>
      <c r="I1" s="263"/>
      <c r="J1" s="259"/>
      <c r="K1" s="259"/>
      <c r="L1" s="260"/>
      <c r="N1" s="101"/>
      <c r="O1" s="101"/>
    </row>
    <row r="2" ht="12.75" customHeight="1">
      <c r="A2" s="259"/>
      <c r="B2" s="260" t="s">
        <v>713</v>
      </c>
      <c r="C2" s="261"/>
      <c r="D2" s="262"/>
      <c r="E2" s="259"/>
      <c r="F2" s="259"/>
      <c r="G2" s="259"/>
      <c r="H2" s="259"/>
      <c r="I2" s="263"/>
      <c r="J2" s="259" t="s">
        <v>714</v>
      </c>
      <c r="K2" s="259"/>
      <c r="L2" s="260"/>
      <c r="N2" s="101"/>
      <c r="O2" s="101"/>
    </row>
    <row r="3" ht="12.75" customHeight="1">
      <c r="A3" s="259"/>
      <c r="B3" s="264" t="s">
        <v>715</v>
      </c>
      <c r="C3" s="265"/>
      <c r="D3" s="266"/>
      <c r="E3" s="259"/>
      <c r="F3" s="259"/>
      <c r="G3" s="259" t="s">
        <v>716</v>
      </c>
      <c r="H3" s="259"/>
      <c r="I3" s="263"/>
      <c r="J3" s="259"/>
      <c r="K3" s="259"/>
      <c r="L3" s="260"/>
      <c r="N3" s="101"/>
      <c r="O3" s="101"/>
    </row>
    <row r="4" ht="12.75" customHeight="1">
      <c r="A4" s="259" t="s">
        <v>0</v>
      </c>
      <c r="B4" s="259"/>
      <c r="C4" s="261"/>
      <c r="D4" s="266"/>
      <c r="E4" s="266"/>
      <c r="F4" s="266"/>
      <c r="G4" s="266"/>
      <c r="H4" s="266"/>
      <c r="I4" s="266"/>
      <c r="J4" s="266"/>
      <c r="K4" s="259"/>
      <c r="L4" s="260"/>
      <c r="N4" s="101"/>
      <c r="O4" s="101"/>
    </row>
    <row r="5" ht="12.75" customHeight="1">
      <c r="A5" s="259"/>
      <c r="B5" s="259"/>
      <c r="C5" s="261"/>
      <c r="D5" s="267" t="s">
        <v>717</v>
      </c>
      <c r="E5" s="268" t="s">
        <v>718</v>
      </c>
      <c r="F5" s="268" t="s">
        <v>719</v>
      </c>
      <c r="G5" s="268" t="s">
        <v>720</v>
      </c>
      <c r="H5" s="268" t="s">
        <v>721</v>
      </c>
      <c r="I5" s="263"/>
      <c r="J5" s="259"/>
      <c r="K5" s="259"/>
      <c r="L5" s="260"/>
      <c r="N5" s="101"/>
      <c r="O5" s="101"/>
    </row>
    <row r="6" ht="15.75" customHeight="1">
      <c r="A6" s="269" t="s">
        <v>6</v>
      </c>
      <c r="B6" s="270" t="s">
        <v>7</v>
      </c>
      <c r="C6" s="271" t="s">
        <v>9</v>
      </c>
      <c r="D6" s="272" t="s">
        <v>722</v>
      </c>
      <c r="E6" s="273" t="s">
        <v>723</v>
      </c>
      <c r="F6" s="273" t="s">
        <v>724</v>
      </c>
      <c r="G6" s="273" t="s">
        <v>725</v>
      </c>
      <c r="H6" s="274" t="s">
        <v>726</v>
      </c>
      <c r="I6" s="275"/>
      <c r="J6" s="276" t="s">
        <v>727</v>
      </c>
      <c r="K6" s="277"/>
      <c r="L6" s="277" t="s">
        <v>728</v>
      </c>
      <c r="M6" s="278" t="s">
        <v>196</v>
      </c>
    </row>
    <row r="7">
      <c r="A7" s="106" t="s">
        <v>25</v>
      </c>
      <c r="B7" s="107" t="s">
        <v>26</v>
      </c>
      <c r="C7" s="279" t="s">
        <v>729</v>
      </c>
      <c r="D7" s="280">
        <v>675.0</v>
      </c>
      <c r="E7" s="281">
        <f>SUMIF(RM_Purchase_YTD!C:C,'RM Rollforward'!A7,RM_Purchase_YTD!E:E)</f>
        <v>40745</v>
      </c>
      <c r="F7" s="281">
        <f>SUMIF(RM_InboundProd_YTD!B:B,'RM Rollforward'!A7,RM_InboundProd_YTD!D:D)</f>
        <v>7225</v>
      </c>
      <c r="G7" s="282">
        <f>SUMIF(RM_Outbound_YTD!B:B,'RM Rollforward'!A7,RM_Outbound_YTD!D:D)</f>
        <v>42055</v>
      </c>
      <c r="H7" s="283">
        <f t="shared" ref="H7:H674" si="1">D7+E7+F7-G7</f>
        <v>6590</v>
      </c>
      <c r="I7" s="284">
        <f t="shared" ref="I7:I33" si="2">H7/25</f>
        <v>263.6</v>
      </c>
      <c r="J7" s="285">
        <v>45.0</v>
      </c>
      <c r="K7" s="286">
        <v>1.0</v>
      </c>
      <c r="L7" s="287">
        <f t="shared" ref="L7:L12" si="3">H7*J7*K7</f>
        <v>296550</v>
      </c>
      <c r="M7" s="169"/>
    </row>
    <row r="8">
      <c r="A8" s="106" t="s">
        <v>31</v>
      </c>
      <c r="B8" s="107" t="s">
        <v>32</v>
      </c>
      <c r="C8" s="279" t="s">
        <v>729</v>
      </c>
      <c r="D8" s="280">
        <v>250.0</v>
      </c>
      <c r="E8" s="281">
        <f>SUMIF(RM_Purchase_YTD!C:C,'RM Rollforward'!A8,RM_Purchase_YTD!E:E)</f>
        <v>18170</v>
      </c>
      <c r="F8" s="281">
        <f>SUMIF(RM_InboundProd_YTD!B:B,'RM Rollforward'!A8,RM_InboundProd_YTD!D:D)</f>
        <v>5050</v>
      </c>
      <c r="G8" s="282">
        <f>SUMIF(RM_Outbound_YTD!B:B,'RM Rollforward'!A8,RM_Outbound_YTD!D:D)</f>
        <v>20470</v>
      </c>
      <c r="H8" s="283">
        <f t="shared" si="1"/>
        <v>3000</v>
      </c>
      <c r="I8" s="284">
        <f t="shared" si="2"/>
        <v>120</v>
      </c>
      <c r="J8" s="285">
        <v>45.0</v>
      </c>
      <c r="K8" s="286">
        <v>1.0</v>
      </c>
      <c r="L8" s="287">
        <f t="shared" si="3"/>
        <v>135000</v>
      </c>
      <c r="M8" s="169"/>
    </row>
    <row r="9">
      <c r="A9" s="106" t="s">
        <v>124</v>
      </c>
      <c r="B9" s="107" t="s">
        <v>125</v>
      </c>
      <c r="C9" s="279" t="s">
        <v>729</v>
      </c>
      <c r="D9" s="280">
        <f>550+3420</f>
        <v>3970</v>
      </c>
      <c r="E9" s="281">
        <f>SUMIF(RM_Purchase_YTD!C:C,'RM Rollforward'!A9,RM_Purchase_YTD!E:E)</f>
        <v>900</v>
      </c>
      <c r="F9" s="281">
        <f>SUMIF(RM_InboundProd_YTD!B:B,'RM Rollforward'!A9,RM_InboundProd_YTD!D:D)</f>
        <v>2850</v>
      </c>
      <c r="G9" s="282">
        <f>SUMIF(RM_Outbound_YTD!B:B,'RM Rollforward'!A9,RM_Outbound_YTD!D:D)</f>
        <v>7720</v>
      </c>
      <c r="H9" s="283">
        <f t="shared" si="1"/>
        <v>0</v>
      </c>
      <c r="I9" s="284">
        <f t="shared" si="2"/>
        <v>0</v>
      </c>
      <c r="J9" s="285">
        <v>45.0</v>
      </c>
      <c r="K9" s="286">
        <v>1.0</v>
      </c>
      <c r="L9" s="287">
        <f t="shared" si="3"/>
        <v>0</v>
      </c>
      <c r="M9" s="169"/>
    </row>
    <row r="10">
      <c r="A10" s="106" t="s">
        <v>101</v>
      </c>
      <c r="B10" s="107" t="s">
        <v>102</v>
      </c>
      <c r="C10" s="279" t="s">
        <v>729</v>
      </c>
      <c r="D10" s="280">
        <f>75+7200</f>
        <v>7275</v>
      </c>
      <c r="E10" s="281">
        <f>SUMIF(RM_Purchase_YTD!C:C,'RM Rollforward'!A10,RM_Purchase_YTD!E:E)</f>
        <v>34165</v>
      </c>
      <c r="F10" s="281">
        <f>SUMIF(RM_InboundProd_YTD!B:B,'RM Rollforward'!A10,RM_InboundProd_YTD!D:D)</f>
        <v>6825</v>
      </c>
      <c r="G10" s="282">
        <f>SUMIF(RM_Outbound_YTD!B:B,'RM Rollforward'!A10,RM_Outbound_YTD!D:D)</f>
        <v>25550</v>
      </c>
      <c r="H10" s="283">
        <f t="shared" si="1"/>
        <v>22715</v>
      </c>
      <c r="I10" s="284">
        <f t="shared" si="2"/>
        <v>908.6</v>
      </c>
      <c r="J10" s="285">
        <v>42.0</v>
      </c>
      <c r="K10" s="286">
        <v>1.0</v>
      </c>
      <c r="L10" s="287">
        <f t="shared" si="3"/>
        <v>954030</v>
      </c>
      <c r="M10" s="169"/>
    </row>
    <row r="11">
      <c r="A11" s="106" t="s">
        <v>39</v>
      </c>
      <c r="B11" s="107" t="s">
        <v>40</v>
      </c>
      <c r="C11" s="279" t="s">
        <v>729</v>
      </c>
      <c r="D11" s="288">
        <f>750+2010</f>
        <v>2760</v>
      </c>
      <c r="E11" s="281">
        <f>SUMIF(RM_Purchase_YTD!C:C,'RM Rollforward'!A11,RM_Purchase_YTD!E:E)</f>
        <v>28530</v>
      </c>
      <c r="F11" s="281">
        <f>SUMIF(RM_InboundProd_YTD!B:B,'RM Rollforward'!A11,RM_InboundProd_YTD!D:D)</f>
        <v>3225</v>
      </c>
      <c r="G11" s="282">
        <f>SUMIF(RM_Outbound_YTD!B:B,'RM Rollforward'!A11,RM_Outbound_YTD!D:D)</f>
        <v>29830</v>
      </c>
      <c r="H11" s="283">
        <f t="shared" si="1"/>
        <v>4685</v>
      </c>
      <c r="I11" s="284">
        <f t="shared" si="2"/>
        <v>187.4</v>
      </c>
      <c r="J11" s="285">
        <v>48.0</v>
      </c>
      <c r="K11" s="286">
        <v>1.0</v>
      </c>
      <c r="L11" s="287">
        <f t="shared" si="3"/>
        <v>224880</v>
      </c>
      <c r="M11" s="169"/>
    </row>
    <row r="12">
      <c r="A12" s="106" t="s">
        <v>126</v>
      </c>
      <c r="B12" s="107" t="s">
        <v>127</v>
      </c>
      <c r="C12" s="279" t="s">
        <v>729</v>
      </c>
      <c r="D12" s="280">
        <v>11490.0</v>
      </c>
      <c r="E12" s="281">
        <f>SUMIF(RM_Purchase_YTD!C:C,'RM Rollforward'!A12,RM_Purchase_YTD!E:E)</f>
        <v>2400</v>
      </c>
      <c r="F12" s="281">
        <f>SUMIF(RM_InboundProd_YTD!B:B,'RM Rollforward'!A12,RM_InboundProd_YTD!D:D)</f>
        <v>1350</v>
      </c>
      <c r="G12" s="282">
        <f>SUMIF(RM_Outbound_YTD!B:B,'RM Rollforward'!A12,RM_Outbound_YTD!D:D)</f>
        <v>15240</v>
      </c>
      <c r="H12" s="283">
        <f t="shared" si="1"/>
        <v>0</v>
      </c>
      <c r="I12" s="284">
        <f t="shared" si="2"/>
        <v>0</v>
      </c>
      <c r="J12" s="285">
        <v>45.0</v>
      </c>
      <c r="K12" s="286">
        <v>1.0</v>
      </c>
      <c r="L12" s="287">
        <f t="shared" si="3"/>
        <v>0</v>
      </c>
      <c r="M12" s="169"/>
    </row>
    <row r="13">
      <c r="A13" s="106" t="s">
        <v>199</v>
      </c>
      <c r="B13" s="107" t="s">
        <v>200</v>
      </c>
      <c r="C13" s="279" t="s">
        <v>729</v>
      </c>
      <c r="D13" s="280">
        <v>575.0</v>
      </c>
      <c r="E13" s="281">
        <f>SUMIF(RM_Purchase_YTD!C:C,'RM Rollforward'!A13,RM_Purchase_YTD!E:E)</f>
        <v>0</v>
      </c>
      <c r="F13" s="281">
        <f>SUMIF(RM_InboundProd_YTD!B:B,'RM Rollforward'!A13,RM_InboundProd_YTD!D:D)</f>
        <v>1700</v>
      </c>
      <c r="G13" s="282">
        <f>SUMIF(RM_Outbound_YTD!B:B,'RM Rollforward'!A13,RM_Outbound_YTD!D:D)</f>
        <v>2250</v>
      </c>
      <c r="H13" s="283">
        <f t="shared" si="1"/>
        <v>25</v>
      </c>
      <c r="I13" s="284">
        <f t="shared" si="2"/>
        <v>1</v>
      </c>
      <c r="J13" s="285">
        <v>45.0</v>
      </c>
      <c r="K13" s="286">
        <v>1.0</v>
      </c>
      <c r="L13" s="287">
        <f>H8*J13*K13</f>
        <v>135000</v>
      </c>
      <c r="M13" s="169"/>
    </row>
    <row r="14">
      <c r="A14" s="106" t="s">
        <v>61</v>
      </c>
      <c r="B14" s="107" t="s">
        <v>62</v>
      </c>
      <c r="C14" s="279" t="s">
        <v>729</v>
      </c>
      <c r="D14" s="280">
        <v>975.0</v>
      </c>
      <c r="E14" s="281">
        <f>SUMIF(RM_Purchase_YTD!C:C,'RM Rollforward'!A14,RM_Purchase_YTD!E:E)</f>
        <v>35000</v>
      </c>
      <c r="F14" s="281">
        <f>SUMIF(RM_InboundProd_YTD!B:B,'RM Rollforward'!A14,RM_InboundProd_YTD!D:D)</f>
        <v>0</v>
      </c>
      <c r="G14" s="282">
        <f>SUMIF(RM_Outbound_YTD!B:B,'RM Rollforward'!A14,RM_Outbound_YTD!D:D)</f>
        <v>17100</v>
      </c>
      <c r="H14" s="283">
        <f t="shared" si="1"/>
        <v>18875</v>
      </c>
      <c r="I14" s="284">
        <f t="shared" si="2"/>
        <v>755</v>
      </c>
      <c r="J14" s="285">
        <v>72.5</v>
      </c>
      <c r="K14" s="286">
        <v>1.0</v>
      </c>
      <c r="L14" s="287">
        <f t="shared" ref="L14:L674" si="4">H14*J14*K14</f>
        <v>1368437.5</v>
      </c>
      <c r="M14" s="169"/>
    </row>
    <row r="15">
      <c r="A15" s="106" t="s">
        <v>41</v>
      </c>
      <c r="B15" s="107" t="s">
        <v>42</v>
      </c>
      <c r="C15" s="279" t="s">
        <v>729</v>
      </c>
      <c r="D15" s="280">
        <v>23225.0</v>
      </c>
      <c r="E15" s="281">
        <f>SUMIF(RM_Purchase_YTD!C:C,'RM Rollforward'!A15,RM_Purchase_YTD!E:E)</f>
        <v>42500</v>
      </c>
      <c r="F15" s="281">
        <f>SUMIF(RM_InboundProd_YTD!B:B,'RM Rollforward'!A15,RM_InboundProd_YTD!D:D)</f>
        <v>0</v>
      </c>
      <c r="G15" s="282">
        <f>SUMIF(RM_Outbound_YTD!B:B,'RM Rollforward'!A15,RM_Outbound_YTD!D:D)</f>
        <v>63900</v>
      </c>
      <c r="H15" s="283">
        <f t="shared" si="1"/>
        <v>1825</v>
      </c>
      <c r="I15" s="284">
        <f t="shared" si="2"/>
        <v>73</v>
      </c>
      <c r="J15" s="285">
        <v>72.5</v>
      </c>
      <c r="K15" s="286">
        <v>1.0</v>
      </c>
      <c r="L15" s="287">
        <f t="shared" si="4"/>
        <v>132312.5</v>
      </c>
      <c r="M15" s="169"/>
    </row>
    <row r="16">
      <c r="A16" s="106" t="s">
        <v>730</v>
      </c>
      <c r="B16" s="107" t="s">
        <v>731</v>
      </c>
      <c r="C16" s="279" t="s">
        <v>729</v>
      </c>
      <c r="D16" s="280">
        <v>650.0</v>
      </c>
      <c r="E16" s="281">
        <f>SUMIF(RM_Purchase_YTD!C:C,'RM Rollforward'!A16,RM_Purchase_YTD!E:E)</f>
        <v>0</v>
      </c>
      <c r="F16" s="281">
        <f>SUMIF(RM_InboundProd_YTD!B:B,'RM Rollforward'!A16,RM_InboundProd_YTD!D:D)</f>
        <v>0</v>
      </c>
      <c r="G16" s="282">
        <f>SUMIF(RM_Outbound_YTD!B:B,'RM Rollforward'!A16,RM_Outbound_YTD!D:D)</f>
        <v>0</v>
      </c>
      <c r="H16" s="283">
        <f t="shared" si="1"/>
        <v>650</v>
      </c>
      <c r="I16" s="284">
        <f t="shared" si="2"/>
        <v>26</v>
      </c>
      <c r="J16" s="285">
        <v>89.0</v>
      </c>
      <c r="K16" s="286">
        <v>1.0</v>
      </c>
      <c r="L16" s="287">
        <f t="shared" si="4"/>
        <v>57850</v>
      </c>
      <c r="M16" s="169"/>
    </row>
    <row r="17">
      <c r="A17" s="106" t="s">
        <v>53</v>
      </c>
      <c r="B17" s="107" t="s">
        <v>54</v>
      </c>
      <c r="C17" s="279" t="s">
        <v>729</v>
      </c>
      <c r="D17" s="280">
        <v>11650.0</v>
      </c>
      <c r="E17" s="281">
        <f>SUMIF(RM_Purchase_YTD!C:C,'RM Rollforward'!A17,RM_Purchase_YTD!E:E)</f>
        <v>17500</v>
      </c>
      <c r="F17" s="281">
        <f>SUMIF(RM_InboundProd_YTD!B:B,'RM Rollforward'!A17,RM_InboundProd_YTD!D:D)</f>
        <v>0</v>
      </c>
      <c r="G17" s="282">
        <f>SUMIF(RM_Outbound_YTD!B:B,'RM Rollforward'!A17,RM_Outbound_YTD!D:D)</f>
        <v>4525</v>
      </c>
      <c r="H17" s="283">
        <f t="shared" si="1"/>
        <v>24625</v>
      </c>
      <c r="I17" s="284">
        <f t="shared" si="2"/>
        <v>985</v>
      </c>
      <c r="J17" s="285">
        <v>77.0</v>
      </c>
      <c r="K17" s="286">
        <v>1.0</v>
      </c>
      <c r="L17" s="287">
        <f t="shared" si="4"/>
        <v>1896125</v>
      </c>
      <c r="M17" s="169"/>
    </row>
    <row r="18">
      <c r="A18" s="106" t="s">
        <v>643</v>
      </c>
      <c r="B18" s="107" t="s">
        <v>644</v>
      </c>
      <c r="C18" s="279" t="s">
        <v>729</v>
      </c>
      <c r="D18" s="280">
        <v>6050.0</v>
      </c>
      <c r="E18" s="281">
        <f>SUMIF(RM_Purchase_YTD!C:C,'RM Rollforward'!A18,RM_Purchase_YTD!E:E)</f>
        <v>0</v>
      </c>
      <c r="F18" s="281">
        <f>SUMIF(RM_InboundProd_YTD!B:B,'RM Rollforward'!A18,RM_InboundProd_YTD!D:D)</f>
        <v>0</v>
      </c>
      <c r="G18" s="282">
        <f>SUMIF(RM_Outbound_YTD!B:B,'RM Rollforward'!A18,RM_Outbound_YTD!D:D)</f>
        <v>5150</v>
      </c>
      <c r="H18" s="283">
        <f t="shared" si="1"/>
        <v>900</v>
      </c>
      <c r="I18" s="284">
        <f t="shared" si="2"/>
        <v>36</v>
      </c>
      <c r="J18" s="285">
        <v>47.0</v>
      </c>
      <c r="K18" s="286">
        <v>1.0</v>
      </c>
      <c r="L18" s="287">
        <f t="shared" si="4"/>
        <v>42300</v>
      </c>
      <c r="M18" s="169"/>
    </row>
    <row r="19">
      <c r="A19" s="106" t="s">
        <v>645</v>
      </c>
      <c r="B19" s="107" t="s">
        <v>646</v>
      </c>
      <c r="C19" s="279" t="s">
        <v>729</v>
      </c>
      <c r="D19" s="280">
        <v>1450.0</v>
      </c>
      <c r="E19" s="281">
        <f>SUMIF(RM_Purchase_YTD!C:C,'RM Rollforward'!A19,RM_Purchase_YTD!E:E)</f>
        <v>0</v>
      </c>
      <c r="F19" s="281">
        <f>SUMIF(RM_InboundProd_YTD!B:B,'RM Rollforward'!A19,RM_InboundProd_YTD!D:D)</f>
        <v>0</v>
      </c>
      <c r="G19" s="282">
        <f>SUMIF(RM_Outbound_YTD!B:B,'RM Rollforward'!A19,RM_Outbound_YTD!D:D)</f>
        <v>1150</v>
      </c>
      <c r="H19" s="283">
        <f t="shared" si="1"/>
        <v>300</v>
      </c>
      <c r="I19" s="284">
        <f t="shared" si="2"/>
        <v>12</v>
      </c>
      <c r="J19" s="289">
        <v>50.0</v>
      </c>
      <c r="K19" s="286">
        <v>1.0</v>
      </c>
      <c r="L19" s="287">
        <f t="shared" si="4"/>
        <v>15000</v>
      </c>
      <c r="M19" s="169"/>
    </row>
    <row r="20" ht="15.75" customHeight="1">
      <c r="A20" s="124" t="s">
        <v>96</v>
      </c>
      <c r="B20" s="107" t="s">
        <v>97</v>
      </c>
      <c r="C20" s="279" t="s">
        <v>729</v>
      </c>
      <c r="D20" s="280">
        <v>35100.0</v>
      </c>
      <c r="E20" s="281">
        <f>SUMIF(RM_Purchase_YTD!C:C,'RM Rollforward'!A20,RM_Purchase_YTD!E:E)</f>
        <v>17500</v>
      </c>
      <c r="F20" s="281">
        <f>SUMIF(RM_InboundProd_YTD!B:B,'RM Rollforward'!A20,RM_InboundProd_YTD!D:D)</f>
        <v>0</v>
      </c>
      <c r="G20" s="282">
        <f>SUMIF(RM_Outbound_YTD!B:B,'RM Rollforward'!A20,RM_Outbound_YTD!D:D)</f>
        <v>42300</v>
      </c>
      <c r="H20" s="283">
        <f t="shared" si="1"/>
        <v>10300</v>
      </c>
      <c r="I20" s="284">
        <f t="shared" si="2"/>
        <v>412</v>
      </c>
      <c r="J20" s="290">
        <v>70.0</v>
      </c>
      <c r="K20" s="286">
        <v>1.0</v>
      </c>
      <c r="L20" s="287">
        <f t="shared" si="4"/>
        <v>721000</v>
      </c>
      <c r="M20" s="169"/>
    </row>
    <row r="21" ht="15.75" customHeight="1">
      <c r="A21" s="124" t="s">
        <v>47</v>
      </c>
      <c r="B21" s="217" t="s">
        <v>48</v>
      </c>
      <c r="C21" s="279" t="s">
        <v>729</v>
      </c>
      <c r="D21" s="280">
        <v>11750.0</v>
      </c>
      <c r="E21" s="281">
        <f>SUMIF(RM_Purchase_YTD!C:C,'RM Rollforward'!A21,RM_Purchase_YTD!E:E)</f>
        <v>10000</v>
      </c>
      <c r="F21" s="281">
        <f>SUMIF(RM_InboundProd_YTD!B:B,'RM Rollforward'!A21,RM_InboundProd_YTD!D:D)</f>
        <v>0</v>
      </c>
      <c r="G21" s="282">
        <f>SUMIF(RM_Outbound_YTD!B:B,'RM Rollforward'!A21,RM_Outbound_YTD!D:D)</f>
        <v>12000</v>
      </c>
      <c r="H21" s="283">
        <f t="shared" si="1"/>
        <v>9750</v>
      </c>
      <c r="I21" s="284">
        <f t="shared" si="2"/>
        <v>390</v>
      </c>
      <c r="J21" s="285">
        <v>71.0</v>
      </c>
      <c r="K21" s="286">
        <v>1.0</v>
      </c>
      <c r="L21" s="287">
        <f t="shared" si="4"/>
        <v>692250</v>
      </c>
      <c r="M21" s="169"/>
    </row>
    <row r="22" ht="15.75" customHeight="1">
      <c r="A22" s="72" t="s">
        <v>33</v>
      </c>
      <c r="B22" s="108" t="s">
        <v>34</v>
      </c>
      <c r="C22" s="279" t="s">
        <v>729</v>
      </c>
      <c r="D22" s="280">
        <v>0.0</v>
      </c>
      <c r="E22" s="281">
        <f>SUMIF(RM_Purchase_YTD!C:C,'RM Rollforward'!A22,RM_Purchase_YTD!E:E)</f>
        <v>2050</v>
      </c>
      <c r="F22" s="281">
        <f>SUMIF(RM_InboundProd_YTD!B:B,'RM Rollforward'!A22,RM_InboundProd_YTD!D:D)</f>
        <v>0</v>
      </c>
      <c r="G22" s="282">
        <f>SUMIF(RM_Outbound_YTD!B:B,'RM Rollforward'!A22,RM_Outbound_YTD!D:D)</f>
        <v>2050</v>
      </c>
      <c r="H22" s="283">
        <f t="shared" si="1"/>
        <v>0</v>
      </c>
      <c r="I22" s="284">
        <f t="shared" si="2"/>
        <v>0</v>
      </c>
      <c r="J22" s="285">
        <v>57.0</v>
      </c>
      <c r="K22" s="286">
        <v>1.0</v>
      </c>
      <c r="L22" s="287">
        <f t="shared" si="4"/>
        <v>0</v>
      </c>
      <c r="M22" s="169"/>
    </row>
    <row r="23" ht="15.75" customHeight="1">
      <c r="A23" s="72" t="s">
        <v>640</v>
      </c>
      <c r="B23" s="212" t="s">
        <v>641</v>
      </c>
      <c r="C23" s="279" t="s">
        <v>729</v>
      </c>
      <c r="D23" s="280">
        <v>38150.0</v>
      </c>
      <c r="E23" s="281">
        <f>SUMIF(RM_Purchase_YTD!C:C,'RM Rollforward'!A23,RM_Purchase_YTD!E:E)</f>
        <v>0</v>
      </c>
      <c r="F23" s="281">
        <f>SUMIF(RM_InboundProd_YTD!B:B,'RM Rollforward'!A23,RM_InboundProd_YTD!D:D)</f>
        <v>0</v>
      </c>
      <c r="G23" s="282">
        <f>SUMIF(RM_Outbound_YTD!B:B,'RM Rollforward'!A23,RM_Outbound_YTD!D:D)</f>
        <v>3025</v>
      </c>
      <c r="H23" s="283">
        <f t="shared" si="1"/>
        <v>35125</v>
      </c>
      <c r="I23" s="284">
        <f t="shared" si="2"/>
        <v>1405</v>
      </c>
      <c r="J23" s="285">
        <v>63.0</v>
      </c>
      <c r="K23" s="286">
        <v>1.0</v>
      </c>
      <c r="L23" s="287">
        <f t="shared" si="4"/>
        <v>2212875</v>
      </c>
      <c r="M23" s="169"/>
    </row>
    <row r="24" ht="15.75" customHeight="1">
      <c r="A24" s="72" t="s">
        <v>201</v>
      </c>
      <c r="B24" s="108" t="s">
        <v>202</v>
      </c>
      <c r="C24" s="279" t="s">
        <v>729</v>
      </c>
      <c r="D24" s="280">
        <v>100.0</v>
      </c>
      <c r="E24" s="281">
        <f>SUMIF(RM_Purchase_YTD!C:C,'RM Rollforward'!A24,RM_Purchase_YTD!E:E)</f>
        <v>0</v>
      </c>
      <c r="F24" s="281">
        <f>SUMIF(RM_InboundProd_YTD!B:B,'RM Rollforward'!A24,RM_InboundProd_YTD!D:D)</f>
        <v>1550</v>
      </c>
      <c r="G24" s="282">
        <f>SUMIF(RM_Outbound_YTD!B:B,'RM Rollforward'!A24,RM_Outbound_YTD!D:D)</f>
        <v>650</v>
      </c>
      <c r="H24" s="283">
        <f t="shared" si="1"/>
        <v>1000</v>
      </c>
      <c r="I24" s="284">
        <f t="shared" si="2"/>
        <v>40</v>
      </c>
      <c r="J24" s="285">
        <v>75.0</v>
      </c>
      <c r="K24" s="286">
        <v>1.0</v>
      </c>
      <c r="L24" s="287">
        <f t="shared" si="4"/>
        <v>75000</v>
      </c>
      <c r="M24" s="169"/>
    </row>
    <row r="25" ht="15.75" customHeight="1">
      <c r="A25" s="72" t="s">
        <v>732</v>
      </c>
      <c r="B25" s="108" t="s">
        <v>733</v>
      </c>
      <c r="C25" s="279" t="s">
        <v>729</v>
      </c>
      <c r="D25" s="280">
        <v>0.0</v>
      </c>
      <c r="E25" s="281">
        <f>SUMIF(RM_Purchase_YTD!C:C,'RM Rollforward'!A25,RM_Purchase_YTD!E:E)</f>
        <v>0</v>
      </c>
      <c r="F25" s="281">
        <f>SUMIF(RM_InboundProd_YTD!B:B,'RM Rollforward'!A25,RM_InboundProd_YTD!D:D)</f>
        <v>0</v>
      </c>
      <c r="G25" s="282">
        <f>SUMIF(RM_Outbound_YTD!B:B,'RM Rollforward'!A25,RM_Outbound_YTD!D:D)</f>
        <v>0</v>
      </c>
      <c r="H25" s="283">
        <f t="shared" si="1"/>
        <v>0</v>
      </c>
      <c r="I25" s="284">
        <f t="shared" si="2"/>
        <v>0</v>
      </c>
      <c r="J25" s="285">
        <v>75.0</v>
      </c>
      <c r="K25" s="286">
        <v>1.0</v>
      </c>
      <c r="L25" s="287">
        <f t="shared" si="4"/>
        <v>0</v>
      </c>
      <c r="M25" s="169"/>
    </row>
    <row r="26" ht="15.75" customHeight="1">
      <c r="A26" s="72" t="s">
        <v>209</v>
      </c>
      <c r="B26" s="111" t="s">
        <v>210</v>
      </c>
      <c r="C26" s="279" t="s">
        <v>729</v>
      </c>
      <c r="D26" s="280">
        <v>0.0</v>
      </c>
      <c r="E26" s="281">
        <f>SUMIF(RM_Purchase_YTD!C:C,'RM Rollforward'!A26,RM_Purchase_YTD!E:E)</f>
        <v>0</v>
      </c>
      <c r="F26" s="281">
        <f>SUMIF(RM_InboundProd_YTD!B:B,'RM Rollforward'!A26,RM_InboundProd_YTD!D:D)</f>
        <v>100</v>
      </c>
      <c r="G26" s="282">
        <f>SUMIF(RM_Outbound_YTD!B:B,'RM Rollforward'!A26,RM_Outbound_YTD!D:D)</f>
        <v>0</v>
      </c>
      <c r="H26" s="283">
        <f t="shared" si="1"/>
        <v>100</v>
      </c>
      <c r="I26" s="284">
        <f t="shared" si="2"/>
        <v>4</v>
      </c>
      <c r="J26" s="285">
        <v>75.0</v>
      </c>
      <c r="K26" s="286">
        <v>1.0</v>
      </c>
      <c r="L26" s="287">
        <f t="shared" si="4"/>
        <v>7500</v>
      </c>
      <c r="M26" s="169"/>
    </row>
    <row r="27" ht="15.75" customHeight="1">
      <c r="A27" s="291" t="s">
        <v>734</v>
      </c>
      <c r="B27" s="286" t="s">
        <v>735</v>
      </c>
      <c r="C27" s="279" t="s">
        <v>729</v>
      </c>
      <c r="D27" s="280">
        <v>0.0</v>
      </c>
      <c r="E27" s="281">
        <f>SUMIF(RM_Purchase_YTD!C:C,'RM Rollforward'!A27,RM_Purchase_YTD!E:E)</f>
        <v>0</v>
      </c>
      <c r="F27" s="281">
        <f>SUMIF(RM_InboundProd_YTD!B:B,'RM Rollforward'!A27,RM_InboundProd_YTD!D:D)</f>
        <v>0</v>
      </c>
      <c r="G27" s="282">
        <f>SUMIF(RM_Outbound_YTD!B:B,'RM Rollforward'!A27,RM_Outbound_YTD!D:D)</f>
        <v>0</v>
      </c>
      <c r="H27" s="283">
        <f t="shared" si="1"/>
        <v>0</v>
      </c>
      <c r="I27" s="284">
        <f t="shared" si="2"/>
        <v>0</v>
      </c>
      <c r="J27" s="289">
        <v>75.0</v>
      </c>
      <c r="K27" s="286">
        <v>1.0</v>
      </c>
      <c r="L27" s="287">
        <f t="shared" si="4"/>
        <v>0</v>
      </c>
      <c r="M27" s="169"/>
    </row>
    <row r="28" ht="15.75" customHeight="1">
      <c r="A28" s="106" t="s">
        <v>207</v>
      </c>
      <c r="B28" s="108" t="s">
        <v>208</v>
      </c>
      <c r="C28" s="279" t="s">
        <v>729</v>
      </c>
      <c r="D28" s="280">
        <v>0.0</v>
      </c>
      <c r="E28" s="281">
        <f>SUMIF(RM_Purchase_YTD!C:C,'RM Rollforward'!A28,RM_Purchase_YTD!E:E)</f>
        <v>0</v>
      </c>
      <c r="F28" s="281">
        <f>SUMIF(RM_InboundProd_YTD!B:B,'RM Rollforward'!A28,RM_InboundProd_YTD!D:D)</f>
        <v>275</v>
      </c>
      <c r="G28" s="282">
        <f>SUMIF(RM_Outbound_YTD!B:B,'RM Rollforward'!A28,RM_Outbound_YTD!D:D)</f>
        <v>0</v>
      </c>
      <c r="H28" s="283">
        <f t="shared" si="1"/>
        <v>275</v>
      </c>
      <c r="I28" s="284">
        <f t="shared" si="2"/>
        <v>11</v>
      </c>
      <c r="J28" s="285">
        <v>75.0</v>
      </c>
      <c r="K28" s="286">
        <v>1.0</v>
      </c>
      <c r="L28" s="287">
        <f t="shared" si="4"/>
        <v>20625</v>
      </c>
      <c r="M28" s="169"/>
    </row>
    <row r="29" ht="15.75" customHeight="1">
      <c r="A29" s="106" t="s">
        <v>203</v>
      </c>
      <c r="B29" s="108" t="s">
        <v>204</v>
      </c>
      <c r="C29" s="279" t="s">
        <v>729</v>
      </c>
      <c r="D29" s="280">
        <v>4200.0</v>
      </c>
      <c r="E29" s="281">
        <f>SUMIF(RM_Purchase_YTD!C:C,'RM Rollforward'!A29,RM_Purchase_YTD!E:E)</f>
        <v>0</v>
      </c>
      <c r="F29" s="281">
        <f>SUMIF(RM_InboundProd_YTD!B:B,'RM Rollforward'!A29,RM_InboundProd_YTD!D:D)</f>
        <v>5925</v>
      </c>
      <c r="G29" s="282">
        <f>SUMIF(RM_Outbound_YTD!B:B,'RM Rollforward'!A29,RM_Outbound_YTD!D:D)</f>
        <v>3300</v>
      </c>
      <c r="H29" s="283">
        <f t="shared" si="1"/>
        <v>6825</v>
      </c>
      <c r="I29" s="284">
        <f t="shared" si="2"/>
        <v>273</v>
      </c>
      <c r="J29" s="285">
        <v>75.0</v>
      </c>
      <c r="K29" s="286">
        <v>1.0</v>
      </c>
      <c r="L29" s="287">
        <f t="shared" si="4"/>
        <v>511875</v>
      </c>
      <c r="M29" s="169"/>
    </row>
    <row r="30" ht="15.75" customHeight="1">
      <c r="A30" s="72" t="s">
        <v>205</v>
      </c>
      <c r="B30" s="111" t="s">
        <v>206</v>
      </c>
      <c r="C30" s="279" t="s">
        <v>729</v>
      </c>
      <c r="D30" s="280">
        <v>1150.0</v>
      </c>
      <c r="E30" s="281">
        <f>SUMIF(RM_Purchase_YTD!C:C,'RM Rollforward'!A30,RM_Purchase_YTD!E:E)</f>
        <v>0</v>
      </c>
      <c r="F30" s="281">
        <f>SUMIF(RM_InboundProd_YTD!B:B,'RM Rollforward'!A30,RM_InboundProd_YTD!D:D)</f>
        <v>4025</v>
      </c>
      <c r="G30" s="282">
        <f>SUMIF(RM_Outbound_YTD!B:B,'RM Rollforward'!A30,RM_Outbound_YTD!D:D)</f>
        <v>1125</v>
      </c>
      <c r="H30" s="283">
        <f t="shared" si="1"/>
        <v>4050</v>
      </c>
      <c r="I30" s="284">
        <f t="shared" si="2"/>
        <v>162</v>
      </c>
      <c r="J30" s="285">
        <v>75.0</v>
      </c>
      <c r="K30" s="286">
        <v>1.0</v>
      </c>
      <c r="L30" s="287">
        <f t="shared" si="4"/>
        <v>303750</v>
      </c>
      <c r="M30" s="169"/>
    </row>
    <row r="31" ht="15.75" customHeight="1">
      <c r="A31" s="72" t="s">
        <v>211</v>
      </c>
      <c r="B31" s="111" t="s">
        <v>212</v>
      </c>
      <c r="C31" s="279" t="s">
        <v>729</v>
      </c>
      <c r="D31" s="280">
        <v>100.0</v>
      </c>
      <c r="E31" s="281">
        <f>SUMIF(RM_Purchase_YTD!C:C,'RM Rollforward'!A31,RM_Purchase_YTD!E:E)</f>
        <v>0</v>
      </c>
      <c r="F31" s="281">
        <f>SUMIF(RM_InboundProd_YTD!B:B,'RM Rollforward'!A31,RM_InboundProd_YTD!D:D)</f>
        <v>150</v>
      </c>
      <c r="G31" s="282">
        <f>SUMIF(RM_Outbound_YTD!B:B,'RM Rollforward'!A31,RM_Outbound_YTD!D:D)</f>
        <v>50</v>
      </c>
      <c r="H31" s="283">
        <f t="shared" si="1"/>
        <v>200</v>
      </c>
      <c r="I31" s="284">
        <f t="shared" si="2"/>
        <v>8</v>
      </c>
      <c r="J31" s="285">
        <v>75.0</v>
      </c>
      <c r="K31" s="286">
        <v>1.0</v>
      </c>
      <c r="L31" s="287">
        <f t="shared" si="4"/>
        <v>15000</v>
      </c>
      <c r="M31" s="169"/>
    </row>
    <row r="32" ht="15.75" customHeight="1">
      <c r="A32" s="72" t="s">
        <v>144</v>
      </c>
      <c r="B32" s="111" t="s">
        <v>145</v>
      </c>
      <c r="C32" s="279" t="s">
        <v>729</v>
      </c>
      <c r="D32" s="280">
        <v>0.0</v>
      </c>
      <c r="E32" s="281">
        <f>SUMIF(RM_Purchase_YTD!C:C,'RM Rollforward'!A32,RM_Purchase_YTD!E:E)</f>
        <v>2500</v>
      </c>
      <c r="F32" s="281">
        <f>SUMIF(RM_InboundProd_YTD!B:B,'RM Rollforward'!A32,RM_InboundProd_YTD!D:D)</f>
        <v>0</v>
      </c>
      <c r="G32" s="282">
        <f>SUMIF(RM_Outbound_YTD!B:B,'RM Rollforward'!A32,RM_Outbound_YTD!D:D)</f>
        <v>0</v>
      </c>
      <c r="H32" s="283">
        <f t="shared" si="1"/>
        <v>2500</v>
      </c>
      <c r="I32" s="284">
        <f t="shared" si="2"/>
        <v>100</v>
      </c>
      <c r="J32" s="285">
        <v>74.0</v>
      </c>
      <c r="K32" s="286">
        <v>1.0</v>
      </c>
      <c r="L32" s="287">
        <f t="shared" si="4"/>
        <v>185000</v>
      </c>
      <c r="M32" s="169"/>
    </row>
    <row r="33" ht="15.75" customHeight="1">
      <c r="A33" s="72" t="s">
        <v>736</v>
      </c>
      <c r="B33" s="111" t="s">
        <v>737</v>
      </c>
      <c r="C33" s="279" t="s">
        <v>729</v>
      </c>
      <c r="D33" s="280">
        <v>0.0</v>
      </c>
      <c r="E33" s="281">
        <f>SUMIF(RM_Purchase_YTD!C:C,'RM Rollforward'!A33,RM_Purchase_YTD!E:E)</f>
        <v>0</v>
      </c>
      <c r="F33" s="281">
        <f>SUMIF(RM_InboundProd_YTD!B:B,'RM Rollforward'!A33,RM_InboundProd_YTD!D:D)</f>
        <v>0</v>
      </c>
      <c r="G33" s="282">
        <f>SUMIF(RM_Outbound_YTD!B:B,'RM Rollforward'!A33,RM_Outbound_YTD!D:D)</f>
        <v>0</v>
      </c>
      <c r="H33" s="283">
        <f t="shared" si="1"/>
        <v>0</v>
      </c>
      <c r="I33" s="284">
        <f t="shared" si="2"/>
        <v>0</v>
      </c>
      <c r="J33" s="285">
        <v>42.0</v>
      </c>
      <c r="K33" s="286">
        <v>1.0</v>
      </c>
      <c r="L33" s="287">
        <f t="shared" si="4"/>
        <v>0</v>
      </c>
      <c r="M33" s="169"/>
    </row>
    <row r="34" ht="15.75" customHeight="1">
      <c r="A34" s="72" t="s">
        <v>738</v>
      </c>
      <c r="B34" s="111" t="s">
        <v>739</v>
      </c>
      <c r="C34" s="279" t="s">
        <v>729</v>
      </c>
      <c r="D34" s="280">
        <v>4400.0</v>
      </c>
      <c r="E34" s="281">
        <f>SUMIF(RM_Purchase_YTD!C:C,'RM Rollforward'!A34,RM_Purchase_YTD!E:E)</f>
        <v>0</v>
      </c>
      <c r="F34" s="281">
        <f>SUMIF(RM_InboundProd_YTD!B:B,'RM Rollforward'!A34,RM_InboundProd_YTD!D:D)</f>
        <v>0</v>
      </c>
      <c r="G34" s="282">
        <f>SUMIF(RM_Outbound_YTD!B:B,'RM Rollforward'!A34,RM_Outbound_YTD!D:D)</f>
        <v>0</v>
      </c>
      <c r="H34" s="283">
        <f t="shared" si="1"/>
        <v>4400</v>
      </c>
      <c r="I34" s="292">
        <f>H34/1100</f>
        <v>4</v>
      </c>
      <c r="J34" s="285">
        <v>75.0</v>
      </c>
      <c r="K34" s="286">
        <v>1.0</v>
      </c>
      <c r="L34" s="287">
        <f t="shared" si="4"/>
        <v>330000</v>
      </c>
      <c r="M34" s="169"/>
    </row>
    <row r="35" ht="15.75" customHeight="1">
      <c r="A35" s="72" t="s">
        <v>183</v>
      </c>
      <c r="B35" s="111" t="s">
        <v>184</v>
      </c>
      <c r="C35" s="279" t="s">
        <v>729</v>
      </c>
      <c r="D35" s="280">
        <v>1275.0</v>
      </c>
      <c r="E35" s="281">
        <f>SUMIF(RM_Purchase_YTD!C:C,'RM Rollforward'!A35,RM_Purchase_YTD!E:E)</f>
        <v>2500</v>
      </c>
      <c r="F35" s="281">
        <f>SUMIF(RM_InboundProd_YTD!B:B,'RM Rollforward'!A35,RM_InboundProd_YTD!D:D)</f>
        <v>0</v>
      </c>
      <c r="G35" s="282">
        <f>SUMIF(RM_Outbound_YTD!B:B,'RM Rollforward'!A35,RM_Outbound_YTD!D:D)</f>
        <v>0</v>
      </c>
      <c r="H35" s="283">
        <f t="shared" si="1"/>
        <v>3775</v>
      </c>
      <c r="I35" s="284">
        <f t="shared" ref="I35:I37" si="5">H35/25</f>
        <v>151</v>
      </c>
      <c r="J35" s="285">
        <v>76.0</v>
      </c>
      <c r="K35" s="286">
        <v>1.0</v>
      </c>
      <c r="L35" s="287">
        <f t="shared" si="4"/>
        <v>286900</v>
      </c>
      <c r="M35" s="169"/>
    </row>
    <row r="36" ht="15.75" customHeight="1">
      <c r="A36" s="72" t="s">
        <v>740</v>
      </c>
      <c r="B36" s="111" t="s">
        <v>741</v>
      </c>
      <c r="C36" s="279" t="s">
        <v>729</v>
      </c>
      <c r="D36" s="280">
        <v>1200.0</v>
      </c>
      <c r="E36" s="281">
        <f>SUMIF(RM_Purchase_YTD!C:C,'RM Rollforward'!A36,RM_Purchase_YTD!E:E)</f>
        <v>0</v>
      </c>
      <c r="F36" s="281">
        <f>SUMIF(RM_InboundProd_YTD!B:B,'RM Rollforward'!A36,RM_InboundProd_YTD!D:D)</f>
        <v>0</v>
      </c>
      <c r="G36" s="282">
        <f>SUMIF(RM_Outbound_YTD!B:B,'RM Rollforward'!A36,RM_Outbound_YTD!D:D)</f>
        <v>0</v>
      </c>
      <c r="H36" s="283">
        <f t="shared" si="1"/>
        <v>1200</v>
      </c>
      <c r="I36" s="284">
        <f t="shared" si="5"/>
        <v>48</v>
      </c>
      <c r="J36" s="285">
        <v>74.0</v>
      </c>
      <c r="K36" s="286">
        <v>1.0</v>
      </c>
      <c r="L36" s="287">
        <f t="shared" si="4"/>
        <v>88800</v>
      </c>
      <c r="M36" s="169"/>
    </row>
    <row r="37" ht="15.75" customHeight="1">
      <c r="A37" s="72" t="s">
        <v>631</v>
      </c>
      <c r="B37" s="111" t="s">
        <v>632</v>
      </c>
      <c r="C37" s="279" t="s">
        <v>729</v>
      </c>
      <c r="D37" s="280">
        <v>125.0</v>
      </c>
      <c r="E37" s="281">
        <f>SUMIF(RM_Purchase_YTD!C:C,'RM Rollforward'!A37,RM_Purchase_YTD!E:E)</f>
        <v>0</v>
      </c>
      <c r="F37" s="281">
        <f>SUMIF(RM_InboundProd_YTD!B:B,'RM Rollforward'!A37,RM_InboundProd_YTD!D:D)</f>
        <v>0</v>
      </c>
      <c r="G37" s="282">
        <f>SUMIF(RM_Outbound_YTD!B:B,'RM Rollforward'!A37,RM_Outbound_YTD!D:D)</f>
        <v>75</v>
      </c>
      <c r="H37" s="283">
        <f t="shared" si="1"/>
        <v>50</v>
      </c>
      <c r="I37" s="284">
        <f t="shared" si="5"/>
        <v>2</v>
      </c>
      <c r="J37" s="285">
        <v>40.0</v>
      </c>
      <c r="K37" s="286">
        <v>1.0</v>
      </c>
      <c r="L37" s="287">
        <f t="shared" si="4"/>
        <v>2000</v>
      </c>
      <c r="M37" s="169"/>
    </row>
    <row r="38" ht="15.75" customHeight="1">
      <c r="A38" s="72" t="s">
        <v>157</v>
      </c>
      <c r="B38" s="111" t="s">
        <v>158</v>
      </c>
      <c r="C38" s="279" t="s">
        <v>729</v>
      </c>
      <c r="D38" s="280">
        <v>885.0</v>
      </c>
      <c r="E38" s="281">
        <f>SUMIF(RM_Purchase_YTD!C:C,'RM Rollforward'!A38,RM_Purchase_YTD!E:E)</f>
        <v>1000</v>
      </c>
      <c r="F38" s="281">
        <f>SUMIF(RM_InboundProd_YTD!B:B,'RM Rollforward'!A38,RM_InboundProd_YTD!D:D)</f>
        <v>0</v>
      </c>
      <c r="G38" s="282">
        <f>SUMIF(RM_Outbound_YTD!B:B,'RM Rollforward'!A38,RM_Outbound_YTD!D:D)</f>
        <v>585</v>
      </c>
      <c r="H38" s="283">
        <f t="shared" si="1"/>
        <v>1300</v>
      </c>
      <c r="I38" s="284"/>
      <c r="J38" s="285">
        <v>168.0</v>
      </c>
      <c r="K38" s="286">
        <v>1.0</v>
      </c>
      <c r="L38" s="287">
        <f t="shared" si="4"/>
        <v>218400</v>
      </c>
      <c r="M38" s="169"/>
    </row>
    <row r="39" ht="15.75" customHeight="1">
      <c r="A39" s="72" t="s">
        <v>160</v>
      </c>
      <c r="B39" s="108" t="s">
        <v>161</v>
      </c>
      <c r="C39" s="279" t="s">
        <v>729</v>
      </c>
      <c r="D39" s="280">
        <v>619.0</v>
      </c>
      <c r="E39" s="281">
        <f>SUMIF(RM_Purchase_YTD!C:C,'RM Rollforward'!A39,RM_Purchase_YTD!E:E)</f>
        <v>1000</v>
      </c>
      <c r="F39" s="281">
        <f>SUMIF(RM_InboundProd_YTD!B:B,'RM Rollforward'!A39,RM_InboundProd_YTD!D:D)</f>
        <v>0</v>
      </c>
      <c r="G39" s="282">
        <f>SUMIF(RM_Outbound_YTD!B:B,'RM Rollforward'!A39,RM_Outbound_YTD!D:D)</f>
        <v>175</v>
      </c>
      <c r="H39" s="283">
        <f t="shared" si="1"/>
        <v>1444</v>
      </c>
      <c r="I39" s="284"/>
      <c r="J39" s="285">
        <v>201.0</v>
      </c>
      <c r="K39" s="286">
        <v>1.0</v>
      </c>
      <c r="L39" s="287">
        <f t="shared" si="4"/>
        <v>290244</v>
      </c>
      <c r="M39" s="169"/>
    </row>
    <row r="40" ht="15.75" customHeight="1">
      <c r="A40" s="72" t="s">
        <v>162</v>
      </c>
      <c r="B40" s="108" t="s">
        <v>163</v>
      </c>
      <c r="C40" s="279" t="s">
        <v>729</v>
      </c>
      <c r="D40" s="280">
        <v>975.0</v>
      </c>
      <c r="E40" s="281">
        <f>SUMIF(RM_Purchase_YTD!C:C,'RM Rollforward'!A40,RM_Purchase_YTD!E:E)</f>
        <v>750</v>
      </c>
      <c r="F40" s="281">
        <f>SUMIF(RM_InboundProd_YTD!B:B,'RM Rollforward'!A40,RM_InboundProd_YTD!D:D)</f>
        <v>0</v>
      </c>
      <c r="G40" s="282">
        <f>SUMIF(RM_Outbound_YTD!B:B,'RM Rollforward'!A40,RM_Outbound_YTD!D:D)</f>
        <v>128</v>
      </c>
      <c r="H40" s="283">
        <f t="shared" si="1"/>
        <v>1597</v>
      </c>
      <c r="I40" s="284"/>
      <c r="J40" s="285">
        <v>241.0</v>
      </c>
      <c r="K40" s="286">
        <v>1.0</v>
      </c>
      <c r="L40" s="287">
        <f t="shared" si="4"/>
        <v>384877</v>
      </c>
      <c r="M40" s="169"/>
    </row>
    <row r="41" ht="15.75" customHeight="1">
      <c r="A41" s="72" t="s">
        <v>165</v>
      </c>
      <c r="B41" s="212" t="s">
        <v>166</v>
      </c>
      <c r="C41" s="279" t="s">
        <v>729</v>
      </c>
      <c r="D41" s="280">
        <v>953.0</v>
      </c>
      <c r="E41" s="281">
        <f>SUMIF(RM_Purchase_YTD!C:C,'RM Rollforward'!A41,RM_Purchase_YTD!E:E)</f>
        <v>1000</v>
      </c>
      <c r="F41" s="281">
        <f>SUMIF(RM_InboundProd_YTD!B:B,'RM Rollforward'!A41,RM_InboundProd_YTD!D:D)</f>
        <v>0</v>
      </c>
      <c r="G41" s="282">
        <f>SUMIF(RM_Outbound_YTD!B:B,'RM Rollforward'!A41,RM_Outbound_YTD!D:D)</f>
        <v>328</v>
      </c>
      <c r="H41" s="283">
        <f t="shared" si="1"/>
        <v>1625</v>
      </c>
      <c r="I41" s="284"/>
      <c r="J41" s="285">
        <v>188.0</v>
      </c>
      <c r="K41" s="286">
        <v>1.0</v>
      </c>
      <c r="L41" s="287">
        <f t="shared" si="4"/>
        <v>305500</v>
      </c>
      <c r="M41" s="169"/>
    </row>
    <row r="42" ht="15.75" customHeight="1">
      <c r="A42" s="72" t="s">
        <v>84</v>
      </c>
      <c r="B42" s="111" t="s">
        <v>85</v>
      </c>
      <c r="C42" s="279" t="s">
        <v>729</v>
      </c>
      <c r="D42" s="280">
        <v>450.0</v>
      </c>
      <c r="E42" s="281">
        <f>SUMIF(RM_Purchase_YTD!C:C,'RM Rollforward'!A42,RM_Purchase_YTD!E:E)</f>
        <v>1000</v>
      </c>
      <c r="F42" s="281">
        <f>SUMIF(RM_InboundProd_YTD!B:B,'RM Rollforward'!A42,RM_InboundProd_YTD!D:D)</f>
        <v>0</v>
      </c>
      <c r="G42" s="282">
        <f>SUMIF(RM_Outbound_YTD!B:B,'RM Rollforward'!A42,RM_Outbound_YTD!D:D)</f>
        <v>525</v>
      </c>
      <c r="H42" s="283">
        <f t="shared" si="1"/>
        <v>925</v>
      </c>
      <c r="I42" s="284"/>
      <c r="J42" s="285">
        <v>160.0</v>
      </c>
      <c r="K42" s="286">
        <v>1.0</v>
      </c>
      <c r="L42" s="287">
        <f t="shared" si="4"/>
        <v>148000</v>
      </c>
      <c r="M42" s="169"/>
    </row>
    <row r="43" ht="15.75" customHeight="1">
      <c r="A43" s="72" t="s">
        <v>167</v>
      </c>
      <c r="B43" s="116" t="s">
        <v>168</v>
      </c>
      <c r="C43" s="293" t="s">
        <v>729</v>
      </c>
      <c r="D43" s="280">
        <v>525.0</v>
      </c>
      <c r="E43" s="281">
        <f>SUMIF(RM_Purchase_YTD!C:C,'RM Rollforward'!A43,RM_Purchase_YTD!E:E)</f>
        <v>750</v>
      </c>
      <c r="F43" s="281">
        <f>SUMIF(RM_InboundProd_YTD!B:B,'RM Rollforward'!A43,RM_InboundProd_YTD!D:D)</f>
        <v>0</v>
      </c>
      <c r="G43" s="282">
        <f>SUMIF(RM_Outbound_YTD!B:B,'RM Rollforward'!A43,RM_Outbound_YTD!D:D)</f>
        <v>180</v>
      </c>
      <c r="H43" s="283">
        <f t="shared" si="1"/>
        <v>1095</v>
      </c>
      <c r="I43" s="284"/>
      <c r="J43" s="285">
        <v>184.0</v>
      </c>
      <c r="K43" s="286">
        <v>1.0</v>
      </c>
      <c r="L43" s="287">
        <f t="shared" si="4"/>
        <v>201480</v>
      </c>
      <c r="M43" s="169"/>
    </row>
    <row r="44" ht="15.75" customHeight="1">
      <c r="A44" s="72" t="s">
        <v>88</v>
      </c>
      <c r="B44" s="116" t="s">
        <v>89</v>
      </c>
      <c r="C44" s="293" t="s">
        <v>729</v>
      </c>
      <c r="D44" s="280">
        <v>640.0</v>
      </c>
      <c r="E44" s="281">
        <f>SUMIF(RM_Purchase_YTD!C:C,'RM Rollforward'!A44,RM_Purchase_YTD!E:E)</f>
        <v>1000</v>
      </c>
      <c r="F44" s="281">
        <f>SUMIF(RM_InboundProd_YTD!B:B,'RM Rollforward'!A44,RM_InboundProd_YTD!D:D)</f>
        <v>0</v>
      </c>
      <c r="G44" s="282">
        <f>SUMIF(RM_Outbound_YTD!B:B,'RM Rollforward'!A44,RM_Outbound_YTD!D:D)</f>
        <v>566</v>
      </c>
      <c r="H44" s="283">
        <f t="shared" si="1"/>
        <v>1074</v>
      </c>
      <c r="I44" s="284"/>
      <c r="J44" s="285">
        <v>84.0</v>
      </c>
      <c r="K44" s="286">
        <v>1.0</v>
      </c>
      <c r="L44" s="287">
        <f t="shared" si="4"/>
        <v>90216</v>
      </c>
      <c r="M44" s="169"/>
    </row>
    <row r="45" ht="15.75" customHeight="1">
      <c r="A45" s="72" t="s">
        <v>647</v>
      </c>
      <c r="B45" s="116" t="s">
        <v>648</v>
      </c>
      <c r="C45" s="293" t="s">
        <v>729</v>
      </c>
      <c r="D45" s="280">
        <v>350.0</v>
      </c>
      <c r="E45" s="281">
        <f>SUMIF(RM_Purchase_YTD!C:C,'RM Rollforward'!A45,RM_Purchase_YTD!E:E)</f>
        <v>0</v>
      </c>
      <c r="F45" s="281">
        <f>SUMIF(RM_InboundProd_YTD!B:B,'RM Rollforward'!A45,RM_InboundProd_YTD!D:D)</f>
        <v>0</v>
      </c>
      <c r="G45" s="282">
        <f>SUMIF(RM_Outbound_YTD!B:B,'RM Rollforward'!A45,RM_Outbound_YTD!D:D)</f>
        <v>25</v>
      </c>
      <c r="H45" s="283">
        <f t="shared" si="1"/>
        <v>325</v>
      </c>
      <c r="I45" s="284"/>
      <c r="J45" s="285">
        <v>130.0</v>
      </c>
      <c r="K45" s="286">
        <v>1.0</v>
      </c>
      <c r="L45" s="287">
        <f t="shared" si="4"/>
        <v>42250</v>
      </c>
      <c r="M45" s="169"/>
    </row>
    <row r="46" ht="15.75" customHeight="1">
      <c r="A46" s="72" t="s">
        <v>649</v>
      </c>
      <c r="B46" s="116" t="s">
        <v>650</v>
      </c>
      <c r="C46" s="293" t="s">
        <v>729</v>
      </c>
      <c r="D46" s="294">
        <v>425.0</v>
      </c>
      <c r="E46" s="281">
        <f>SUMIF(RM_Purchase_YTD!C:C,'RM Rollforward'!A46,RM_Purchase_YTD!E:E)</f>
        <v>0</v>
      </c>
      <c r="F46" s="281">
        <f>SUMIF(RM_InboundProd_YTD!B:B,'RM Rollforward'!A46,RM_InboundProd_YTD!D:D)</f>
        <v>0</v>
      </c>
      <c r="G46" s="282">
        <f>SUMIF(RM_Outbound_YTD!B:B,'RM Rollforward'!A46,RM_Outbound_YTD!D:D)</f>
        <v>50</v>
      </c>
      <c r="H46" s="283">
        <f t="shared" si="1"/>
        <v>375</v>
      </c>
      <c r="I46" s="284"/>
      <c r="J46" s="285">
        <v>130.0</v>
      </c>
      <c r="K46" s="286">
        <v>1.0</v>
      </c>
      <c r="L46" s="287">
        <f t="shared" si="4"/>
        <v>48750</v>
      </c>
      <c r="M46" s="169"/>
    </row>
    <row r="47" ht="15.75" customHeight="1">
      <c r="A47" s="72" t="s">
        <v>742</v>
      </c>
      <c r="B47" s="116" t="s">
        <v>743</v>
      </c>
      <c r="C47" s="293" t="s">
        <v>729</v>
      </c>
      <c r="D47" s="280">
        <v>100.0</v>
      </c>
      <c r="E47" s="281">
        <f>SUMIF(RM_Purchase_YTD!C:C,'RM Rollforward'!A47,RM_Purchase_YTD!E:E)</f>
        <v>0</v>
      </c>
      <c r="F47" s="281">
        <f>SUMIF(RM_InboundProd_YTD!B:B,'RM Rollforward'!A47,RM_InboundProd_YTD!D:D)</f>
        <v>0</v>
      </c>
      <c r="G47" s="282">
        <f>SUMIF(RM_Outbound_YTD!B:B,'RM Rollforward'!A47,RM_Outbound_YTD!D:D)</f>
        <v>0</v>
      </c>
      <c r="H47" s="283">
        <f t="shared" si="1"/>
        <v>100</v>
      </c>
      <c r="I47" s="284"/>
      <c r="J47" s="285">
        <v>156.0</v>
      </c>
      <c r="K47" s="286">
        <v>1.0</v>
      </c>
      <c r="L47" s="287">
        <f t="shared" si="4"/>
        <v>15600</v>
      </c>
      <c r="M47" s="169"/>
    </row>
    <row r="48" ht="15.75" customHeight="1">
      <c r="A48" s="72" t="s">
        <v>109</v>
      </c>
      <c r="B48" s="116" t="s">
        <v>110</v>
      </c>
      <c r="C48" s="293" t="s">
        <v>744</v>
      </c>
      <c r="D48" s="280">
        <v>80000.0</v>
      </c>
      <c r="E48" s="281">
        <f>SUMIF(RM_Purchase_YTD!C:C,'RM Rollforward'!A48,RM_Purchase_YTD!E:E)</f>
        <v>55000</v>
      </c>
      <c r="F48" s="281">
        <f>SUMIF(RM_InboundProd_YTD!B:B,'RM Rollforward'!A48,RM_InboundProd_YTD!D:D)</f>
        <v>0</v>
      </c>
      <c r="G48" s="282">
        <f>SUMIF(RM_Outbound_YTD!B:B,'RM Rollforward'!A48,RM_Outbound_YTD!D:D)</f>
        <v>135000</v>
      </c>
      <c r="H48" s="283">
        <f t="shared" si="1"/>
        <v>0</v>
      </c>
      <c r="I48" s="284"/>
      <c r="J48" s="285">
        <v>1.3</v>
      </c>
      <c r="K48" s="286">
        <v>1.0</v>
      </c>
      <c r="L48" s="287">
        <f t="shared" si="4"/>
        <v>0</v>
      </c>
      <c r="M48" s="169"/>
    </row>
    <row r="49" ht="15.75" customHeight="1">
      <c r="A49" s="72" t="s">
        <v>745</v>
      </c>
      <c r="B49" s="116" t="s">
        <v>746</v>
      </c>
      <c r="C49" s="293" t="s">
        <v>744</v>
      </c>
      <c r="D49" s="280">
        <v>33000.0</v>
      </c>
      <c r="E49" s="281">
        <f>SUMIF(RM_Purchase_YTD!C:C,'RM Rollforward'!A49,RM_Purchase_YTD!E:E)</f>
        <v>0</v>
      </c>
      <c r="F49" s="281">
        <f>SUMIF(RM_InboundProd_YTD!B:B,'RM Rollforward'!A49,RM_InboundProd_YTD!D:D)</f>
        <v>0</v>
      </c>
      <c r="G49" s="282">
        <f>SUMIF(RM_Outbound_YTD!B:B,'RM Rollforward'!A49,RM_Outbound_YTD!D:D)</f>
        <v>0</v>
      </c>
      <c r="H49" s="283">
        <f t="shared" si="1"/>
        <v>33000</v>
      </c>
      <c r="I49" s="284"/>
      <c r="J49" s="285">
        <v>1.3</v>
      </c>
      <c r="K49" s="286">
        <v>1.0</v>
      </c>
      <c r="L49" s="287">
        <f t="shared" si="4"/>
        <v>42900</v>
      </c>
      <c r="M49" s="169"/>
    </row>
    <row r="50" ht="15.75" customHeight="1">
      <c r="A50" s="72" t="s">
        <v>638</v>
      </c>
      <c r="B50" s="116" t="s">
        <v>639</v>
      </c>
      <c r="C50" s="293" t="s">
        <v>744</v>
      </c>
      <c r="D50" s="280">
        <v>15000.0</v>
      </c>
      <c r="E50" s="281">
        <f>SUMIF(RM_Purchase_YTD!C:C,'RM Rollforward'!A50,RM_Purchase_YTD!E:E)</f>
        <v>0</v>
      </c>
      <c r="F50" s="281">
        <f>SUMIF(RM_InboundProd_YTD!B:B,'RM Rollforward'!A50,RM_InboundProd_YTD!D:D)</f>
        <v>0</v>
      </c>
      <c r="G50" s="282">
        <f>SUMIF(RM_Outbound_YTD!B:B,'RM Rollforward'!A50,RM_Outbound_YTD!D:D)</f>
        <v>15000</v>
      </c>
      <c r="H50" s="283">
        <f t="shared" si="1"/>
        <v>0</v>
      </c>
      <c r="I50" s="284"/>
      <c r="J50" s="285">
        <v>2.6</v>
      </c>
      <c r="K50" s="286">
        <v>1.0</v>
      </c>
      <c r="L50" s="287">
        <f t="shared" si="4"/>
        <v>0</v>
      </c>
      <c r="M50" s="169"/>
    </row>
    <row r="51" ht="15.75" customHeight="1">
      <c r="A51" s="72" t="s">
        <v>747</v>
      </c>
      <c r="B51" s="116" t="s">
        <v>748</v>
      </c>
      <c r="C51" s="293" t="s">
        <v>744</v>
      </c>
      <c r="D51" s="280">
        <v>0.0</v>
      </c>
      <c r="E51" s="281">
        <f>SUMIF(RM_Purchase_YTD!C:C,'RM Rollforward'!A51,RM_Purchase_YTD!E:E)</f>
        <v>0</v>
      </c>
      <c r="F51" s="281">
        <f>SUMIF(RM_InboundProd_YTD!B:B,'RM Rollforward'!A51,RM_InboundProd_YTD!D:D)</f>
        <v>0</v>
      </c>
      <c r="G51" s="282">
        <f>SUMIF(RM_Outbound_YTD!B:B,'RM Rollforward'!A51,RM_Outbound_YTD!D:D)</f>
        <v>0</v>
      </c>
      <c r="H51" s="283">
        <f t="shared" si="1"/>
        <v>0</v>
      </c>
      <c r="I51" s="284"/>
      <c r="J51" s="285">
        <v>2.6</v>
      </c>
      <c r="K51" s="286">
        <v>1.0</v>
      </c>
      <c r="L51" s="287">
        <f t="shared" si="4"/>
        <v>0</v>
      </c>
      <c r="M51" s="169"/>
    </row>
    <row r="52" ht="15.75" customHeight="1">
      <c r="A52" s="72" t="s">
        <v>749</v>
      </c>
      <c r="B52" s="116" t="s">
        <v>750</v>
      </c>
      <c r="C52" s="293" t="s">
        <v>744</v>
      </c>
      <c r="D52" s="280">
        <v>270000.0</v>
      </c>
      <c r="E52" s="281">
        <f>SUMIF(RM_Purchase_YTD!C:C,'RM Rollforward'!A52,RM_Purchase_YTD!E:E)</f>
        <v>0</v>
      </c>
      <c r="F52" s="281">
        <f>SUMIF(RM_InboundProd_YTD!B:B,'RM Rollforward'!A52,RM_InboundProd_YTD!D:D)</f>
        <v>0</v>
      </c>
      <c r="G52" s="282">
        <f>SUMIF(RM_Outbound_YTD!B:B,'RM Rollforward'!A52,RM_Outbound_YTD!D:D)</f>
        <v>0</v>
      </c>
      <c r="H52" s="283">
        <f t="shared" si="1"/>
        <v>270000</v>
      </c>
      <c r="I52" s="284"/>
      <c r="J52" s="285">
        <v>3.1</v>
      </c>
      <c r="K52" s="286">
        <v>1.0</v>
      </c>
      <c r="L52" s="287">
        <f t="shared" si="4"/>
        <v>837000</v>
      </c>
      <c r="M52" s="169"/>
    </row>
    <row r="53" ht="15.75" customHeight="1">
      <c r="A53" s="72" t="s">
        <v>214</v>
      </c>
      <c r="B53" s="116" t="s">
        <v>215</v>
      </c>
      <c r="C53" s="39" t="s">
        <v>744</v>
      </c>
      <c r="D53" s="280">
        <v>48000.0</v>
      </c>
      <c r="E53" s="281">
        <f>SUMIF(RM_Purchase_YTD!C:C,'RM Rollforward'!A53,RM_Purchase_YTD!E:E)</f>
        <v>0</v>
      </c>
      <c r="F53" s="281">
        <f>SUMIF(RM_InboundProd_YTD!B:B,'RM Rollforward'!A53,RM_InboundProd_YTD!D:D)</f>
        <v>144500</v>
      </c>
      <c r="G53" s="282">
        <f>SUMIF(RM_Outbound_YTD!B:B,'RM Rollforward'!A53,RM_Outbound_YTD!D:D)</f>
        <v>57500</v>
      </c>
      <c r="H53" s="283">
        <f t="shared" si="1"/>
        <v>135000</v>
      </c>
      <c r="I53" s="284"/>
      <c r="J53" s="285">
        <v>2.4</v>
      </c>
      <c r="K53" s="286">
        <v>1.0</v>
      </c>
      <c r="L53" s="287">
        <f t="shared" si="4"/>
        <v>324000</v>
      </c>
      <c r="M53" s="169"/>
    </row>
    <row r="54" ht="15.75" customHeight="1">
      <c r="A54" s="72" t="s">
        <v>113</v>
      </c>
      <c r="B54" s="116" t="s">
        <v>114</v>
      </c>
      <c r="C54" s="39" t="s">
        <v>744</v>
      </c>
      <c r="D54" s="280">
        <v>85500.0</v>
      </c>
      <c r="E54" s="281">
        <f>SUMIF(RM_Purchase_YTD!C:C,'RM Rollforward'!A54,RM_Purchase_YTD!E:E)</f>
        <v>61500</v>
      </c>
      <c r="F54" s="281">
        <f>SUMIF(RM_InboundProd_YTD!B:B,'RM Rollforward'!A54,RM_InboundProd_YTD!D:D)</f>
        <v>0</v>
      </c>
      <c r="G54" s="282">
        <f>SUMIF(RM_Outbound_YTD!B:B,'RM Rollforward'!A54,RM_Outbound_YTD!D:D)</f>
        <v>18000</v>
      </c>
      <c r="H54" s="283">
        <f t="shared" si="1"/>
        <v>129000</v>
      </c>
      <c r="I54" s="284"/>
      <c r="J54" s="285">
        <v>0.6</v>
      </c>
      <c r="K54" s="286">
        <v>1.0</v>
      </c>
      <c r="L54" s="287">
        <f t="shared" si="4"/>
        <v>77400</v>
      </c>
      <c r="M54" s="169"/>
    </row>
    <row r="55" ht="15.75" customHeight="1">
      <c r="A55" s="72" t="s">
        <v>91</v>
      </c>
      <c r="B55" s="116" t="s">
        <v>92</v>
      </c>
      <c r="C55" s="39" t="s">
        <v>744</v>
      </c>
      <c r="D55" s="280">
        <v>9800.0</v>
      </c>
      <c r="E55" s="281">
        <f>SUMIF(RM_Purchase_YTD!C:C,'RM Rollforward'!A55,RM_Purchase_YTD!E:E)</f>
        <v>50000</v>
      </c>
      <c r="F55" s="281">
        <f>SUMIF(RM_InboundProd_YTD!B:B,'RM Rollforward'!A55,RM_InboundProd_YTD!D:D)</f>
        <v>0</v>
      </c>
      <c r="G55" s="282">
        <f>SUMIF(RM_Outbound_YTD!B:B,'RM Rollforward'!A55,RM_Outbound_YTD!D:D)</f>
        <v>19000</v>
      </c>
      <c r="H55" s="283">
        <f t="shared" si="1"/>
        <v>40800</v>
      </c>
      <c r="I55" s="284"/>
      <c r="J55" s="290">
        <v>9.0</v>
      </c>
      <c r="K55" s="286">
        <v>1.0</v>
      </c>
      <c r="L55" s="287">
        <f t="shared" si="4"/>
        <v>367200</v>
      </c>
      <c r="M55" s="169"/>
    </row>
    <row r="56" ht="15.75" customHeight="1">
      <c r="A56" s="72" t="s">
        <v>622</v>
      </c>
      <c r="B56" s="116" t="s">
        <v>623</v>
      </c>
      <c r="C56" s="39" t="s">
        <v>744</v>
      </c>
      <c r="D56" s="280">
        <v>93000.0</v>
      </c>
      <c r="E56" s="281">
        <f>SUMIF(RM_Purchase_YTD!C:C,'RM Rollforward'!A56,RM_Purchase_YTD!E:E)</f>
        <v>0</v>
      </c>
      <c r="F56" s="281">
        <f>SUMIF(RM_InboundProd_YTD!B:B,'RM Rollforward'!A56,RM_InboundProd_YTD!D:D)</f>
        <v>0</v>
      </c>
      <c r="G56" s="282">
        <f>SUMIF(RM_Outbound_YTD!B:B,'RM Rollforward'!A56,RM_Outbound_YTD!D:D)</f>
        <v>19500</v>
      </c>
      <c r="H56" s="283">
        <f t="shared" si="1"/>
        <v>73500</v>
      </c>
      <c r="I56" s="284"/>
      <c r="J56" s="285">
        <v>0.6</v>
      </c>
      <c r="K56" s="286">
        <v>1.0</v>
      </c>
      <c r="L56" s="287">
        <f t="shared" si="4"/>
        <v>44100</v>
      </c>
      <c r="M56" s="169"/>
    </row>
    <row r="57" ht="15.75" customHeight="1">
      <c r="A57" s="72" t="s">
        <v>620</v>
      </c>
      <c r="B57" s="116" t="s">
        <v>621</v>
      </c>
      <c r="C57" s="39" t="s">
        <v>744</v>
      </c>
      <c r="D57" s="280">
        <v>73400.0</v>
      </c>
      <c r="E57" s="281">
        <f>SUMIF(RM_Purchase_YTD!C:C,'RM Rollforward'!A57,RM_Purchase_YTD!E:E)</f>
        <v>0</v>
      </c>
      <c r="F57" s="281">
        <f>SUMIF(RM_InboundProd_YTD!B:B,'RM Rollforward'!A57,RM_InboundProd_YTD!D:D)</f>
        <v>0</v>
      </c>
      <c r="G57" s="282">
        <f>SUMIF(RM_Outbound_YTD!B:B,'RM Rollforward'!A57,RM_Outbound_YTD!D:D)</f>
        <v>19200</v>
      </c>
      <c r="H57" s="283">
        <f t="shared" si="1"/>
        <v>54200</v>
      </c>
      <c r="I57" s="284"/>
      <c r="J57" s="285">
        <v>3.4</v>
      </c>
      <c r="K57" s="286">
        <v>1.0</v>
      </c>
      <c r="L57" s="287">
        <f t="shared" si="4"/>
        <v>184280</v>
      </c>
      <c r="M57" s="169"/>
    </row>
    <row r="58" ht="15.75" customHeight="1">
      <c r="A58" s="72" t="s">
        <v>751</v>
      </c>
      <c r="B58" s="108" t="s">
        <v>752</v>
      </c>
      <c r="C58" s="39" t="s">
        <v>744</v>
      </c>
      <c r="D58" s="280">
        <v>11550.0</v>
      </c>
      <c r="E58" s="281">
        <f>SUMIF(RM_Purchase_YTD!C:C,'RM Rollforward'!A58,RM_Purchase_YTD!E:E)</f>
        <v>0</v>
      </c>
      <c r="F58" s="281">
        <f>SUMIF(RM_InboundProd_YTD!B:B,'RM Rollforward'!A58,RM_InboundProd_YTD!D:D)</f>
        <v>0</v>
      </c>
      <c r="G58" s="282">
        <f>SUMIF(RM_Outbound_YTD!B:B,'RM Rollforward'!A58,RM_Outbound_YTD!D:D)</f>
        <v>0</v>
      </c>
      <c r="H58" s="283">
        <f t="shared" si="1"/>
        <v>11550</v>
      </c>
      <c r="I58" s="295"/>
      <c r="J58" s="289">
        <v>3.4</v>
      </c>
      <c r="K58" s="286">
        <v>1.0</v>
      </c>
      <c r="L58" s="287">
        <f t="shared" si="4"/>
        <v>39270</v>
      </c>
      <c r="M58" s="169"/>
    </row>
    <row r="59" ht="15.75" customHeight="1">
      <c r="A59" s="72" t="s">
        <v>753</v>
      </c>
      <c r="B59" s="108" t="s">
        <v>754</v>
      </c>
      <c r="C59" s="39" t="s">
        <v>744</v>
      </c>
      <c r="D59" s="280">
        <v>9720.0</v>
      </c>
      <c r="E59" s="281">
        <f>SUMIF(RM_Purchase_YTD!C:C,'RM Rollforward'!A59,RM_Purchase_YTD!E:E)</f>
        <v>0</v>
      </c>
      <c r="F59" s="281">
        <f>SUMIF(RM_InboundProd_YTD!B:B,'RM Rollforward'!A59,RM_InboundProd_YTD!D:D)</f>
        <v>0</v>
      </c>
      <c r="G59" s="282">
        <f>SUMIF(RM_Outbound_YTD!B:B,'RM Rollforward'!A59,RM_Outbound_YTD!D:D)</f>
        <v>0</v>
      </c>
      <c r="H59" s="283">
        <f t="shared" si="1"/>
        <v>9720</v>
      </c>
      <c r="I59" s="284"/>
      <c r="J59" s="285">
        <v>1.5</v>
      </c>
      <c r="K59" s="286">
        <v>1.0</v>
      </c>
      <c r="L59" s="287">
        <f t="shared" si="4"/>
        <v>14580</v>
      </c>
      <c r="M59" s="169"/>
    </row>
    <row r="60" ht="15.75" customHeight="1">
      <c r="A60" s="72" t="s">
        <v>755</v>
      </c>
      <c r="B60" s="108" t="s">
        <v>756</v>
      </c>
      <c r="C60" s="39" t="s">
        <v>744</v>
      </c>
      <c r="D60" s="280">
        <v>90000.0</v>
      </c>
      <c r="E60" s="281">
        <f>SUMIF(RM_Purchase_YTD!C:C,'RM Rollforward'!A60,RM_Purchase_YTD!E:E)</f>
        <v>0</v>
      </c>
      <c r="F60" s="281">
        <f>SUMIF(RM_InboundProd_YTD!B:B,'RM Rollforward'!A60,RM_InboundProd_YTD!D:D)</f>
        <v>0</v>
      </c>
      <c r="G60" s="282">
        <f>SUMIF(RM_Outbound_YTD!B:B,'RM Rollforward'!A60,RM_Outbound_YTD!D:D)</f>
        <v>0</v>
      </c>
      <c r="H60" s="283">
        <f t="shared" si="1"/>
        <v>90000</v>
      </c>
      <c r="I60" s="284"/>
      <c r="J60" s="285">
        <v>0.3</v>
      </c>
      <c r="K60" s="286">
        <v>1.0</v>
      </c>
      <c r="L60" s="287">
        <f t="shared" si="4"/>
        <v>27000</v>
      </c>
      <c r="M60" s="169"/>
    </row>
    <row r="61" ht="15.75" customHeight="1">
      <c r="A61" s="72" t="s">
        <v>636</v>
      </c>
      <c r="B61" s="108" t="s">
        <v>637</v>
      </c>
      <c r="C61" s="39" t="s">
        <v>744</v>
      </c>
      <c r="D61" s="280">
        <v>363000.0</v>
      </c>
      <c r="E61" s="281">
        <f>SUMIF(RM_Purchase_YTD!C:C,'RM Rollforward'!A61,RM_Purchase_YTD!E:E)</f>
        <v>0</v>
      </c>
      <c r="F61" s="281">
        <f>SUMIF(RM_InboundProd_YTD!B:B,'RM Rollforward'!A61,RM_InboundProd_YTD!D:D)</f>
        <v>0</v>
      </c>
      <c r="G61" s="282">
        <f>SUMIF(RM_Outbound_YTD!B:B,'RM Rollforward'!A61,RM_Outbound_YTD!D:D)</f>
        <v>165000</v>
      </c>
      <c r="H61" s="283">
        <f t="shared" si="1"/>
        <v>198000</v>
      </c>
      <c r="I61" s="284"/>
      <c r="J61" s="285">
        <v>0.3</v>
      </c>
      <c r="K61" s="286">
        <v>1.0</v>
      </c>
      <c r="L61" s="287">
        <f t="shared" si="4"/>
        <v>59400</v>
      </c>
      <c r="M61" s="169"/>
    </row>
    <row r="62" ht="15.75" customHeight="1">
      <c r="A62" s="72" t="s">
        <v>634</v>
      </c>
      <c r="B62" s="108" t="s">
        <v>635</v>
      </c>
      <c r="C62" s="39" t="s">
        <v>744</v>
      </c>
      <c r="D62" s="280">
        <v>48000.0</v>
      </c>
      <c r="E62" s="281">
        <f>SUMIF(RM_Purchase_YTD!C:C,'RM Rollforward'!A62,RM_Purchase_YTD!E:E)</f>
        <v>0</v>
      </c>
      <c r="F62" s="281">
        <f>SUMIF(RM_InboundProd_YTD!B:B,'RM Rollforward'!A62,RM_InboundProd_YTD!D:D)</f>
        <v>0</v>
      </c>
      <c r="G62" s="282">
        <f>SUMIF(RM_Outbound_YTD!B:B,'RM Rollforward'!A62,RM_Outbound_YTD!D:D)</f>
        <v>48000</v>
      </c>
      <c r="H62" s="283">
        <f t="shared" si="1"/>
        <v>0</v>
      </c>
      <c r="I62" s="295"/>
      <c r="J62" s="289">
        <v>0.3</v>
      </c>
      <c r="K62" s="286">
        <v>1.0</v>
      </c>
      <c r="L62" s="287">
        <f t="shared" si="4"/>
        <v>0</v>
      </c>
      <c r="M62" s="296"/>
    </row>
    <row r="63" ht="15.75" customHeight="1">
      <c r="A63" s="72" t="s">
        <v>757</v>
      </c>
      <c r="B63" s="108" t="s">
        <v>758</v>
      </c>
      <c r="C63" s="39" t="s">
        <v>744</v>
      </c>
      <c r="D63" s="280">
        <v>0.0</v>
      </c>
      <c r="E63" s="281">
        <f>SUMIF(RM_Purchase_YTD!C:C,'RM Rollforward'!A63,RM_Purchase_YTD!E:E)</f>
        <v>0</v>
      </c>
      <c r="F63" s="281">
        <f>SUMIF(RM_InboundProd_YTD!B:B,'RM Rollforward'!A63,RM_InboundProd_YTD!D:D)</f>
        <v>0</v>
      </c>
      <c r="G63" s="282">
        <f>SUMIF(RM_Outbound_YTD!B:B,'RM Rollforward'!A63,RM_Outbound_YTD!D:D)</f>
        <v>0</v>
      </c>
      <c r="H63" s="283">
        <f t="shared" si="1"/>
        <v>0</v>
      </c>
      <c r="I63" s="295"/>
      <c r="J63" s="289">
        <v>0.3</v>
      </c>
      <c r="K63" s="286">
        <v>1.0</v>
      </c>
      <c r="L63" s="287">
        <f t="shared" si="4"/>
        <v>0</v>
      </c>
      <c r="M63" s="169"/>
    </row>
    <row r="64" ht="15.75" customHeight="1">
      <c r="A64" s="72" t="s">
        <v>759</v>
      </c>
      <c r="B64" s="108" t="s">
        <v>760</v>
      </c>
      <c r="C64" s="39" t="s">
        <v>744</v>
      </c>
      <c r="D64" s="280">
        <v>268800.0</v>
      </c>
      <c r="E64" s="281">
        <f>SUMIF(RM_Purchase_YTD!C:C,'RM Rollforward'!A64,RM_Purchase_YTD!E:E)</f>
        <v>0</v>
      </c>
      <c r="F64" s="281">
        <f>SUMIF(RM_InboundProd_YTD!B:B,'RM Rollforward'!A64,RM_InboundProd_YTD!D:D)</f>
        <v>0</v>
      </c>
      <c r="G64" s="282">
        <f>SUMIF(RM_Outbound_YTD!B:B,'RM Rollforward'!A64,RM_Outbound_YTD!D:D)</f>
        <v>0</v>
      </c>
      <c r="H64" s="283">
        <f t="shared" si="1"/>
        <v>268800</v>
      </c>
      <c r="I64" s="284"/>
      <c r="J64" s="285">
        <v>0.75</v>
      </c>
      <c r="K64" s="286">
        <v>1.0</v>
      </c>
      <c r="L64" s="287">
        <f t="shared" si="4"/>
        <v>201600</v>
      </c>
      <c r="M64" s="169"/>
    </row>
    <row r="65" ht="15.75" customHeight="1">
      <c r="A65" s="72" t="s">
        <v>761</v>
      </c>
      <c r="B65" s="108" t="s">
        <v>762</v>
      </c>
      <c r="C65" s="39" t="s">
        <v>744</v>
      </c>
      <c r="D65" s="280">
        <v>240000.0</v>
      </c>
      <c r="E65" s="281">
        <f>SUMIF(RM_Purchase_YTD!C:C,'RM Rollforward'!A65,RM_Purchase_YTD!E:E)</f>
        <v>0</v>
      </c>
      <c r="F65" s="281">
        <f>SUMIF(RM_InboundProd_YTD!B:B,'RM Rollforward'!A65,RM_InboundProd_YTD!D:D)</f>
        <v>0</v>
      </c>
      <c r="G65" s="282">
        <f>SUMIF(RM_Outbound_YTD!B:B,'RM Rollforward'!A65,RM_Outbound_YTD!D:D)</f>
        <v>0</v>
      </c>
      <c r="H65" s="283">
        <f t="shared" si="1"/>
        <v>240000</v>
      </c>
      <c r="I65" s="284"/>
      <c r="J65" s="285">
        <v>0.9</v>
      </c>
      <c r="K65" s="286">
        <v>1.0</v>
      </c>
      <c r="L65" s="287">
        <f t="shared" si="4"/>
        <v>216000</v>
      </c>
      <c r="M65" s="169"/>
    </row>
    <row r="66" ht="15.75" customHeight="1">
      <c r="A66" s="72" t="s">
        <v>659</v>
      </c>
      <c r="B66" s="108" t="s">
        <v>660</v>
      </c>
      <c r="C66" s="39" t="s">
        <v>744</v>
      </c>
      <c r="D66" s="280">
        <v>12500.0</v>
      </c>
      <c r="E66" s="281">
        <f>SUMIF(RM_Purchase_YTD!C:C,'RM Rollforward'!A66,RM_Purchase_YTD!E:E)</f>
        <v>0</v>
      </c>
      <c r="F66" s="281">
        <f>SUMIF(RM_InboundProd_YTD!B:B,'RM Rollforward'!A66,RM_InboundProd_YTD!D:D)</f>
        <v>0</v>
      </c>
      <c r="G66" s="282">
        <f>SUMIF(RM_Outbound_YTD!B:B,'RM Rollforward'!A66,RM_Outbound_YTD!D:D)</f>
        <v>2500</v>
      </c>
      <c r="H66" s="283">
        <f t="shared" si="1"/>
        <v>10000</v>
      </c>
      <c r="I66" s="284"/>
      <c r="J66" s="285">
        <v>0.11</v>
      </c>
      <c r="K66" s="286">
        <v>1.0</v>
      </c>
      <c r="L66" s="287">
        <f t="shared" si="4"/>
        <v>1100</v>
      </c>
      <c r="M66" s="169"/>
    </row>
    <row r="67" ht="15.75" customHeight="1">
      <c r="A67" s="72" t="s">
        <v>763</v>
      </c>
      <c r="B67" s="108" t="s">
        <v>764</v>
      </c>
      <c r="C67" s="39" t="s">
        <v>744</v>
      </c>
      <c r="D67" s="280">
        <v>0.0</v>
      </c>
      <c r="E67" s="281">
        <f>SUMIF(RM_Purchase_YTD!C:C,'RM Rollforward'!A67,RM_Purchase_YTD!E:E)</f>
        <v>0</v>
      </c>
      <c r="F67" s="281">
        <f>SUMIF(RM_InboundProd_YTD!B:B,'RM Rollforward'!A67,RM_InboundProd_YTD!D:D)</f>
        <v>0</v>
      </c>
      <c r="G67" s="282">
        <f>SUMIF(RM_Outbound_YTD!B:B,'RM Rollforward'!A67,RM_Outbound_YTD!D:D)</f>
        <v>0</v>
      </c>
      <c r="H67" s="283">
        <f t="shared" si="1"/>
        <v>0</v>
      </c>
      <c r="I67" s="297"/>
      <c r="J67" s="298">
        <v>0.55</v>
      </c>
      <c r="K67" s="286">
        <v>1.0</v>
      </c>
      <c r="L67" s="287">
        <f t="shared" si="4"/>
        <v>0</v>
      </c>
      <c r="M67" s="169"/>
    </row>
    <row r="68" ht="15.75" customHeight="1">
      <c r="A68" s="72" t="s">
        <v>69</v>
      </c>
      <c r="B68" s="73" t="s">
        <v>70</v>
      </c>
      <c r="C68" s="39" t="s">
        <v>744</v>
      </c>
      <c r="D68" s="280">
        <v>75000.0</v>
      </c>
      <c r="E68" s="281">
        <f>SUMIF(RM_Purchase_YTD!C:C,'RM Rollforward'!A68,RM_Purchase_YTD!E:E)</f>
        <v>897000</v>
      </c>
      <c r="F68" s="281">
        <f>SUMIF(RM_InboundProd_YTD!B:B,'RM Rollforward'!A68,RM_InboundProd_YTD!D:D)</f>
        <v>0</v>
      </c>
      <c r="G68" s="282">
        <f>SUMIF(RM_Outbound_YTD!B:B,'RM Rollforward'!A68,RM_Outbound_YTD!D:D)</f>
        <v>75000</v>
      </c>
      <c r="H68" s="283">
        <f t="shared" si="1"/>
        <v>897000</v>
      </c>
      <c r="I68" s="284"/>
      <c r="J68" s="285">
        <v>0.6</v>
      </c>
      <c r="K68" s="286">
        <v>1.0</v>
      </c>
      <c r="L68" s="287">
        <f t="shared" si="4"/>
        <v>538200</v>
      </c>
      <c r="M68" s="169"/>
    </row>
    <row r="69" ht="15.75" customHeight="1">
      <c r="A69" s="72" t="s">
        <v>74</v>
      </c>
      <c r="B69" s="73" t="s">
        <v>75</v>
      </c>
      <c r="C69" s="39" t="s">
        <v>744</v>
      </c>
      <c r="D69" s="280">
        <v>66400.0</v>
      </c>
      <c r="E69" s="281">
        <f>SUMIF(RM_Purchase_YTD!C:C,'RM Rollforward'!A69,RM_Purchase_YTD!E:E)</f>
        <v>385600</v>
      </c>
      <c r="F69" s="281">
        <f>SUMIF(RM_InboundProd_YTD!B:B,'RM Rollforward'!A69,RM_InboundProd_YTD!D:D)</f>
        <v>0</v>
      </c>
      <c r="G69" s="282">
        <f>SUMIF(RM_Outbound_YTD!B:B,'RM Rollforward'!A69,RM_Outbound_YTD!D:D)</f>
        <v>66400</v>
      </c>
      <c r="H69" s="283">
        <f t="shared" si="1"/>
        <v>385600</v>
      </c>
      <c r="I69" s="299"/>
      <c r="J69" s="300">
        <v>0.7</v>
      </c>
      <c r="K69" s="286">
        <v>1.0</v>
      </c>
      <c r="L69" s="287">
        <f t="shared" si="4"/>
        <v>269920</v>
      </c>
      <c r="M69" s="169"/>
    </row>
    <row r="70" ht="15.75" customHeight="1">
      <c r="A70" s="72" t="s">
        <v>185</v>
      </c>
      <c r="B70" s="108" t="s">
        <v>186</v>
      </c>
      <c r="C70" s="39" t="s">
        <v>744</v>
      </c>
      <c r="D70" s="280">
        <v>590.0</v>
      </c>
      <c r="E70" s="281">
        <f>SUMIF(RM_Purchase_YTD!C:C,'RM Rollforward'!A70,RM_Purchase_YTD!E:E)</f>
        <v>1000</v>
      </c>
      <c r="F70" s="281">
        <f>SUMIF(RM_InboundProd_YTD!B:B,'RM Rollforward'!A70,RM_InboundProd_YTD!D:D)</f>
        <v>0</v>
      </c>
      <c r="G70" s="282">
        <f>SUMIF(RM_Outbound_YTD!B:B,'RM Rollforward'!A70,RM_Outbound_YTD!D:D)</f>
        <v>532</v>
      </c>
      <c r="H70" s="283">
        <f t="shared" si="1"/>
        <v>1058</v>
      </c>
      <c r="I70" s="284"/>
      <c r="J70" s="285">
        <v>65.0</v>
      </c>
      <c r="K70" s="286">
        <v>1.0</v>
      </c>
      <c r="L70" s="287">
        <f t="shared" si="4"/>
        <v>68770</v>
      </c>
      <c r="M70" s="169"/>
    </row>
    <row r="71" ht="15.75" customHeight="1">
      <c r="A71" s="72" t="s">
        <v>629</v>
      </c>
      <c r="B71" s="108" t="s">
        <v>630</v>
      </c>
      <c r="C71" s="39" t="s">
        <v>744</v>
      </c>
      <c r="D71" s="280">
        <v>65.0</v>
      </c>
      <c r="E71" s="281">
        <f>SUMIF(RM_Purchase_YTD!C:C,'RM Rollforward'!A71,RM_Purchase_YTD!E:E)</f>
        <v>0</v>
      </c>
      <c r="F71" s="281">
        <f>SUMIF(RM_InboundProd_YTD!B:B,'RM Rollforward'!A71,RM_InboundProd_YTD!D:D)</f>
        <v>0</v>
      </c>
      <c r="G71" s="282">
        <f>SUMIF(RM_Outbound_YTD!B:B,'RM Rollforward'!A71,RM_Outbound_YTD!D:D)</f>
        <v>48</v>
      </c>
      <c r="H71" s="283">
        <f t="shared" si="1"/>
        <v>17</v>
      </c>
      <c r="I71" s="284"/>
      <c r="J71" s="285">
        <v>8.0</v>
      </c>
      <c r="K71" s="286">
        <v>1.0</v>
      </c>
      <c r="L71" s="287">
        <f t="shared" si="4"/>
        <v>136</v>
      </c>
      <c r="M71" s="169"/>
    </row>
    <row r="72" ht="15.75" customHeight="1">
      <c r="A72" s="72" t="s">
        <v>148</v>
      </c>
      <c r="B72" s="108" t="s">
        <v>149</v>
      </c>
      <c r="C72" s="39" t="s">
        <v>744</v>
      </c>
      <c r="D72" s="280">
        <v>45.0</v>
      </c>
      <c r="E72" s="281">
        <f>SUMIF(RM_Purchase_YTD!C:C,'RM Rollforward'!A72,RM_Purchase_YTD!E:E)</f>
        <v>107</v>
      </c>
      <c r="F72" s="281">
        <f>SUMIF(RM_InboundProd_YTD!B:B,'RM Rollforward'!A72,RM_InboundProd_YTD!D:D)</f>
        <v>0</v>
      </c>
      <c r="G72" s="282">
        <f>SUMIF(RM_Outbound_YTD!B:B,'RM Rollforward'!A72,RM_Outbound_YTD!D:D)</f>
        <v>35</v>
      </c>
      <c r="H72" s="283">
        <f t="shared" si="1"/>
        <v>117</v>
      </c>
      <c r="I72" s="284"/>
      <c r="J72" s="285">
        <v>1200.0</v>
      </c>
      <c r="K72" s="286">
        <v>1.0</v>
      </c>
      <c r="L72" s="287">
        <f t="shared" si="4"/>
        <v>140400</v>
      </c>
      <c r="M72" s="169"/>
    </row>
    <row r="73" ht="15.75" customHeight="1">
      <c r="A73" s="72" t="s">
        <v>627</v>
      </c>
      <c r="B73" s="108" t="s">
        <v>628</v>
      </c>
      <c r="C73" s="39" t="s">
        <v>744</v>
      </c>
      <c r="D73" s="280">
        <v>5000.0</v>
      </c>
      <c r="E73" s="281">
        <f>SUMIF(RM_Purchase_YTD!C:C,'RM Rollforward'!A73,RM_Purchase_YTD!E:E)</f>
        <v>0</v>
      </c>
      <c r="F73" s="281">
        <f>SUMIF(RM_InboundProd_YTD!B:B,'RM Rollforward'!A73,RM_InboundProd_YTD!D:D)</f>
        <v>0</v>
      </c>
      <c r="G73" s="282">
        <f>SUMIF(RM_Outbound_YTD!B:B,'RM Rollforward'!A73,RM_Outbound_YTD!D:D)</f>
        <v>2555</v>
      </c>
      <c r="H73" s="283">
        <f t="shared" si="1"/>
        <v>2445</v>
      </c>
      <c r="I73" s="284"/>
      <c r="J73" s="285">
        <v>20.0</v>
      </c>
      <c r="K73" s="286">
        <v>1.0</v>
      </c>
      <c r="L73" s="287">
        <f t="shared" si="4"/>
        <v>48900</v>
      </c>
      <c r="M73" s="169"/>
    </row>
    <row r="74" ht="15.75" customHeight="1">
      <c r="A74" s="72" t="s">
        <v>16</v>
      </c>
      <c r="B74" s="108" t="s">
        <v>17</v>
      </c>
      <c r="C74" s="39" t="s">
        <v>744</v>
      </c>
      <c r="D74" s="280">
        <v>380.0</v>
      </c>
      <c r="E74" s="281">
        <f>SUMIF(RM_Purchase_YTD!C:C,'RM Rollforward'!A74,RM_Purchase_YTD!E:E)</f>
        <v>1000</v>
      </c>
      <c r="F74" s="281">
        <f>SUMIF(RM_InboundProd_YTD!B:B,'RM Rollforward'!A74,RM_InboundProd_YTD!D:D)</f>
        <v>0</v>
      </c>
      <c r="G74" s="282">
        <f>SUMIF(RM_Outbound_YTD!B:B,'RM Rollforward'!A74,RM_Outbound_YTD!D:D)</f>
        <v>792</v>
      </c>
      <c r="H74" s="283">
        <f t="shared" si="1"/>
        <v>588</v>
      </c>
      <c r="I74" s="284"/>
      <c r="J74" s="285">
        <v>39.0</v>
      </c>
      <c r="K74" s="286">
        <v>1.0</v>
      </c>
      <c r="L74" s="287">
        <f t="shared" si="4"/>
        <v>22932</v>
      </c>
      <c r="M74" s="169"/>
    </row>
    <row r="75" ht="15.75" customHeight="1">
      <c r="A75" s="72" t="s">
        <v>21</v>
      </c>
      <c r="B75" s="108" t="s">
        <v>22</v>
      </c>
      <c r="C75" s="39" t="s">
        <v>744</v>
      </c>
      <c r="D75" s="280">
        <v>134.0</v>
      </c>
      <c r="E75" s="281">
        <f>SUMIF(RM_Purchase_YTD!C:C,'RM Rollforward'!A75,RM_Purchase_YTD!E:E)</f>
        <v>1500</v>
      </c>
      <c r="F75" s="281">
        <f>SUMIF(RM_InboundProd_YTD!B:B,'RM Rollforward'!A75,RM_InboundProd_YTD!D:D)</f>
        <v>0</v>
      </c>
      <c r="G75" s="282">
        <f>SUMIF(RM_Outbound_YTD!B:B,'RM Rollforward'!A75,RM_Outbound_YTD!D:D)</f>
        <v>1001</v>
      </c>
      <c r="H75" s="283">
        <f t="shared" si="1"/>
        <v>633</v>
      </c>
      <c r="I75" s="284"/>
      <c r="J75" s="285">
        <v>10.0</v>
      </c>
      <c r="K75" s="286">
        <v>1.0</v>
      </c>
      <c r="L75" s="287">
        <f t="shared" si="4"/>
        <v>6330</v>
      </c>
      <c r="M75" s="169"/>
    </row>
    <row r="76" ht="15.75" customHeight="1">
      <c r="A76" s="72" t="s">
        <v>669</v>
      </c>
      <c r="B76" s="108" t="s">
        <v>670</v>
      </c>
      <c r="C76" s="39" t="s">
        <v>765</v>
      </c>
      <c r="D76" s="280">
        <v>1900.0</v>
      </c>
      <c r="E76" s="281">
        <f>SUMIF(RM_Purchase_YTD!C:C,'RM Rollforward'!A76,RM_Purchase_YTD!E:E)</f>
        <v>0</v>
      </c>
      <c r="F76" s="281">
        <f>SUMIF(RM_InboundProd_YTD!B:B,'RM Rollforward'!A76,RM_InboundProd_YTD!D:D)</f>
        <v>0</v>
      </c>
      <c r="G76" s="282">
        <f>SUMIF(RM_Outbound_YTD!B:B,'RM Rollforward'!A76,RM_Outbound_YTD!D:D)</f>
        <v>800</v>
      </c>
      <c r="H76" s="283">
        <f t="shared" si="1"/>
        <v>1100</v>
      </c>
      <c r="I76" s="284"/>
      <c r="J76" s="285">
        <v>95.0</v>
      </c>
      <c r="K76" s="286">
        <v>1.0</v>
      </c>
      <c r="L76" s="287">
        <f t="shared" si="4"/>
        <v>104500</v>
      </c>
      <c r="M76" s="169"/>
    </row>
    <row r="77" ht="15.75" customHeight="1">
      <c r="A77" s="72" t="s">
        <v>675</v>
      </c>
      <c r="B77" s="108" t="s">
        <v>676</v>
      </c>
      <c r="C77" s="39" t="s">
        <v>729</v>
      </c>
      <c r="D77" s="280">
        <v>80.0</v>
      </c>
      <c r="E77" s="281">
        <f>SUMIF(RM_Purchase_YTD!C:C,'RM Rollforward'!A77,RM_Purchase_YTD!E:E)</f>
        <v>0</v>
      </c>
      <c r="F77" s="281">
        <f>SUMIF(RM_InboundProd_YTD!B:B,'RM Rollforward'!A77,RM_InboundProd_YTD!D:D)</f>
        <v>0</v>
      </c>
      <c r="G77" s="282">
        <f>SUMIF(RM_Outbound_YTD!B:B,'RM Rollforward'!A77,RM_Outbound_YTD!D:D)</f>
        <v>20</v>
      </c>
      <c r="H77" s="283">
        <f t="shared" si="1"/>
        <v>60</v>
      </c>
      <c r="I77" s="284"/>
      <c r="J77" s="285">
        <v>270.0</v>
      </c>
      <c r="K77" s="286">
        <v>1.0</v>
      </c>
      <c r="L77" s="287">
        <f t="shared" si="4"/>
        <v>16200</v>
      </c>
      <c r="M77" s="169"/>
    </row>
    <row r="78" ht="15.75" customHeight="1">
      <c r="A78" s="72" t="s">
        <v>677</v>
      </c>
      <c r="B78" s="108" t="s">
        <v>678</v>
      </c>
      <c r="C78" s="39" t="s">
        <v>729</v>
      </c>
      <c r="D78" s="280">
        <v>200.0</v>
      </c>
      <c r="E78" s="281">
        <f>SUMIF(RM_Purchase_YTD!C:C,'RM Rollforward'!A78,RM_Purchase_YTD!E:E)</f>
        <v>0</v>
      </c>
      <c r="F78" s="281">
        <f>SUMIF(RM_InboundProd_YTD!B:B,'RM Rollforward'!A78,RM_InboundProd_YTD!D:D)</f>
        <v>0</v>
      </c>
      <c r="G78" s="282">
        <f>SUMIF(RM_Outbound_YTD!B:B,'RM Rollforward'!A78,RM_Outbound_YTD!D:D)</f>
        <v>20</v>
      </c>
      <c r="H78" s="283">
        <f t="shared" si="1"/>
        <v>180</v>
      </c>
      <c r="I78" s="284"/>
      <c r="J78" s="285">
        <v>300.0</v>
      </c>
      <c r="K78" s="286">
        <v>1.0</v>
      </c>
      <c r="L78" s="287">
        <f t="shared" si="4"/>
        <v>54000</v>
      </c>
      <c r="M78" s="169"/>
    </row>
    <row r="79" ht="15.75" customHeight="1">
      <c r="A79" s="72" t="s">
        <v>766</v>
      </c>
      <c r="B79" s="108" t="s">
        <v>767</v>
      </c>
      <c r="C79" s="39" t="s">
        <v>729</v>
      </c>
      <c r="D79" s="280">
        <v>222.0</v>
      </c>
      <c r="E79" s="281">
        <f>SUMIF(RM_Purchase_YTD!C:C,'RM Rollforward'!A79,RM_Purchase_YTD!E:E)</f>
        <v>0</v>
      </c>
      <c r="F79" s="281">
        <f>SUMIF(RM_InboundProd_YTD!B:B,'RM Rollforward'!A79,RM_InboundProd_YTD!D:D)</f>
        <v>0</v>
      </c>
      <c r="G79" s="282">
        <f>SUMIF(RM_Outbound_YTD!B:B,'RM Rollforward'!A79,RM_Outbound_YTD!D:D)</f>
        <v>0</v>
      </c>
      <c r="H79" s="283">
        <f t="shared" si="1"/>
        <v>222</v>
      </c>
      <c r="I79" s="284"/>
      <c r="J79" s="285">
        <v>290.0</v>
      </c>
      <c r="K79" s="286">
        <v>1.0</v>
      </c>
      <c r="L79" s="287">
        <f t="shared" si="4"/>
        <v>64380</v>
      </c>
      <c r="M79" s="169"/>
    </row>
    <row r="80" ht="15.75" customHeight="1">
      <c r="A80" s="72" t="s">
        <v>683</v>
      </c>
      <c r="B80" s="108" t="s">
        <v>684</v>
      </c>
      <c r="C80" s="39" t="s">
        <v>729</v>
      </c>
      <c r="D80" s="280">
        <v>160.0</v>
      </c>
      <c r="E80" s="281">
        <f>SUMIF(RM_Purchase_YTD!C:C,'RM Rollforward'!A80,RM_Purchase_YTD!E:E)</f>
        <v>0</v>
      </c>
      <c r="F80" s="281">
        <f>SUMIF(RM_InboundProd_YTD!B:B,'RM Rollforward'!A80,RM_InboundProd_YTD!D:D)</f>
        <v>0</v>
      </c>
      <c r="G80" s="282">
        <f>SUMIF(RM_Outbound_YTD!B:B,'RM Rollforward'!A80,RM_Outbound_YTD!D:D)</f>
        <v>40</v>
      </c>
      <c r="H80" s="283">
        <f t="shared" si="1"/>
        <v>120</v>
      </c>
      <c r="I80" s="284"/>
      <c r="J80" s="285">
        <v>290.0</v>
      </c>
      <c r="K80" s="286">
        <v>1.0</v>
      </c>
      <c r="L80" s="287">
        <f t="shared" si="4"/>
        <v>34800</v>
      </c>
      <c r="M80" s="169"/>
    </row>
    <row r="81" ht="15.75" customHeight="1">
      <c r="A81" s="72" t="s">
        <v>679</v>
      </c>
      <c r="B81" s="108" t="s">
        <v>680</v>
      </c>
      <c r="C81" s="39" t="s">
        <v>729</v>
      </c>
      <c r="D81" s="280">
        <v>125.0</v>
      </c>
      <c r="E81" s="281">
        <f>SUMIF(RM_Purchase_YTD!C:C,'RM Rollforward'!A81,RM_Purchase_YTD!E:E)</f>
        <v>0</v>
      </c>
      <c r="F81" s="281">
        <f>SUMIF(RM_InboundProd_YTD!B:B,'RM Rollforward'!A81,RM_InboundProd_YTD!D:D)</f>
        <v>0</v>
      </c>
      <c r="G81" s="282">
        <f>SUMIF(RM_Outbound_YTD!B:B,'RM Rollforward'!A81,RM_Outbound_YTD!D:D)</f>
        <v>25</v>
      </c>
      <c r="H81" s="283">
        <f t="shared" si="1"/>
        <v>100</v>
      </c>
      <c r="I81" s="284"/>
      <c r="J81" s="285">
        <v>280.0</v>
      </c>
      <c r="K81" s="286">
        <v>1.0</v>
      </c>
      <c r="L81" s="287">
        <f t="shared" si="4"/>
        <v>28000</v>
      </c>
      <c r="M81" s="169"/>
    </row>
    <row r="82" ht="15.75" customHeight="1">
      <c r="A82" s="72" t="s">
        <v>688</v>
      </c>
      <c r="B82" s="108" t="s">
        <v>689</v>
      </c>
      <c r="C82" s="39" t="s">
        <v>729</v>
      </c>
      <c r="D82" s="280">
        <v>200.0</v>
      </c>
      <c r="E82" s="281">
        <f>SUMIF(RM_Purchase_YTD!C:C,'RM Rollforward'!A82,RM_Purchase_YTD!E:E)</f>
        <v>0</v>
      </c>
      <c r="F82" s="281">
        <f>SUMIF(RM_InboundProd_YTD!B:B,'RM Rollforward'!A82,RM_InboundProd_YTD!D:D)</f>
        <v>0</v>
      </c>
      <c r="G82" s="282">
        <f>SUMIF(RM_Outbound_YTD!B:B,'RM Rollforward'!A82,RM_Outbound_YTD!D:D)</f>
        <v>20</v>
      </c>
      <c r="H82" s="283">
        <f t="shared" si="1"/>
        <v>180</v>
      </c>
      <c r="I82" s="284"/>
      <c r="J82" s="285">
        <v>290.0</v>
      </c>
      <c r="K82" s="286">
        <v>1.0</v>
      </c>
      <c r="L82" s="287">
        <f t="shared" si="4"/>
        <v>52200</v>
      </c>
      <c r="M82" s="169"/>
    </row>
    <row r="83" ht="15.75" customHeight="1">
      <c r="A83" s="72" t="s">
        <v>768</v>
      </c>
      <c r="B83" s="108" t="s">
        <v>769</v>
      </c>
      <c r="C83" s="39" t="s">
        <v>729</v>
      </c>
      <c r="D83" s="280">
        <v>170.0</v>
      </c>
      <c r="E83" s="281">
        <f>SUMIF(RM_Purchase_YTD!C:C,'RM Rollforward'!A83,RM_Purchase_YTD!E:E)</f>
        <v>0</v>
      </c>
      <c r="F83" s="281">
        <f>SUMIF(RM_InboundProd_YTD!B:B,'RM Rollforward'!A83,RM_InboundProd_YTD!D:D)</f>
        <v>0</v>
      </c>
      <c r="G83" s="282">
        <f>SUMIF(RM_Outbound_YTD!B:B,'RM Rollforward'!A83,RM_Outbound_YTD!D:D)</f>
        <v>0</v>
      </c>
      <c r="H83" s="283">
        <f t="shared" si="1"/>
        <v>170</v>
      </c>
      <c r="I83" s="284"/>
      <c r="J83" s="285">
        <v>265.0</v>
      </c>
      <c r="K83" s="286">
        <v>1.0</v>
      </c>
      <c r="L83" s="287">
        <f t="shared" si="4"/>
        <v>45050</v>
      </c>
      <c r="M83" s="169"/>
    </row>
    <row r="84" ht="15.75" customHeight="1">
      <c r="A84" s="72" t="s">
        <v>770</v>
      </c>
      <c r="B84" s="108" t="s">
        <v>771</v>
      </c>
      <c r="C84" s="39" t="s">
        <v>729</v>
      </c>
      <c r="D84" s="280">
        <v>50.0</v>
      </c>
      <c r="E84" s="281">
        <f>SUMIF(RM_Purchase_YTD!C:C,'RM Rollforward'!A84,RM_Purchase_YTD!E:E)</f>
        <v>0</v>
      </c>
      <c r="F84" s="281">
        <f>SUMIF(RM_InboundProd_YTD!B:B,'RM Rollforward'!A84,RM_InboundProd_YTD!D:D)</f>
        <v>0</v>
      </c>
      <c r="G84" s="282">
        <f>SUMIF(RM_Outbound_YTD!B:B,'RM Rollforward'!A84,RM_Outbound_YTD!D:D)</f>
        <v>0</v>
      </c>
      <c r="H84" s="283">
        <f t="shared" si="1"/>
        <v>50</v>
      </c>
      <c r="I84" s="284"/>
      <c r="J84" s="285">
        <v>262.0</v>
      </c>
      <c r="K84" s="286">
        <v>1.0</v>
      </c>
      <c r="L84" s="287">
        <f t="shared" si="4"/>
        <v>13100</v>
      </c>
      <c r="M84" s="169"/>
    </row>
    <row r="85" ht="15.75" customHeight="1">
      <c r="A85" s="72" t="s">
        <v>772</v>
      </c>
      <c r="B85" s="108" t="s">
        <v>773</v>
      </c>
      <c r="C85" s="39" t="s">
        <v>729</v>
      </c>
      <c r="D85" s="280">
        <v>70.0</v>
      </c>
      <c r="E85" s="281">
        <f>SUMIF(RM_Purchase_YTD!C:C,'RM Rollforward'!A85,RM_Purchase_YTD!E:E)</f>
        <v>0</v>
      </c>
      <c r="F85" s="281">
        <f>SUMIF(RM_InboundProd_YTD!B:B,'RM Rollforward'!A85,RM_InboundProd_YTD!D:D)</f>
        <v>0</v>
      </c>
      <c r="G85" s="282">
        <f>SUMIF(RM_Outbound_YTD!B:B,'RM Rollforward'!A85,RM_Outbound_YTD!D:D)</f>
        <v>0</v>
      </c>
      <c r="H85" s="283">
        <f t="shared" si="1"/>
        <v>70</v>
      </c>
      <c r="I85" s="284"/>
      <c r="J85" s="285">
        <v>277.0</v>
      </c>
      <c r="K85" s="286">
        <v>1.0</v>
      </c>
      <c r="L85" s="287">
        <f t="shared" si="4"/>
        <v>19390</v>
      </c>
      <c r="M85" s="169"/>
    </row>
    <row r="86" ht="15.75" customHeight="1">
      <c r="A86" s="72" t="s">
        <v>227</v>
      </c>
      <c r="B86" s="108" t="s">
        <v>228</v>
      </c>
      <c r="C86" s="39" t="s">
        <v>729</v>
      </c>
      <c r="D86" s="280">
        <v>10.0</v>
      </c>
      <c r="E86" s="281">
        <f>SUMIF(RM_Purchase_YTD!C:C,'RM Rollforward'!A86,RM_Purchase_YTD!E:E)</f>
        <v>0</v>
      </c>
      <c r="F86" s="281">
        <f>SUMIF(RM_InboundProd_YTD!B:B,'RM Rollforward'!A86,RM_InboundProd_YTD!D:D)</f>
        <v>1752</v>
      </c>
      <c r="G86" s="282">
        <f>SUMIF(RM_Outbound_YTD!B:B,'RM Rollforward'!A86,RM_Outbound_YTD!D:D)</f>
        <v>1508</v>
      </c>
      <c r="H86" s="283">
        <f t="shared" si="1"/>
        <v>254</v>
      </c>
      <c r="I86" s="284"/>
      <c r="J86" s="285">
        <v>150.0</v>
      </c>
      <c r="K86" s="286">
        <v>1.0</v>
      </c>
      <c r="L86" s="287">
        <f t="shared" si="4"/>
        <v>38100</v>
      </c>
      <c r="M86" s="169"/>
    </row>
    <row r="87" ht="15.75" customHeight="1">
      <c r="A87" s="72" t="s">
        <v>235</v>
      </c>
      <c r="B87" s="108" t="s">
        <v>236</v>
      </c>
      <c r="C87" s="39" t="s">
        <v>729</v>
      </c>
      <c r="D87" s="280">
        <v>0.0</v>
      </c>
      <c r="E87" s="281">
        <f>SUMIF(RM_Purchase_YTD!C:C,'RM Rollforward'!A87,RM_Purchase_YTD!E:E)</f>
        <v>0</v>
      </c>
      <c r="F87" s="281">
        <f>SUMIF(RM_InboundProd_YTD!B:B,'RM Rollforward'!A87,RM_InboundProd_YTD!D:D)</f>
        <v>138</v>
      </c>
      <c r="G87" s="282">
        <f>SUMIF(RM_Outbound_YTD!B:B,'RM Rollforward'!A87,RM_Outbound_YTD!D:D)</f>
        <v>0</v>
      </c>
      <c r="H87" s="283">
        <f t="shared" si="1"/>
        <v>138</v>
      </c>
      <c r="I87" s="284"/>
      <c r="J87" s="285">
        <v>150.0</v>
      </c>
      <c r="K87" s="286">
        <v>1.0</v>
      </c>
      <c r="L87" s="287">
        <f t="shared" si="4"/>
        <v>20700</v>
      </c>
      <c r="M87" s="169"/>
    </row>
    <row r="88" ht="15.75" customHeight="1">
      <c r="A88" s="72" t="s">
        <v>217</v>
      </c>
      <c r="B88" s="108" t="s">
        <v>218</v>
      </c>
      <c r="C88" s="39" t="s">
        <v>729</v>
      </c>
      <c r="D88" s="280">
        <v>160.0</v>
      </c>
      <c r="E88" s="281">
        <f>SUMIF(RM_Purchase_YTD!C:C,'RM Rollforward'!A88,RM_Purchase_YTD!E:E)</f>
        <v>0</v>
      </c>
      <c r="F88" s="281">
        <f>SUMIF(RM_InboundProd_YTD!B:B,'RM Rollforward'!A88,RM_InboundProd_YTD!D:D)</f>
        <v>1452</v>
      </c>
      <c r="G88" s="282">
        <f>SUMIF(RM_Outbound_YTD!B:B,'RM Rollforward'!A88,RM_Outbound_YTD!D:D)</f>
        <v>1612</v>
      </c>
      <c r="H88" s="283">
        <f t="shared" si="1"/>
        <v>0</v>
      </c>
      <c r="I88" s="301"/>
      <c r="J88" s="302">
        <v>150.0</v>
      </c>
      <c r="K88" s="286">
        <v>1.0</v>
      </c>
      <c r="L88" s="287">
        <f t="shared" si="4"/>
        <v>0</v>
      </c>
      <c r="M88" s="169"/>
    </row>
    <row r="89" ht="15.75" customHeight="1">
      <c r="A89" s="72" t="s">
        <v>233</v>
      </c>
      <c r="B89" s="303" t="s">
        <v>234</v>
      </c>
      <c r="C89" s="39" t="s">
        <v>729</v>
      </c>
      <c r="D89" s="280">
        <v>0.0</v>
      </c>
      <c r="E89" s="281">
        <f>SUMIF(RM_Purchase_YTD!C:C,'RM Rollforward'!A89,RM_Purchase_YTD!E:E)</f>
        <v>0</v>
      </c>
      <c r="F89" s="281">
        <f>SUMIF(RM_InboundProd_YTD!B:B,'RM Rollforward'!A89,RM_InboundProd_YTD!D:D)</f>
        <v>322</v>
      </c>
      <c r="G89" s="282">
        <f>SUMIF(RM_Outbound_YTD!B:B,'RM Rollforward'!A89,RM_Outbound_YTD!D:D)</f>
        <v>162</v>
      </c>
      <c r="H89" s="283">
        <f t="shared" si="1"/>
        <v>160</v>
      </c>
      <c r="I89" s="304"/>
      <c r="J89" s="305">
        <v>150.0</v>
      </c>
      <c r="K89" s="286">
        <v>1.0</v>
      </c>
      <c r="L89" s="287">
        <f t="shared" si="4"/>
        <v>24000</v>
      </c>
      <c r="M89" s="306"/>
      <c r="N89" s="101"/>
      <c r="O89" s="101"/>
      <c r="P89" s="101"/>
      <c r="Q89" s="101"/>
      <c r="R89" s="101"/>
      <c r="S89" s="101"/>
      <c r="T89" s="101"/>
      <c r="U89" s="101"/>
      <c r="V89" s="101"/>
    </row>
    <row r="90" ht="15.75" customHeight="1">
      <c r="A90" s="72" t="s">
        <v>219</v>
      </c>
      <c r="B90" s="303" t="s">
        <v>220</v>
      </c>
      <c r="C90" s="39" t="s">
        <v>729</v>
      </c>
      <c r="D90" s="280">
        <v>42.0</v>
      </c>
      <c r="E90" s="281">
        <f>SUMIF(RM_Purchase_YTD!C:C,'RM Rollforward'!A90,RM_Purchase_YTD!E:E)</f>
        <v>0</v>
      </c>
      <c r="F90" s="281">
        <f>SUMIF(RM_InboundProd_YTD!B:B,'RM Rollforward'!A90,RM_InboundProd_YTD!D:D)</f>
        <v>2552</v>
      </c>
      <c r="G90" s="282">
        <f>SUMIF(RM_Outbound_YTD!B:B,'RM Rollforward'!A90,RM_Outbound_YTD!D:D)</f>
        <v>2268</v>
      </c>
      <c r="H90" s="283">
        <f t="shared" si="1"/>
        <v>326</v>
      </c>
      <c r="I90" s="304"/>
      <c r="J90" s="305">
        <v>150.0</v>
      </c>
      <c r="K90" s="286">
        <v>1.0</v>
      </c>
      <c r="L90" s="287">
        <f t="shared" si="4"/>
        <v>48900</v>
      </c>
      <c r="M90" s="169"/>
    </row>
    <row r="91" ht="15.75" customHeight="1">
      <c r="A91" s="124" t="s">
        <v>223</v>
      </c>
      <c r="B91" s="107" t="s">
        <v>224</v>
      </c>
      <c r="C91" s="39" t="s">
        <v>729</v>
      </c>
      <c r="D91" s="280">
        <v>0.0</v>
      </c>
      <c r="E91" s="281">
        <f>SUMIF(RM_Purchase_YTD!C:C,'RM Rollforward'!A91,RM_Purchase_YTD!E:E)</f>
        <v>0</v>
      </c>
      <c r="F91" s="281">
        <f>SUMIF(RM_InboundProd_YTD!B:B,'RM Rollforward'!A91,RM_InboundProd_YTD!D:D)</f>
        <v>458</v>
      </c>
      <c r="G91" s="282">
        <f>SUMIF(RM_Outbound_YTD!B:B,'RM Rollforward'!A91,RM_Outbound_YTD!D:D)</f>
        <v>60</v>
      </c>
      <c r="H91" s="283">
        <f t="shared" si="1"/>
        <v>398</v>
      </c>
      <c r="I91" s="304"/>
      <c r="J91" s="305">
        <v>150.0</v>
      </c>
      <c r="K91" s="286">
        <v>1.0</v>
      </c>
      <c r="L91" s="287">
        <f t="shared" si="4"/>
        <v>59700</v>
      </c>
      <c r="M91" s="169"/>
    </row>
    <row r="92" ht="15.75" customHeight="1">
      <c r="A92" s="124" t="s">
        <v>221</v>
      </c>
      <c r="B92" s="220" t="s">
        <v>222</v>
      </c>
      <c r="C92" s="39" t="s">
        <v>729</v>
      </c>
      <c r="D92" s="280">
        <v>0.0</v>
      </c>
      <c r="E92" s="281">
        <f>SUMIF(RM_Purchase_YTD!C:C,'RM Rollforward'!A92,RM_Purchase_YTD!E:E)</f>
        <v>0</v>
      </c>
      <c r="F92" s="281">
        <f>SUMIF(RM_InboundProd_YTD!B:B,'RM Rollforward'!A92,RM_InboundProd_YTD!D:D)</f>
        <v>1929</v>
      </c>
      <c r="G92" s="282">
        <f>SUMIF(RM_Outbound_YTD!B:B,'RM Rollforward'!A92,RM_Outbound_YTD!D:D)</f>
        <v>1920</v>
      </c>
      <c r="H92" s="283">
        <f t="shared" si="1"/>
        <v>9</v>
      </c>
      <c r="I92" s="307"/>
      <c r="J92" s="308">
        <v>150.0</v>
      </c>
      <c r="K92" s="286">
        <v>1.0</v>
      </c>
      <c r="L92" s="287">
        <f t="shared" si="4"/>
        <v>1350</v>
      </c>
      <c r="M92" s="169"/>
    </row>
    <row r="93" ht="15.75" customHeight="1">
      <c r="A93" s="246" t="s">
        <v>229</v>
      </c>
      <c r="B93" s="309" t="s">
        <v>230</v>
      </c>
      <c r="C93" s="279" t="s">
        <v>729</v>
      </c>
      <c r="D93" s="280">
        <v>0.0</v>
      </c>
      <c r="E93" s="281">
        <f>SUMIF(RM_Purchase_YTD!C:C,'RM Rollforward'!A93,RM_Purchase_YTD!E:E)</f>
        <v>0</v>
      </c>
      <c r="F93" s="281">
        <f>SUMIF(RM_InboundProd_YTD!B:B,'RM Rollforward'!A93,RM_InboundProd_YTD!D:D)</f>
        <v>365</v>
      </c>
      <c r="G93" s="282">
        <f>SUMIF(RM_Outbound_YTD!B:B,'RM Rollforward'!A93,RM_Outbound_YTD!D:D)</f>
        <v>162</v>
      </c>
      <c r="H93" s="283">
        <f t="shared" si="1"/>
        <v>203</v>
      </c>
      <c r="I93" s="307"/>
      <c r="J93" s="308">
        <v>150.0</v>
      </c>
      <c r="K93" s="286">
        <v>1.0</v>
      </c>
      <c r="L93" s="287">
        <f t="shared" si="4"/>
        <v>30450</v>
      </c>
      <c r="M93" s="169"/>
    </row>
    <row r="94" ht="15.75" customHeight="1">
      <c r="A94" s="39" t="s">
        <v>225</v>
      </c>
      <c r="B94" s="41" t="s">
        <v>226</v>
      </c>
      <c r="C94" s="31" t="s">
        <v>729</v>
      </c>
      <c r="D94" s="280">
        <v>170.0</v>
      </c>
      <c r="E94" s="281">
        <f>SUMIF(RM_Purchase_YTD!C:C,'RM Rollforward'!A94,RM_Purchase_YTD!E:E)</f>
        <v>0</v>
      </c>
      <c r="F94" s="281">
        <f>SUMIF(RM_InboundProd_YTD!B:B,'RM Rollforward'!A94,RM_InboundProd_YTD!D:D)</f>
        <v>2280</v>
      </c>
      <c r="G94" s="282">
        <f>SUMIF(RM_Outbound_YTD!B:B,'RM Rollforward'!A94,RM_Outbound_YTD!D:D)</f>
        <v>1708</v>
      </c>
      <c r="H94" s="283">
        <f t="shared" si="1"/>
        <v>742</v>
      </c>
      <c r="I94" s="307"/>
      <c r="J94" s="308">
        <v>150.0</v>
      </c>
      <c r="K94" s="286">
        <v>1.0</v>
      </c>
      <c r="L94" s="287">
        <f t="shared" si="4"/>
        <v>111300</v>
      </c>
      <c r="M94" s="169"/>
    </row>
    <row r="95" ht="15.75" customHeight="1">
      <c r="A95" s="39" t="s">
        <v>237</v>
      </c>
      <c r="B95" s="41" t="s">
        <v>238</v>
      </c>
      <c r="C95" s="31" t="s">
        <v>729</v>
      </c>
      <c r="D95" s="280">
        <v>0.0</v>
      </c>
      <c r="E95" s="281">
        <f>SUMIF(RM_Purchase_YTD!C:C,'RM Rollforward'!A95,RM_Purchase_YTD!E:E)</f>
        <v>0</v>
      </c>
      <c r="F95" s="281">
        <f>SUMIF(RM_InboundProd_YTD!B:B,'RM Rollforward'!A95,RM_InboundProd_YTD!D:D)</f>
        <v>150</v>
      </c>
      <c r="G95" s="282">
        <f>SUMIF(RM_Outbound_YTD!B:B,'RM Rollforward'!A95,RM_Outbound_YTD!D:D)</f>
        <v>72</v>
      </c>
      <c r="H95" s="283">
        <f t="shared" si="1"/>
        <v>78</v>
      </c>
      <c r="I95" s="307"/>
      <c r="J95" s="308">
        <v>150.0</v>
      </c>
      <c r="K95" s="286">
        <v>1.0</v>
      </c>
      <c r="L95" s="287">
        <f t="shared" si="4"/>
        <v>11700</v>
      </c>
      <c r="M95" s="169"/>
    </row>
    <row r="96" ht="15.75" customHeight="1">
      <c r="A96" s="39" t="s">
        <v>774</v>
      </c>
      <c r="B96" s="41" t="s">
        <v>775</v>
      </c>
      <c r="C96" s="31" t="s">
        <v>729</v>
      </c>
      <c r="D96" s="280">
        <v>0.0</v>
      </c>
      <c r="E96" s="281">
        <f>SUMIF(RM_Purchase_YTD!C:C,'RM Rollforward'!A96,RM_Purchase_YTD!E:E)</f>
        <v>0</v>
      </c>
      <c r="F96" s="281">
        <f>SUMIF(RM_InboundProd_YTD!B:B,'RM Rollforward'!A96,RM_InboundProd_YTD!D:D)</f>
        <v>0</v>
      </c>
      <c r="G96" s="282">
        <f>SUMIF(RM_Outbound_YTD!B:B,'RM Rollforward'!A96,RM_Outbound_YTD!D:D)</f>
        <v>0</v>
      </c>
      <c r="H96" s="283">
        <f t="shared" si="1"/>
        <v>0</v>
      </c>
      <c r="I96" s="307"/>
      <c r="J96" s="308">
        <v>150.0</v>
      </c>
      <c r="K96" s="286">
        <v>1.0</v>
      </c>
      <c r="L96" s="287">
        <f t="shared" si="4"/>
        <v>0</v>
      </c>
      <c r="M96" s="169"/>
    </row>
    <row r="97" ht="15.75" customHeight="1">
      <c r="A97" s="39" t="s">
        <v>776</v>
      </c>
      <c r="B97" s="41" t="s">
        <v>777</v>
      </c>
      <c r="C97" s="31" t="s">
        <v>729</v>
      </c>
      <c r="D97" s="280">
        <v>0.0</v>
      </c>
      <c r="E97" s="281">
        <f>SUMIF(RM_Purchase_YTD!C:C,'RM Rollforward'!A97,RM_Purchase_YTD!E:E)</f>
        <v>0</v>
      </c>
      <c r="F97" s="281">
        <f>SUMIF(RM_InboundProd_YTD!B:B,'RM Rollforward'!A97,RM_InboundProd_YTD!D:D)</f>
        <v>0</v>
      </c>
      <c r="G97" s="282">
        <f>SUMIF(RM_Outbound_YTD!B:B,'RM Rollforward'!A97,RM_Outbound_YTD!D:D)</f>
        <v>0</v>
      </c>
      <c r="H97" s="283">
        <f t="shared" si="1"/>
        <v>0</v>
      </c>
      <c r="I97" s="307"/>
      <c r="J97" s="308">
        <v>150.0</v>
      </c>
      <c r="K97" s="286">
        <v>1.0</v>
      </c>
      <c r="L97" s="287">
        <f t="shared" si="4"/>
        <v>0</v>
      </c>
      <c r="M97" s="169"/>
    </row>
    <row r="98" ht="15.75" customHeight="1">
      <c r="A98" s="39" t="s">
        <v>778</v>
      </c>
      <c r="B98" s="41" t="s">
        <v>779</v>
      </c>
      <c r="C98" s="31" t="s">
        <v>729</v>
      </c>
      <c r="D98" s="280">
        <v>0.0</v>
      </c>
      <c r="E98" s="281">
        <f>SUMIF(RM_Purchase_YTD!C:C,'RM Rollforward'!A98,RM_Purchase_YTD!E:E)</f>
        <v>0</v>
      </c>
      <c r="F98" s="281">
        <f>SUMIF(RM_InboundProd_YTD!B:B,'RM Rollforward'!A98,RM_InboundProd_YTD!D:D)</f>
        <v>0</v>
      </c>
      <c r="G98" s="282">
        <f>SUMIF(RM_Outbound_YTD!B:B,'RM Rollforward'!A98,RM_Outbound_YTD!D:D)</f>
        <v>0</v>
      </c>
      <c r="H98" s="283">
        <f t="shared" si="1"/>
        <v>0</v>
      </c>
      <c r="I98" s="307"/>
      <c r="J98" s="308">
        <v>150.0</v>
      </c>
      <c r="K98" s="286">
        <v>1.0</v>
      </c>
      <c r="L98" s="287">
        <f t="shared" si="4"/>
        <v>0</v>
      </c>
      <c r="M98" s="169"/>
    </row>
    <row r="99" ht="15.75" customHeight="1">
      <c r="A99" s="39" t="s">
        <v>780</v>
      </c>
      <c r="B99" s="41" t="s">
        <v>781</v>
      </c>
      <c r="C99" s="31" t="s">
        <v>729</v>
      </c>
      <c r="D99" s="280">
        <v>0.0</v>
      </c>
      <c r="E99" s="281">
        <f>SUMIF(RM_Purchase_YTD!C:C,'RM Rollforward'!A99,RM_Purchase_YTD!E:E)</f>
        <v>0</v>
      </c>
      <c r="F99" s="281">
        <f>SUMIF(RM_InboundProd_YTD!B:B,'RM Rollforward'!A99,RM_InboundProd_YTD!D:D)</f>
        <v>0</v>
      </c>
      <c r="G99" s="282">
        <f>SUMIF(RM_Outbound_YTD!B:B,'RM Rollforward'!A99,RM_Outbound_YTD!D:D)</f>
        <v>0</v>
      </c>
      <c r="H99" s="283">
        <f t="shared" si="1"/>
        <v>0</v>
      </c>
      <c r="I99" s="307"/>
      <c r="J99" s="308">
        <v>150.0</v>
      </c>
      <c r="K99" s="286">
        <v>1.0</v>
      </c>
      <c r="L99" s="287">
        <f t="shared" si="4"/>
        <v>0</v>
      </c>
      <c r="M99" s="169"/>
    </row>
    <row r="100" ht="15.75" customHeight="1">
      <c r="A100" s="39" t="s">
        <v>782</v>
      </c>
      <c r="B100" s="41" t="s">
        <v>783</v>
      </c>
      <c r="C100" s="31" t="s">
        <v>729</v>
      </c>
      <c r="D100" s="280">
        <v>0.0</v>
      </c>
      <c r="E100" s="281">
        <f>SUMIF(RM_Purchase_YTD!C:C,'RM Rollforward'!A100,RM_Purchase_YTD!E:E)</f>
        <v>0</v>
      </c>
      <c r="F100" s="281">
        <f>SUMIF(RM_InboundProd_YTD!B:B,'RM Rollforward'!A100,RM_InboundProd_YTD!D:D)</f>
        <v>0</v>
      </c>
      <c r="G100" s="282">
        <f>SUMIF(RM_Outbound_YTD!B:B,'RM Rollforward'!A100,RM_Outbound_YTD!D:D)</f>
        <v>0</v>
      </c>
      <c r="H100" s="283">
        <f t="shared" si="1"/>
        <v>0</v>
      </c>
      <c r="I100" s="307"/>
      <c r="J100" s="308">
        <v>150.0</v>
      </c>
      <c r="K100" s="286">
        <v>1.0</v>
      </c>
      <c r="L100" s="287">
        <f t="shared" si="4"/>
        <v>0</v>
      </c>
      <c r="M100" s="169"/>
    </row>
    <row r="101" ht="15.75" customHeight="1">
      <c r="A101" s="39" t="s">
        <v>784</v>
      </c>
      <c r="B101" s="41" t="s">
        <v>785</v>
      </c>
      <c r="C101" s="31" t="s">
        <v>729</v>
      </c>
      <c r="D101" s="280">
        <v>0.0</v>
      </c>
      <c r="E101" s="281">
        <f>SUMIF(RM_Purchase_YTD!C:C,'RM Rollforward'!A101,RM_Purchase_YTD!E:E)</f>
        <v>0</v>
      </c>
      <c r="F101" s="281">
        <f>SUMIF(RM_InboundProd_YTD!B:B,'RM Rollforward'!A101,RM_InboundProd_YTD!D:D)</f>
        <v>0</v>
      </c>
      <c r="G101" s="282">
        <f>SUMIF(RM_Outbound_YTD!B:B,'RM Rollforward'!A101,RM_Outbound_YTD!D:D)</f>
        <v>0</v>
      </c>
      <c r="H101" s="283">
        <f t="shared" si="1"/>
        <v>0</v>
      </c>
      <c r="I101" s="307"/>
      <c r="J101" s="308">
        <v>150.0</v>
      </c>
      <c r="K101" s="286">
        <v>1.0</v>
      </c>
      <c r="L101" s="287">
        <f t="shared" si="4"/>
        <v>0</v>
      </c>
      <c r="M101" s="169"/>
    </row>
    <row r="102" ht="15.75" customHeight="1">
      <c r="A102" s="39" t="s">
        <v>786</v>
      </c>
      <c r="B102" s="41" t="s">
        <v>787</v>
      </c>
      <c r="C102" s="31" t="s">
        <v>729</v>
      </c>
      <c r="D102" s="280">
        <v>0.0</v>
      </c>
      <c r="E102" s="281">
        <f>SUMIF(RM_Purchase_YTD!C:C,'RM Rollforward'!A102,RM_Purchase_YTD!E:E)</f>
        <v>0</v>
      </c>
      <c r="F102" s="281">
        <f>SUMIF(RM_InboundProd_YTD!B:B,'RM Rollforward'!A102,RM_InboundProd_YTD!D:D)</f>
        <v>0</v>
      </c>
      <c r="G102" s="282">
        <f>SUMIF(RM_Outbound_YTD!B:B,'RM Rollforward'!A102,RM_Outbound_YTD!D:D)</f>
        <v>0</v>
      </c>
      <c r="H102" s="283">
        <f t="shared" si="1"/>
        <v>0</v>
      </c>
      <c r="I102" s="307"/>
      <c r="J102" s="308">
        <v>150.0</v>
      </c>
      <c r="K102" s="286">
        <v>1.0</v>
      </c>
      <c r="L102" s="287">
        <f t="shared" si="4"/>
        <v>0</v>
      </c>
      <c r="M102" s="169"/>
    </row>
    <row r="103" ht="15.75" customHeight="1">
      <c r="A103" s="39" t="s">
        <v>788</v>
      </c>
      <c r="B103" s="41" t="s">
        <v>789</v>
      </c>
      <c r="C103" s="31" t="s">
        <v>729</v>
      </c>
      <c r="D103" s="280">
        <v>0.0</v>
      </c>
      <c r="E103" s="281">
        <f>SUMIF(RM_Purchase_YTD!C:C,'RM Rollforward'!A103,RM_Purchase_YTD!E:E)</f>
        <v>0</v>
      </c>
      <c r="F103" s="281">
        <f>SUMIF(RM_InboundProd_YTD!B:B,'RM Rollforward'!A103,RM_InboundProd_YTD!D:D)</f>
        <v>0</v>
      </c>
      <c r="G103" s="282">
        <f>SUMIF(RM_Outbound_YTD!B:B,'RM Rollforward'!A103,RM_Outbound_YTD!D:D)</f>
        <v>0</v>
      </c>
      <c r="H103" s="283">
        <f t="shared" si="1"/>
        <v>0</v>
      </c>
      <c r="I103" s="307"/>
      <c r="J103" s="308">
        <v>150.0</v>
      </c>
      <c r="K103" s="286">
        <v>1.0</v>
      </c>
      <c r="L103" s="287">
        <f t="shared" si="4"/>
        <v>0</v>
      </c>
      <c r="M103" s="169"/>
    </row>
    <row r="104" ht="15.75" customHeight="1">
      <c r="A104" s="39" t="s">
        <v>790</v>
      </c>
      <c r="B104" s="41" t="s">
        <v>791</v>
      </c>
      <c r="C104" s="31" t="s">
        <v>729</v>
      </c>
      <c r="D104" s="280">
        <v>0.0</v>
      </c>
      <c r="E104" s="281">
        <f>SUMIF(RM_Purchase_YTD!C:C,'RM Rollforward'!A104,RM_Purchase_YTD!E:E)</f>
        <v>0</v>
      </c>
      <c r="F104" s="281">
        <f>SUMIF(RM_InboundProd_YTD!B:B,'RM Rollforward'!A104,RM_InboundProd_YTD!D:D)</f>
        <v>0</v>
      </c>
      <c r="G104" s="282">
        <f>SUMIF(RM_Outbound_YTD!B:B,'RM Rollforward'!A104,RM_Outbound_YTD!D:D)</f>
        <v>0</v>
      </c>
      <c r="H104" s="283">
        <f t="shared" si="1"/>
        <v>0</v>
      </c>
      <c r="I104" s="307"/>
      <c r="J104" s="308">
        <v>150.0</v>
      </c>
      <c r="K104" s="286">
        <v>1.0</v>
      </c>
      <c r="L104" s="287">
        <f t="shared" si="4"/>
        <v>0</v>
      </c>
      <c r="M104" s="169"/>
    </row>
    <row r="105" ht="15.75" customHeight="1">
      <c r="A105" s="39" t="s">
        <v>792</v>
      </c>
      <c r="B105" s="41" t="s">
        <v>793</v>
      </c>
      <c r="C105" s="31" t="s">
        <v>729</v>
      </c>
      <c r="D105" s="280">
        <v>0.0</v>
      </c>
      <c r="E105" s="281">
        <f>SUMIF(RM_Purchase_YTD!C:C,'RM Rollforward'!A105,RM_Purchase_YTD!E:E)</f>
        <v>0</v>
      </c>
      <c r="F105" s="281">
        <f>SUMIF(RM_InboundProd_YTD!B:B,'RM Rollforward'!A105,RM_InboundProd_YTD!D:D)</f>
        <v>0</v>
      </c>
      <c r="G105" s="282">
        <f>SUMIF(RM_Outbound_YTD!B:B,'RM Rollforward'!A105,RM_Outbound_YTD!D:D)</f>
        <v>0</v>
      </c>
      <c r="H105" s="283">
        <f t="shared" si="1"/>
        <v>0</v>
      </c>
      <c r="I105" s="307"/>
      <c r="J105" s="308">
        <v>150.0</v>
      </c>
      <c r="K105" s="286">
        <v>1.0</v>
      </c>
      <c r="L105" s="287">
        <f t="shared" si="4"/>
        <v>0</v>
      </c>
      <c r="M105" s="169"/>
    </row>
    <row r="106" ht="15.75" customHeight="1">
      <c r="A106" s="39" t="s">
        <v>794</v>
      </c>
      <c r="B106" s="41" t="s">
        <v>795</v>
      </c>
      <c r="C106" s="31" t="s">
        <v>729</v>
      </c>
      <c r="D106" s="280">
        <v>0.0</v>
      </c>
      <c r="E106" s="281">
        <f>SUMIF(RM_Purchase_YTD!C:C,'RM Rollforward'!A106,RM_Purchase_YTD!E:E)</f>
        <v>0</v>
      </c>
      <c r="F106" s="281">
        <f>SUMIF(RM_InboundProd_YTD!B:B,'RM Rollforward'!A106,RM_InboundProd_YTD!D:D)</f>
        <v>0</v>
      </c>
      <c r="G106" s="282">
        <f>SUMIF(RM_Outbound_YTD!B:B,'RM Rollforward'!A106,RM_Outbound_YTD!D:D)</f>
        <v>0</v>
      </c>
      <c r="H106" s="283">
        <f t="shared" si="1"/>
        <v>0</v>
      </c>
      <c r="I106" s="307"/>
      <c r="J106" s="308">
        <v>150.0</v>
      </c>
      <c r="K106" s="286">
        <v>1.0</v>
      </c>
      <c r="L106" s="287">
        <f t="shared" si="4"/>
        <v>0</v>
      </c>
      <c r="M106" s="169"/>
    </row>
    <row r="107" ht="15.75" customHeight="1">
      <c r="A107" s="39" t="s">
        <v>796</v>
      </c>
      <c r="B107" s="41" t="s">
        <v>797</v>
      </c>
      <c r="C107" s="31" t="s">
        <v>729</v>
      </c>
      <c r="D107" s="280">
        <v>0.0</v>
      </c>
      <c r="E107" s="281">
        <f>SUMIF(RM_Purchase_YTD!C:C,'RM Rollforward'!A107,RM_Purchase_YTD!E:E)</f>
        <v>0</v>
      </c>
      <c r="F107" s="281">
        <f>SUMIF(RM_InboundProd_YTD!B:B,'RM Rollforward'!A107,RM_InboundProd_YTD!D:D)</f>
        <v>0</v>
      </c>
      <c r="G107" s="282">
        <f>SUMIF(RM_Outbound_YTD!B:B,'RM Rollforward'!A107,RM_Outbound_YTD!D:D)</f>
        <v>0</v>
      </c>
      <c r="H107" s="283">
        <f t="shared" si="1"/>
        <v>0</v>
      </c>
      <c r="I107" s="307"/>
      <c r="J107" s="308">
        <v>150.0</v>
      </c>
      <c r="K107" s="286">
        <v>1.0</v>
      </c>
      <c r="L107" s="287">
        <f t="shared" si="4"/>
        <v>0</v>
      </c>
      <c r="M107" s="169"/>
    </row>
    <row r="108" ht="15.75" customHeight="1">
      <c r="A108" s="39" t="s">
        <v>798</v>
      </c>
      <c r="B108" s="41" t="s">
        <v>799</v>
      </c>
      <c r="C108" s="31" t="s">
        <v>729</v>
      </c>
      <c r="D108" s="280">
        <v>0.0</v>
      </c>
      <c r="E108" s="281">
        <f>SUMIF(RM_Purchase_YTD!C:C,'RM Rollforward'!A108,RM_Purchase_YTD!E:E)</f>
        <v>0</v>
      </c>
      <c r="F108" s="281">
        <f>SUMIF(RM_InboundProd_YTD!B:B,'RM Rollforward'!A108,RM_InboundProd_YTD!D:D)</f>
        <v>0</v>
      </c>
      <c r="G108" s="282">
        <f>SUMIF(RM_Outbound_YTD!B:B,'RM Rollforward'!A108,RM_Outbound_YTD!D:D)</f>
        <v>0</v>
      </c>
      <c r="H108" s="283">
        <f t="shared" si="1"/>
        <v>0</v>
      </c>
      <c r="I108" s="307"/>
      <c r="J108" s="308">
        <v>150.0</v>
      </c>
      <c r="K108" s="286">
        <v>1.0</v>
      </c>
      <c r="L108" s="287">
        <f t="shared" si="4"/>
        <v>0</v>
      </c>
      <c r="M108" s="169"/>
    </row>
    <row r="109" ht="15.75" customHeight="1">
      <c r="A109" s="39" t="s">
        <v>800</v>
      </c>
      <c r="B109" s="41" t="s">
        <v>801</v>
      </c>
      <c r="C109" s="31" t="s">
        <v>729</v>
      </c>
      <c r="D109" s="280">
        <v>0.0</v>
      </c>
      <c r="E109" s="281">
        <f>SUMIF(RM_Purchase_YTD!C:C,'RM Rollforward'!A109,RM_Purchase_YTD!E:E)</f>
        <v>0</v>
      </c>
      <c r="F109" s="281">
        <f>SUMIF(RM_InboundProd_YTD!B:B,'RM Rollforward'!A109,RM_InboundProd_YTD!D:D)</f>
        <v>0</v>
      </c>
      <c r="G109" s="282">
        <f>SUMIF(RM_Outbound_YTD!B:B,'RM Rollforward'!A109,RM_Outbound_YTD!D:D)</f>
        <v>0</v>
      </c>
      <c r="H109" s="283">
        <f t="shared" si="1"/>
        <v>0</v>
      </c>
      <c r="I109" s="307"/>
      <c r="J109" s="308">
        <v>150.0</v>
      </c>
      <c r="K109" s="286">
        <v>1.0</v>
      </c>
      <c r="L109" s="287">
        <f t="shared" si="4"/>
        <v>0</v>
      </c>
      <c r="M109" s="169"/>
    </row>
    <row r="110" ht="15.75" customHeight="1">
      <c r="A110" s="39" t="s">
        <v>231</v>
      </c>
      <c r="B110" s="41" t="s">
        <v>232</v>
      </c>
      <c r="C110" s="31" t="s">
        <v>729</v>
      </c>
      <c r="D110" s="280">
        <v>141.0</v>
      </c>
      <c r="E110" s="281">
        <f>SUMIF(RM_Purchase_YTD!C:C,'RM Rollforward'!A110,RM_Purchase_YTD!E:E)</f>
        <v>0</v>
      </c>
      <c r="F110" s="281">
        <f>SUMIF(RM_InboundProd_YTD!B:B,'RM Rollforward'!A110,RM_InboundProd_YTD!D:D)</f>
        <v>825</v>
      </c>
      <c r="G110" s="282">
        <f>SUMIF(RM_Outbound_YTD!B:B,'RM Rollforward'!A110,RM_Outbound_YTD!D:D)</f>
        <v>0</v>
      </c>
      <c r="H110" s="283">
        <f t="shared" si="1"/>
        <v>966</v>
      </c>
      <c r="I110" s="307"/>
      <c r="J110" s="308">
        <v>150.0</v>
      </c>
      <c r="K110" s="286">
        <v>1.0</v>
      </c>
      <c r="L110" s="287">
        <f t="shared" si="4"/>
        <v>144900</v>
      </c>
      <c r="M110" s="169"/>
    </row>
    <row r="111" ht="15.75" customHeight="1">
      <c r="A111" s="39" t="s">
        <v>802</v>
      </c>
      <c r="B111" s="41" t="s">
        <v>803</v>
      </c>
      <c r="C111" s="31" t="s">
        <v>729</v>
      </c>
      <c r="D111" s="280">
        <v>0.0</v>
      </c>
      <c r="E111" s="281">
        <f>SUMIF(RM_Purchase_YTD!C:C,'RM Rollforward'!A111,RM_Purchase_YTD!E:E)</f>
        <v>0</v>
      </c>
      <c r="F111" s="281">
        <f>SUMIF(RM_InboundProd_YTD!B:B,'RM Rollforward'!A111,RM_InboundProd_YTD!D:D)</f>
        <v>0</v>
      </c>
      <c r="G111" s="282">
        <f>SUMIF(RM_Outbound_YTD!B:B,'RM Rollforward'!A111,RM_Outbound_YTD!D:D)</f>
        <v>0</v>
      </c>
      <c r="H111" s="283">
        <f t="shared" si="1"/>
        <v>0</v>
      </c>
      <c r="I111" s="307"/>
      <c r="J111" s="308">
        <v>70.0</v>
      </c>
      <c r="K111" s="286">
        <v>1.0</v>
      </c>
      <c r="L111" s="287">
        <f t="shared" si="4"/>
        <v>0</v>
      </c>
      <c r="M111" s="169"/>
    </row>
    <row r="112" ht="15.75" customHeight="1">
      <c r="A112" s="39" t="s">
        <v>804</v>
      </c>
      <c r="B112" s="41" t="s">
        <v>805</v>
      </c>
      <c r="C112" s="31" t="s">
        <v>729</v>
      </c>
      <c r="D112" s="280">
        <v>62.0</v>
      </c>
      <c r="E112" s="281">
        <f>SUMIF(RM_Purchase_YTD!C:C,'RM Rollforward'!A112,RM_Purchase_YTD!E:E)</f>
        <v>0</v>
      </c>
      <c r="F112" s="281">
        <f>SUMIF(RM_InboundProd_YTD!B:B,'RM Rollforward'!A112,RM_InboundProd_YTD!D:D)</f>
        <v>0</v>
      </c>
      <c r="G112" s="282">
        <f>SUMIF(RM_Outbound_YTD!B:B,'RM Rollforward'!A112,RM_Outbound_YTD!D:D)</f>
        <v>0</v>
      </c>
      <c r="H112" s="283">
        <f t="shared" si="1"/>
        <v>62</v>
      </c>
      <c r="I112" s="307"/>
      <c r="J112" s="308">
        <v>70.0</v>
      </c>
      <c r="K112" s="286">
        <v>1.0</v>
      </c>
      <c r="L112" s="287">
        <f t="shared" si="4"/>
        <v>4340</v>
      </c>
      <c r="M112" s="169"/>
    </row>
    <row r="113" ht="15.75" customHeight="1">
      <c r="A113" s="39" t="s">
        <v>252</v>
      </c>
      <c r="B113" s="41" t="s">
        <v>253</v>
      </c>
      <c r="C113" s="31" t="s">
        <v>729</v>
      </c>
      <c r="D113" s="280">
        <v>625.0</v>
      </c>
      <c r="E113" s="281">
        <f>SUMIF(RM_Purchase_YTD!C:C,'RM Rollforward'!A113,RM_Purchase_YTD!E:E)</f>
        <v>0</v>
      </c>
      <c r="F113" s="281">
        <f>SUMIF(RM_InboundProd_YTD!B:B,'RM Rollforward'!A113,RM_InboundProd_YTD!D:D)</f>
        <v>2289</v>
      </c>
      <c r="G113" s="282">
        <f>SUMIF(RM_Outbound_YTD!B:B,'RM Rollforward'!A113,RM_Outbound_YTD!D:D)</f>
        <v>2045</v>
      </c>
      <c r="H113" s="283">
        <f t="shared" si="1"/>
        <v>869</v>
      </c>
      <c r="I113" s="307"/>
      <c r="J113" s="308">
        <v>70.0</v>
      </c>
      <c r="K113" s="286">
        <v>1.0</v>
      </c>
      <c r="L113" s="287">
        <f t="shared" si="4"/>
        <v>60830</v>
      </c>
      <c r="M113" s="169"/>
    </row>
    <row r="114" ht="15.75" customHeight="1">
      <c r="A114" s="39" t="s">
        <v>268</v>
      </c>
      <c r="B114" s="41" t="s">
        <v>269</v>
      </c>
      <c r="C114" s="31" t="s">
        <v>729</v>
      </c>
      <c r="D114" s="280">
        <v>0.0</v>
      </c>
      <c r="E114" s="281">
        <f>SUMIF(RM_Purchase_YTD!C:C,'RM Rollforward'!A114,RM_Purchase_YTD!E:E)</f>
        <v>0</v>
      </c>
      <c r="F114" s="281">
        <f>SUMIF(RM_InboundProd_YTD!B:B,'RM Rollforward'!A114,RM_InboundProd_YTD!D:D)</f>
        <v>35</v>
      </c>
      <c r="G114" s="282">
        <f>SUMIF(RM_Outbound_YTD!B:B,'RM Rollforward'!A114,RM_Outbound_YTD!D:D)</f>
        <v>35</v>
      </c>
      <c r="H114" s="283">
        <f t="shared" si="1"/>
        <v>0</v>
      </c>
      <c r="I114" s="307"/>
      <c r="J114" s="308">
        <v>70.0</v>
      </c>
      <c r="K114" s="286">
        <v>1.0</v>
      </c>
      <c r="L114" s="287">
        <f t="shared" si="4"/>
        <v>0</v>
      </c>
      <c r="M114" s="169"/>
    </row>
    <row r="115" ht="15.75" customHeight="1">
      <c r="A115" s="39" t="s">
        <v>240</v>
      </c>
      <c r="B115" s="41" t="s">
        <v>241</v>
      </c>
      <c r="C115" s="31" t="s">
        <v>729</v>
      </c>
      <c r="D115" s="280">
        <v>365.0</v>
      </c>
      <c r="E115" s="281">
        <f>SUMIF(RM_Purchase_YTD!C:C,'RM Rollforward'!A115,RM_Purchase_YTD!E:E)</f>
        <v>0</v>
      </c>
      <c r="F115" s="281">
        <f>SUMIF(RM_InboundProd_YTD!B:B,'RM Rollforward'!A115,RM_InboundProd_YTD!D:D)</f>
        <v>2183</v>
      </c>
      <c r="G115" s="282">
        <f>SUMIF(RM_Outbound_YTD!B:B,'RM Rollforward'!A115,RM_Outbound_YTD!D:D)</f>
        <v>1763</v>
      </c>
      <c r="H115" s="283">
        <f t="shared" si="1"/>
        <v>785</v>
      </c>
      <c r="I115" s="307"/>
      <c r="J115" s="308">
        <v>70.0</v>
      </c>
      <c r="K115" s="286">
        <v>1.0</v>
      </c>
      <c r="L115" s="287">
        <f t="shared" si="4"/>
        <v>54950</v>
      </c>
      <c r="M115" s="169"/>
    </row>
    <row r="116" ht="15.75" customHeight="1">
      <c r="A116" s="39" t="s">
        <v>806</v>
      </c>
      <c r="B116" s="41" t="s">
        <v>807</v>
      </c>
      <c r="C116" s="31" t="s">
        <v>729</v>
      </c>
      <c r="D116" s="280">
        <v>179.0</v>
      </c>
      <c r="E116" s="281">
        <f>SUMIF(RM_Purchase_YTD!C:C,'RM Rollforward'!A116,RM_Purchase_YTD!E:E)</f>
        <v>0</v>
      </c>
      <c r="F116" s="281">
        <f>SUMIF(RM_InboundProd_YTD!B:B,'RM Rollforward'!A116,RM_InboundProd_YTD!D:D)</f>
        <v>0</v>
      </c>
      <c r="G116" s="282">
        <f>SUMIF(RM_Outbound_YTD!B:B,'RM Rollforward'!A116,RM_Outbound_YTD!D:D)</f>
        <v>0</v>
      </c>
      <c r="H116" s="283">
        <f t="shared" si="1"/>
        <v>179</v>
      </c>
      <c r="I116" s="307"/>
      <c r="J116" s="308">
        <v>70.0</v>
      </c>
      <c r="K116" s="286">
        <v>1.0</v>
      </c>
      <c r="L116" s="287">
        <f t="shared" si="4"/>
        <v>12530</v>
      </c>
      <c r="M116" s="169"/>
    </row>
    <row r="117" ht="15.75" customHeight="1">
      <c r="A117" s="39" t="s">
        <v>258</v>
      </c>
      <c r="B117" s="41" t="s">
        <v>259</v>
      </c>
      <c r="C117" s="31" t="s">
        <v>729</v>
      </c>
      <c r="D117" s="280">
        <v>77.0</v>
      </c>
      <c r="E117" s="281">
        <f>SUMIF(RM_Purchase_YTD!C:C,'RM Rollforward'!A117,RM_Purchase_YTD!E:E)</f>
        <v>0</v>
      </c>
      <c r="F117" s="281">
        <f>SUMIF(RM_InboundProd_YTD!B:B,'RM Rollforward'!A117,RM_InboundProd_YTD!D:D)</f>
        <v>1960</v>
      </c>
      <c r="G117" s="282">
        <f>SUMIF(RM_Outbound_YTD!B:B,'RM Rollforward'!A117,RM_Outbound_YTD!D:D)</f>
        <v>1458</v>
      </c>
      <c r="H117" s="283">
        <f t="shared" si="1"/>
        <v>579</v>
      </c>
      <c r="I117" s="307"/>
      <c r="J117" s="308">
        <v>70.0</v>
      </c>
      <c r="K117" s="286">
        <v>1.0</v>
      </c>
      <c r="L117" s="287">
        <f t="shared" si="4"/>
        <v>40530</v>
      </c>
      <c r="M117" s="169"/>
    </row>
    <row r="118" ht="15.75" customHeight="1">
      <c r="A118" s="39" t="s">
        <v>254</v>
      </c>
      <c r="B118" s="41" t="s">
        <v>255</v>
      </c>
      <c r="C118" s="31" t="s">
        <v>729</v>
      </c>
      <c r="D118" s="280">
        <v>150.0</v>
      </c>
      <c r="E118" s="281">
        <f>SUMIF(RM_Purchase_YTD!C:C,'RM Rollforward'!A118,RM_Purchase_YTD!E:E)</f>
        <v>0</v>
      </c>
      <c r="F118" s="281">
        <f>SUMIF(RM_InboundProd_YTD!B:B,'RM Rollforward'!A118,RM_InboundProd_YTD!D:D)</f>
        <v>1197</v>
      </c>
      <c r="G118" s="282">
        <f>SUMIF(RM_Outbound_YTD!B:B,'RM Rollforward'!A118,RM_Outbound_YTD!D:D)</f>
        <v>1169</v>
      </c>
      <c r="H118" s="283">
        <f t="shared" si="1"/>
        <v>178</v>
      </c>
      <c r="I118" s="307"/>
      <c r="J118" s="308">
        <v>70.0</v>
      </c>
      <c r="K118" s="286">
        <v>1.0</v>
      </c>
      <c r="L118" s="287">
        <f t="shared" si="4"/>
        <v>12460</v>
      </c>
      <c r="M118" s="169"/>
    </row>
    <row r="119" ht="15.75" customHeight="1">
      <c r="A119" s="130" t="s">
        <v>808</v>
      </c>
      <c r="B119" s="130" t="s">
        <v>809</v>
      </c>
      <c r="C119" s="130" t="s">
        <v>729</v>
      </c>
      <c r="D119" s="280">
        <v>0.0</v>
      </c>
      <c r="E119" s="281">
        <f>SUMIF(RM_Purchase_YTD!C:C,'RM Rollforward'!A119,RM_Purchase_YTD!E:E)</f>
        <v>0</v>
      </c>
      <c r="F119" s="281">
        <f>SUMIF(RM_InboundProd_YTD!B:B,'RM Rollforward'!A119,RM_InboundProd_YTD!D:D)</f>
        <v>0</v>
      </c>
      <c r="G119" s="282">
        <f>SUMIF(RM_Outbound_YTD!B:B,'RM Rollforward'!A119,RM_Outbound_YTD!D:D)</f>
        <v>0</v>
      </c>
      <c r="H119" s="283">
        <f t="shared" si="1"/>
        <v>0</v>
      </c>
      <c r="I119" s="284"/>
      <c r="J119" s="285">
        <v>70.0</v>
      </c>
      <c r="K119" s="286">
        <v>1.0</v>
      </c>
      <c r="L119" s="287">
        <f t="shared" si="4"/>
        <v>0</v>
      </c>
      <c r="M119" s="306"/>
      <c r="N119" s="101"/>
      <c r="O119" s="101"/>
      <c r="P119" s="101"/>
      <c r="Q119" s="101"/>
      <c r="R119" s="101"/>
      <c r="S119" s="101"/>
      <c r="T119" s="101"/>
      <c r="U119" s="101"/>
      <c r="V119" s="101"/>
    </row>
    <row r="120" ht="15.75" customHeight="1">
      <c r="A120" s="130" t="s">
        <v>810</v>
      </c>
      <c r="B120" s="130" t="s">
        <v>811</v>
      </c>
      <c r="C120" s="130" t="s">
        <v>729</v>
      </c>
      <c r="D120" s="280">
        <v>0.0</v>
      </c>
      <c r="E120" s="281">
        <f>SUMIF(RM_Purchase_YTD!C:C,'RM Rollforward'!A120,RM_Purchase_YTD!E:E)</f>
        <v>0</v>
      </c>
      <c r="F120" s="281">
        <f>SUMIF(RM_InboundProd_YTD!B:B,'RM Rollforward'!A120,RM_InboundProd_YTD!D:D)</f>
        <v>0</v>
      </c>
      <c r="G120" s="282">
        <f>SUMIF(RM_Outbound_YTD!B:B,'RM Rollforward'!A120,RM_Outbound_YTD!D:D)</f>
        <v>0</v>
      </c>
      <c r="H120" s="283">
        <f t="shared" si="1"/>
        <v>0</v>
      </c>
      <c r="I120" s="284"/>
      <c r="J120" s="285">
        <v>70.0</v>
      </c>
      <c r="K120" s="286">
        <v>1.0</v>
      </c>
      <c r="L120" s="287">
        <f t="shared" si="4"/>
        <v>0</v>
      </c>
      <c r="M120" s="306"/>
      <c r="N120" s="101"/>
      <c r="O120" s="101"/>
      <c r="P120" s="101"/>
      <c r="Q120" s="101"/>
      <c r="R120" s="101"/>
      <c r="S120" s="101"/>
      <c r="T120" s="101"/>
      <c r="U120" s="101"/>
      <c r="V120" s="101"/>
    </row>
    <row r="121" ht="15.75" customHeight="1">
      <c r="A121" s="130" t="s">
        <v>242</v>
      </c>
      <c r="B121" s="130" t="s">
        <v>243</v>
      </c>
      <c r="C121" s="130" t="s">
        <v>729</v>
      </c>
      <c r="D121" s="280">
        <v>455.0</v>
      </c>
      <c r="E121" s="281">
        <f>SUMIF(RM_Purchase_YTD!C:C,'RM Rollforward'!A121,RM_Purchase_YTD!E:E)</f>
        <v>0</v>
      </c>
      <c r="F121" s="281">
        <f>SUMIF(RM_InboundProd_YTD!B:B,'RM Rollforward'!A121,RM_InboundProd_YTD!D:D)</f>
        <v>2232</v>
      </c>
      <c r="G121" s="282">
        <f>SUMIF(RM_Outbound_YTD!B:B,'RM Rollforward'!A121,RM_Outbound_YTD!D:D)</f>
        <v>1839</v>
      </c>
      <c r="H121" s="283">
        <f t="shared" si="1"/>
        <v>848</v>
      </c>
      <c r="I121" s="284"/>
      <c r="J121" s="285">
        <v>70.0</v>
      </c>
      <c r="K121" s="286">
        <v>1.0</v>
      </c>
      <c r="L121" s="287">
        <f t="shared" si="4"/>
        <v>59360</v>
      </c>
      <c r="M121" s="169"/>
    </row>
    <row r="122" ht="15.75" customHeight="1">
      <c r="A122" s="130" t="s">
        <v>266</v>
      </c>
      <c r="B122" s="130" t="s">
        <v>267</v>
      </c>
      <c r="C122" s="130" t="s">
        <v>729</v>
      </c>
      <c r="D122" s="280">
        <v>220.0</v>
      </c>
      <c r="E122" s="281">
        <f>SUMIF(RM_Purchase_YTD!C:C,'RM Rollforward'!A122,RM_Purchase_YTD!E:E)</f>
        <v>0</v>
      </c>
      <c r="F122" s="281">
        <f>SUMIF(RM_InboundProd_YTD!B:B,'RM Rollforward'!A122,RM_InboundProd_YTD!D:D)</f>
        <v>251</v>
      </c>
      <c r="G122" s="282">
        <f>SUMIF(RM_Outbound_YTD!B:B,'RM Rollforward'!A122,RM_Outbound_YTD!D:D)</f>
        <v>123</v>
      </c>
      <c r="H122" s="283">
        <f t="shared" si="1"/>
        <v>348</v>
      </c>
      <c r="I122" s="284"/>
      <c r="J122" s="285">
        <v>70.0</v>
      </c>
      <c r="K122" s="286">
        <v>1.0</v>
      </c>
      <c r="L122" s="287">
        <f t="shared" si="4"/>
        <v>24360</v>
      </c>
      <c r="M122" s="169"/>
    </row>
    <row r="123" ht="15.75" customHeight="1">
      <c r="A123" s="130" t="s">
        <v>246</v>
      </c>
      <c r="B123" s="130" t="s">
        <v>247</v>
      </c>
      <c r="C123" s="130" t="s">
        <v>729</v>
      </c>
      <c r="D123" s="280">
        <v>0.0</v>
      </c>
      <c r="E123" s="281">
        <f>SUMIF(RM_Purchase_YTD!C:C,'RM Rollforward'!A123,RM_Purchase_YTD!E:E)</f>
        <v>0</v>
      </c>
      <c r="F123" s="281">
        <f>SUMIF(RM_InboundProd_YTD!B:B,'RM Rollforward'!A123,RM_InboundProd_YTD!D:D)</f>
        <v>201</v>
      </c>
      <c r="G123" s="282">
        <f>SUMIF(RM_Outbound_YTD!B:B,'RM Rollforward'!A123,RM_Outbound_YTD!D:D)</f>
        <v>119</v>
      </c>
      <c r="H123" s="283">
        <f t="shared" si="1"/>
        <v>82</v>
      </c>
      <c r="I123" s="284"/>
      <c r="J123" s="285">
        <v>70.0</v>
      </c>
      <c r="K123" s="286">
        <v>1.0</v>
      </c>
      <c r="L123" s="287">
        <f t="shared" si="4"/>
        <v>5740</v>
      </c>
      <c r="M123" s="169"/>
    </row>
    <row r="124" ht="15.75" customHeight="1">
      <c r="A124" s="130" t="s">
        <v>812</v>
      </c>
      <c r="B124" s="130" t="s">
        <v>813</v>
      </c>
      <c r="C124" s="130" t="s">
        <v>729</v>
      </c>
      <c r="D124" s="280">
        <v>27.0</v>
      </c>
      <c r="E124" s="281">
        <f>SUMIF(RM_Purchase_YTD!C:C,'RM Rollforward'!A124,RM_Purchase_YTD!E:E)</f>
        <v>0</v>
      </c>
      <c r="F124" s="281">
        <f>SUMIF(RM_InboundProd_YTD!B:B,'RM Rollforward'!A124,RM_InboundProd_YTD!D:D)</f>
        <v>0</v>
      </c>
      <c r="G124" s="282">
        <f>SUMIF(RM_Outbound_YTD!B:B,'RM Rollforward'!A124,RM_Outbound_YTD!D:D)</f>
        <v>0</v>
      </c>
      <c r="H124" s="283">
        <f t="shared" si="1"/>
        <v>27</v>
      </c>
      <c r="I124" s="284"/>
      <c r="J124" s="285">
        <v>70.0</v>
      </c>
      <c r="K124" s="286">
        <v>1.0</v>
      </c>
      <c r="L124" s="287">
        <f t="shared" si="4"/>
        <v>1890</v>
      </c>
      <c r="M124" s="169"/>
    </row>
    <row r="125" ht="15.75" customHeight="1">
      <c r="A125" s="130" t="s">
        <v>248</v>
      </c>
      <c r="B125" s="130" t="s">
        <v>249</v>
      </c>
      <c r="C125" s="130" t="s">
        <v>729</v>
      </c>
      <c r="D125" s="280">
        <v>0.0</v>
      </c>
      <c r="E125" s="281">
        <f>SUMIF(RM_Purchase_YTD!C:C,'RM Rollforward'!A125,RM_Purchase_YTD!E:E)</f>
        <v>0</v>
      </c>
      <c r="F125" s="281">
        <f>SUMIF(RM_InboundProd_YTD!B:B,'RM Rollforward'!A125,RM_InboundProd_YTD!D:D)</f>
        <v>964</v>
      </c>
      <c r="G125" s="282">
        <f>SUMIF(RM_Outbound_YTD!B:B,'RM Rollforward'!A125,RM_Outbound_YTD!D:D)</f>
        <v>712</v>
      </c>
      <c r="H125" s="283">
        <f t="shared" si="1"/>
        <v>252</v>
      </c>
      <c r="I125" s="284"/>
      <c r="J125" s="285">
        <v>70.0</v>
      </c>
      <c r="K125" s="286">
        <v>1.0</v>
      </c>
      <c r="L125" s="287">
        <f t="shared" si="4"/>
        <v>17640</v>
      </c>
      <c r="M125" s="169"/>
    </row>
    <row r="126" ht="15.75" customHeight="1">
      <c r="A126" s="130" t="s">
        <v>264</v>
      </c>
      <c r="B126" s="130" t="s">
        <v>265</v>
      </c>
      <c r="C126" s="130" t="s">
        <v>729</v>
      </c>
      <c r="D126" s="280">
        <v>115.0</v>
      </c>
      <c r="E126" s="281">
        <f>SUMIF(RM_Purchase_YTD!C:C,'RM Rollforward'!A126,RM_Purchase_YTD!E:E)</f>
        <v>0</v>
      </c>
      <c r="F126" s="281">
        <f>SUMIF(RM_InboundProd_YTD!B:B,'RM Rollforward'!A126,RM_InboundProd_YTD!D:D)</f>
        <v>377</v>
      </c>
      <c r="G126" s="282">
        <f>SUMIF(RM_Outbound_YTD!B:B,'RM Rollforward'!A126,RM_Outbound_YTD!D:D)</f>
        <v>360</v>
      </c>
      <c r="H126" s="283">
        <f t="shared" si="1"/>
        <v>132</v>
      </c>
      <c r="I126" s="284"/>
      <c r="J126" s="285">
        <v>70.0</v>
      </c>
      <c r="K126" s="286">
        <v>1.0</v>
      </c>
      <c r="L126" s="287">
        <f t="shared" si="4"/>
        <v>9240</v>
      </c>
      <c r="M126" s="169"/>
    </row>
    <row r="127" ht="15.75" customHeight="1">
      <c r="A127" s="130" t="s">
        <v>814</v>
      </c>
      <c r="B127" s="130" t="s">
        <v>815</v>
      </c>
      <c r="C127" s="130" t="s">
        <v>729</v>
      </c>
      <c r="D127" s="280">
        <v>0.0</v>
      </c>
      <c r="E127" s="281">
        <f>SUMIF(RM_Purchase_YTD!C:C,'RM Rollforward'!A127,RM_Purchase_YTD!E:E)</f>
        <v>0</v>
      </c>
      <c r="F127" s="281">
        <f>SUMIF(RM_InboundProd_YTD!B:B,'RM Rollforward'!A127,RM_InboundProd_YTD!D:D)</f>
        <v>0</v>
      </c>
      <c r="G127" s="282">
        <f>SUMIF(RM_Outbound_YTD!B:B,'RM Rollforward'!A127,RM_Outbound_YTD!D:D)</f>
        <v>0</v>
      </c>
      <c r="H127" s="283">
        <f t="shared" si="1"/>
        <v>0</v>
      </c>
      <c r="I127" s="284"/>
      <c r="J127" s="285">
        <v>70.0</v>
      </c>
      <c r="K127" s="286">
        <v>1.0</v>
      </c>
      <c r="L127" s="287">
        <f t="shared" si="4"/>
        <v>0</v>
      </c>
      <c r="M127" s="169"/>
    </row>
    <row r="128" ht="15.75" customHeight="1">
      <c r="A128" s="130" t="s">
        <v>270</v>
      </c>
      <c r="B128" s="130" t="s">
        <v>271</v>
      </c>
      <c r="C128" s="130" t="s">
        <v>729</v>
      </c>
      <c r="D128" s="280">
        <v>0.0</v>
      </c>
      <c r="E128" s="281">
        <f>SUMIF(RM_Purchase_YTD!C:C,'RM Rollforward'!A128,RM_Purchase_YTD!E:E)</f>
        <v>0</v>
      </c>
      <c r="F128" s="281">
        <f>SUMIF(RM_InboundProd_YTD!B:B,'RM Rollforward'!A128,RM_InboundProd_YTD!D:D)</f>
        <v>56</v>
      </c>
      <c r="G128" s="282">
        <f>SUMIF(RM_Outbound_YTD!B:B,'RM Rollforward'!A128,RM_Outbound_YTD!D:D)</f>
        <v>0</v>
      </c>
      <c r="H128" s="283">
        <f t="shared" si="1"/>
        <v>56</v>
      </c>
      <c r="I128" s="284"/>
      <c r="J128" s="285">
        <v>70.0</v>
      </c>
      <c r="K128" s="286">
        <v>1.0</v>
      </c>
      <c r="L128" s="287">
        <f t="shared" si="4"/>
        <v>3920</v>
      </c>
      <c r="M128" s="169"/>
    </row>
    <row r="129" ht="15.75" customHeight="1">
      <c r="A129" s="130" t="s">
        <v>816</v>
      </c>
      <c r="B129" s="130" t="s">
        <v>817</v>
      </c>
      <c r="C129" s="130" t="s">
        <v>729</v>
      </c>
      <c r="D129" s="280">
        <v>0.0</v>
      </c>
      <c r="E129" s="281">
        <f>SUMIF(RM_Purchase_YTD!C:C,'RM Rollforward'!A129,RM_Purchase_YTD!E:E)</f>
        <v>0</v>
      </c>
      <c r="F129" s="281">
        <f>SUMIF(RM_InboundProd_YTD!B:B,'RM Rollforward'!A129,RM_InboundProd_YTD!D:D)</f>
        <v>0</v>
      </c>
      <c r="G129" s="282">
        <f>SUMIF(RM_Outbound_YTD!B:B,'RM Rollforward'!A129,RM_Outbound_YTD!D:D)</f>
        <v>0</v>
      </c>
      <c r="H129" s="283">
        <f t="shared" si="1"/>
        <v>0</v>
      </c>
      <c r="I129" s="284"/>
      <c r="J129" s="285">
        <v>70.0</v>
      </c>
      <c r="K129" s="286">
        <v>1.0</v>
      </c>
      <c r="L129" s="287">
        <f t="shared" si="4"/>
        <v>0</v>
      </c>
      <c r="M129" s="169"/>
    </row>
    <row r="130" ht="15.0" customHeight="1">
      <c r="A130" s="130" t="s">
        <v>818</v>
      </c>
      <c r="B130" s="130" t="s">
        <v>819</v>
      </c>
      <c r="C130" s="130" t="s">
        <v>729</v>
      </c>
      <c r="D130" s="280">
        <v>0.0</v>
      </c>
      <c r="E130" s="281">
        <f>SUMIF(RM_Purchase_YTD!C:C,'RM Rollforward'!A130,RM_Purchase_YTD!E:E)</f>
        <v>0</v>
      </c>
      <c r="F130" s="281">
        <f>SUMIF(RM_InboundProd_YTD!B:B,'RM Rollforward'!A130,RM_InboundProd_YTD!D:D)</f>
        <v>0</v>
      </c>
      <c r="G130" s="282">
        <f>SUMIF(RM_Outbound_YTD!B:B,'RM Rollforward'!A130,RM_Outbound_YTD!D:D)</f>
        <v>0</v>
      </c>
      <c r="H130" s="283">
        <f t="shared" si="1"/>
        <v>0</v>
      </c>
      <c r="I130" s="284"/>
      <c r="J130" s="285">
        <v>70.0</v>
      </c>
      <c r="K130" s="286">
        <v>1.0</v>
      </c>
      <c r="L130" s="287">
        <f t="shared" si="4"/>
        <v>0</v>
      </c>
      <c r="M130" s="169"/>
    </row>
    <row r="131" ht="15.75" customHeight="1">
      <c r="A131" s="130" t="s">
        <v>820</v>
      </c>
      <c r="B131" s="130" t="s">
        <v>821</v>
      </c>
      <c r="C131" s="130" t="s">
        <v>729</v>
      </c>
      <c r="D131" s="280">
        <v>0.0</v>
      </c>
      <c r="E131" s="281">
        <f>SUMIF(RM_Purchase_YTD!C:C,'RM Rollforward'!A131,RM_Purchase_YTD!E:E)</f>
        <v>0</v>
      </c>
      <c r="F131" s="281">
        <f>SUMIF(RM_InboundProd_YTD!B:B,'RM Rollforward'!A131,RM_InboundProd_YTD!D:D)</f>
        <v>0</v>
      </c>
      <c r="G131" s="282">
        <f>SUMIF(RM_Outbound_YTD!B:B,'RM Rollforward'!A131,RM_Outbound_YTD!D:D)</f>
        <v>0</v>
      </c>
      <c r="H131" s="283">
        <f t="shared" si="1"/>
        <v>0</v>
      </c>
      <c r="I131" s="284"/>
      <c r="J131" s="285">
        <v>70.0</v>
      </c>
      <c r="K131" s="286">
        <v>1.0</v>
      </c>
      <c r="L131" s="287">
        <f t="shared" si="4"/>
        <v>0</v>
      </c>
      <c r="M131" s="169"/>
    </row>
    <row r="132" ht="15.75" customHeight="1">
      <c r="A132" s="130" t="s">
        <v>822</v>
      </c>
      <c r="B132" s="130" t="s">
        <v>823</v>
      </c>
      <c r="C132" s="130" t="s">
        <v>729</v>
      </c>
      <c r="D132" s="280">
        <v>178.0</v>
      </c>
      <c r="E132" s="281">
        <f>SUMIF(RM_Purchase_YTD!C:C,'RM Rollforward'!A132,RM_Purchase_YTD!E:E)</f>
        <v>0</v>
      </c>
      <c r="F132" s="281">
        <f>SUMIF(RM_InboundProd_YTD!B:B,'RM Rollforward'!A132,RM_InboundProd_YTD!D:D)</f>
        <v>0</v>
      </c>
      <c r="G132" s="282">
        <f>SUMIF(RM_Outbound_YTD!B:B,'RM Rollforward'!A132,RM_Outbound_YTD!D:D)</f>
        <v>0</v>
      </c>
      <c r="H132" s="283">
        <f t="shared" si="1"/>
        <v>178</v>
      </c>
      <c r="I132" s="284"/>
      <c r="J132" s="285">
        <v>70.0</v>
      </c>
      <c r="K132" s="286">
        <v>1.0</v>
      </c>
      <c r="L132" s="287">
        <f t="shared" si="4"/>
        <v>12460</v>
      </c>
      <c r="M132" s="169"/>
    </row>
    <row r="133" ht="15.75" customHeight="1">
      <c r="A133" s="130" t="s">
        <v>824</v>
      </c>
      <c r="B133" s="130" t="s">
        <v>825</v>
      </c>
      <c r="C133" s="130" t="s">
        <v>729</v>
      </c>
      <c r="D133" s="280">
        <v>0.0</v>
      </c>
      <c r="E133" s="281">
        <f>SUMIF(RM_Purchase_YTD!C:C,'RM Rollforward'!A133,RM_Purchase_YTD!E:E)</f>
        <v>0</v>
      </c>
      <c r="F133" s="281">
        <f>SUMIF(RM_InboundProd_YTD!B:B,'RM Rollforward'!A133,RM_InboundProd_YTD!D:D)</f>
        <v>0</v>
      </c>
      <c r="G133" s="282">
        <f>SUMIF(RM_Outbound_YTD!B:B,'RM Rollforward'!A133,RM_Outbound_YTD!D:D)</f>
        <v>0</v>
      </c>
      <c r="H133" s="283">
        <f t="shared" si="1"/>
        <v>0</v>
      </c>
      <c r="I133" s="284"/>
      <c r="J133" s="285">
        <v>70.0</v>
      </c>
      <c r="K133" s="286">
        <v>1.0</v>
      </c>
      <c r="L133" s="287">
        <f t="shared" si="4"/>
        <v>0</v>
      </c>
      <c r="M133" s="169"/>
    </row>
    <row r="134" ht="15.75" customHeight="1">
      <c r="A134" s="130" t="s">
        <v>826</v>
      </c>
      <c r="B134" s="130" t="s">
        <v>827</v>
      </c>
      <c r="C134" s="130" t="s">
        <v>729</v>
      </c>
      <c r="D134" s="280">
        <v>0.0</v>
      </c>
      <c r="E134" s="281">
        <f>SUMIF(RM_Purchase_YTD!C:C,'RM Rollforward'!A134,RM_Purchase_YTD!E:E)</f>
        <v>0</v>
      </c>
      <c r="F134" s="281">
        <f>SUMIF(RM_InboundProd_YTD!B:B,'RM Rollforward'!A134,RM_InboundProd_YTD!D:D)</f>
        <v>0</v>
      </c>
      <c r="G134" s="282">
        <f>SUMIF(RM_Outbound_YTD!B:B,'RM Rollforward'!A134,RM_Outbound_YTD!D:D)</f>
        <v>0</v>
      </c>
      <c r="H134" s="283">
        <f t="shared" si="1"/>
        <v>0</v>
      </c>
      <c r="I134" s="284"/>
      <c r="J134" s="285">
        <v>70.0</v>
      </c>
      <c r="K134" s="286">
        <v>1.0</v>
      </c>
      <c r="L134" s="287">
        <f t="shared" si="4"/>
        <v>0</v>
      </c>
      <c r="M134" s="169"/>
    </row>
    <row r="135" ht="15.75" customHeight="1">
      <c r="A135" s="130" t="s">
        <v>828</v>
      </c>
      <c r="B135" s="130" t="s">
        <v>829</v>
      </c>
      <c r="C135" s="130" t="s">
        <v>729</v>
      </c>
      <c r="D135" s="280">
        <v>0.0</v>
      </c>
      <c r="E135" s="281">
        <f>SUMIF(RM_Purchase_YTD!C:C,'RM Rollforward'!A135,RM_Purchase_YTD!E:E)</f>
        <v>0</v>
      </c>
      <c r="F135" s="281">
        <f>SUMIF(RM_InboundProd_YTD!B:B,'RM Rollforward'!A135,RM_InboundProd_YTD!D:D)</f>
        <v>0</v>
      </c>
      <c r="G135" s="282">
        <f>SUMIF(RM_Outbound_YTD!B:B,'RM Rollforward'!A135,RM_Outbound_YTD!D:D)</f>
        <v>0</v>
      </c>
      <c r="H135" s="283">
        <f t="shared" si="1"/>
        <v>0</v>
      </c>
      <c r="I135" s="284"/>
      <c r="J135" s="285">
        <v>70.0</v>
      </c>
      <c r="K135" s="286">
        <v>1.0</v>
      </c>
      <c r="L135" s="287">
        <f t="shared" si="4"/>
        <v>0</v>
      </c>
      <c r="M135" s="169"/>
    </row>
    <row r="136" ht="15.75" customHeight="1">
      <c r="A136" s="130" t="s">
        <v>830</v>
      </c>
      <c r="B136" s="130" t="s">
        <v>831</v>
      </c>
      <c r="C136" s="130" t="s">
        <v>729</v>
      </c>
      <c r="D136" s="280">
        <v>77.0</v>
      </c>
      <c r="E136" s="281">
        <f>SUMIF(RM_Purchase_YTD!C:C,'RM Rollforward'!A136,RM_Purchase_YTD!E:E)</f>
        <v>0</v>
      </c>
      <c r="F136" s="281">
        <f>SUMIF(RM_InboundProd_YTD!B:B,'RM Rollforward'!A136,RM_InboundProd_YTD!D:D)</f>
        <v>0</v>
      </c>
      <c r="G136" s="282">
        <f>SUMIF(RM_Outbound_YTD!B:B,'RM Rollforward'!A136,RM_Outbound_YTD!D:D)</f>
        <v>0</v>
      </c>
      <c r="H136" s="283">
        <f t="shared" si="1"/>
        <v>77</v>
      </c>
      <c r="I136" s="284"/>
      <c r="J136" s="285">
        <v>70.0</v>
      </c>
      <c r="K136" s="286">
        <v>1.0</v>
      </c>
      <c r="L136" s="287">
        <f t="shared" si="4"/>
        <v>5390</v>
      </c>
      <c r="M136" s="169"/>
    </row>
    <row r="137" ht="15.75" customHeight="1">
      <c r="A137" s="130" t="s">
        <v>832</v>
      </c>
      <c r="B137" s="130" t="s">
        <v>833</v>
      </c>
      <c r="C137" s="130" t="s">
        <v>729</v>
      </c>
      <c r="D137" s="280">
        <v>0.0</v>
      </c>
      <c r="E137" s="281">
        <f>SUMIF(RM_Purchase_YTD!C:C,'RM Rollforward'!A137,RM_Purchase_YTD!E:E)</f>
        <v>0</v>
      </c>
      <c r="F137" s="281">
        <f>SUMIF(RM_InboundProd_YTD!B:B,'RM Rollforward'!A137,RM_InboundProd_YTD!D:D)</f>
        <v>0</v>
      </c>
      <c r="G137" s="282">
        <f>SUMIF(RM_Outbound_YTD!B:B,'RM Rollforward'!A137,RM_Outbound_YTD!D:D)</f>
        <v>0</v>
      </c>
      <c r="H137" s="283">
        <f t="shared" si="1"/>
        <v>0</v>
      </c>
      <c r="I137" s="284"/>
      <c r="J137" s="285">
        <v>70.0</v>
      </c>
      <c r="K137" s="286">
        <v>1.0</v>
      </c>
      <c r="L137" s="287">
        <f t="shared" si="4"/>
        <v>0</v>
      </c>
      <c r="M137" s="169"/>
    </row>
    <row r="138" ht="15.75" customHeight="1">
      <c r="A138" s="130" t="s">
        <v>834</v>
      </c>
      <c r="B138" s="130" t="s">
        <v>835</v>
      </c>
      <c r="C138" s="130" t="s">
        <v>729</v>
      </c>
      <c r="D138" s="280">
        <v>0.0</v>
      </c>
      <c r="E138" s="281">
        <f>SUMIF(RM_Purchase_YTD!C:C,'RM Rollforward'!A138,RM_Purchase_YTD!E:E)</f>
        <v>0</v>
      </c>
      <c r="F138" s="281">
        <f>SUMIF(RM_InboundProd_YTD!B:B,'RM Rollforward'!A138,RM_InboundProd_YTD!D:D)</f>
        <v>0</v>
      </c>
      <c r="G138" s="282">
        <f>SUMIF(RM_Outbound_YTD!B:B,'RM Rollforward'!A138,RM_Outbound_YTD!D:D)</f>
        <v>0</v>
      </c>
      <c r="H138" s="283">
        <f t="shared" si="1"/>
        <v>0</v>
      </c>
      <c r="I138" s="284"/>
      <c r="J138" s="285">
        <v>70.0</v>
      </c>
      <c r="K138" s="286">
        <v>1.0</v>
      </c>
      <c r="L138" s="287">
        <f t="shared" si="4"/>
        <v>0</v>
      </c>
      <c r="M138" s="169"/>
    </row>
    <row r="139" ht="15.75" customHeight="1">
      <c r="A139" s="130" t="s">
        <v>836</v>
      </c>
      <c r="B139" s="130" t="s">
        <v>837</v>
      </c>
      <c r="C139" s="130" t="s">
        <v>729</v>
      </c>
      <c r="D139" s="280">
        <v>0.0</v>
      </c>
      <c r="E139" s="281">
        <f>SUMIF(RM_Purchase_YTD!C:C,'RM Rollforward'!A139,RM_Purchase_YTD!E:E)</f>
        <v>0</v>
      </c>
      <c r="F139" s="281">
        <f>SUMIF(RM_InboundProd_YTD!B:B,'RM Rollforward'!A139,RM_InboundProd_YTD!D:D)</f>
        <v>0</v>
      </c>
      <c r="G139" s="282">
        <f>SUMIF(RM_Outbound_YTD!B:B,'RM Rollforward'!A139,RM_Outbound_YTD!D:D)</f>
        <v>0</v>
      </c>
      <c r="H139" s="283">
        <f t="shared" si="1"/>
        <v>0</v>
      </c>
      <c r="I139" s="284"/>
      <c r="J139" s="285">
        <v>70.0</v>
      </c>
      <c r="K139" s="286">
        <v>1.0</v>
      </c>
      <c r="L139" s="287">
        <f t="shared" si="4"/>
        <v>0</v>
      </c>
      <c r="M139" s="169"/>
    </row>
    <row r="140" ht="15.75" customHeight="1">
      <c r="A140" s="130" t="s">
        <v>838</v>
      </c>
      <c r="B140" s="130" t="s">
        <v>839</v>
      </c>
      <c r="C140" s="130" t="s">
        <v>729</v>
      </c>
      <c r="D140" s="280">
        <v>0.0</v>
      </c>
      <c r="E140" s="281">
        <f>SUMIF(RM_Purchase_YTD!C:C,'RM Rollforward'!A140,RM_Purchase_YTD!E:E)</f>
        <v>0</v>
      </c>
      <c r="F140" s="281">
        <f>SUMIF(RM_InboundProd_YTD!B:B,'RM Rollforward'!A140,RM_InboundProd_YTD!D:D)</f>
        <v>0</v>
      </c>
      <c r="G140" s="282">
        <f>SUMIF(RM_Outbound_YTD!B:B,'RM Rollforward'!A140,RM_Outbound_YTD!D:D)</f>
        <v>0</v>
      </c>
      <c r="H140" s="283">
        <f t="shared" si="1"/>
        <v>0</v>
      </c>
      <c r="I140" s="284"/>
      <c r="J140" s="285">
        <v>70.0</v>
      </c>
      <c r="K140" s="286">
        <v>1.0</v>
      </c>
      <c r="L140" s="287">
        <f t="shared" si="4"/>
        <v>0</v>
      </c>
      <c r="M140" s="169"/>
    </row>
    <row r="141" ht="15.75" customHeight="1">
      <c r="A141" s="130" t="s">
        <v>840</v>
      </c>
      <c r="B141" s="130" t="s">
        <v>841</v>
      </c>
      <c r="C141" s="130" t="s">
        <v>729</v>
      </c>
      <c r="D141" s="280">
        <v>0.0</v>
      </c>
      <c r="E141" s="281">
        <f>SUMIF(RM_Purchase_YTD!C:C,'RM Rollforward'!A141,RM_Purchase_YTD!E:E)</f>
        <v>0</v>
      </c>
      <c r="F141" s="281">
        <f>SUMIF(RM_InboundProd_YTD!B:B,'RM Rollforward'!A141,RM_InboundProd_YTD!D:D)</f>
        <v>0</v>
      </c>
      <c r="G141" s="282">
        <f>SUMIF(RM_Outbound_YTD!B:B,'RM Rollforward'!A141,RM_Outbound_YTD!D:D)</f>
        <v>0</v>
      </c>
      <c r="H141" s="283">
        <f t="shared" si="1"/>
        <v>0</v>
      </c>
      <c r="I141" s="284"/>
      <c r="J141" s="285">
        <v>70.0</v>
      </c>
      <c r="K141" s="286">
        <v>1.0</v>
      </c>
      <c r="L141" s="287">
        <f t="shared" si="4"/>
        <v>0</v>
      </c>
      <c r="M141" s="169"/>
    </row>
    <row r="142" ht="15.75" customHeight="1">
      <c r="A142" s="130" t="s">
        <v>842</v>
      </c>
      <c r="B142" s="130" t="s">
        <v>843</v>
      </c>
      <c r="C142" s="130" t="s">
        <v>729</v>
      </c>
      <c r="D142" s="280">
        <v>0.0</v>
      </c>
      <c r="E142" s="281">
        <f>SUMIF(RM_Purchase_YTD!C:C,'RM Rollforward'!A142,RM_Purchase_YTD!E:E)</f>
        <v>0</v>
      </c>
      <c r="F142" s="281">
        <f>SUMIF(RM_InboundProd_YTD!B:B,'RM Rollforward'!A142,RM_InboundProd_YTD!D:D)</f>
        <v>0</v>
      </c>
      <c r="G142" s="282">
        <f>SUMIF(RM_Outbound_YTD!B:B,'RM Rollforward'!A142,RM_Outbound_YTD!D:D)</f>
        <v>0</v>
      </c>
      <c r="H142" s="283">
        <f t="shared" si="1"/>
        <v>0</v>
      </c>
      <c r="I142" s="284"/>
      <c r="J142" s="285">
        <v>70.0</v>
      </c>
      <c r="K142" s="286">
        <v>1.0</v>
      </c>
      <c r="L142" s="287">
        <f t="shared" si="4"/>
        <v>0</v>
      </c>
      <c r="M142" s="169"/>
    </row>
    <row r="143" ht="15.75" customHeight="1">
      <c r="A143" s="130" t="s">
        <v>844</v>
      </c>
      <c r="B143" s="130" t="s">
        <v>845</v>
      </c>
      <c r="C143" s="130" t="s">
        <v>729</v>
      </c>
      <c r="D143" s="280">
        <v>0.0</v>
      </c>
      <c r="E143" s="281">
        <f>SUMIF(RM_Purchase_YTD!C:C,'RM Rollforward'!A143,RM_Purchase_YTD!E:E)</f>
        <v>0</v>
      </c>
      <c r="F143" s="281">
        <f>SUMIF(RM_InboundProd_YTD!B:B,'RM Rollforward'!A143,RM_InboundProd_YTD!D:D)</f>
        <v>0</v>
      </c>
      <c r="G143" s="282">
        <f>SUMIF(RM_Outbound_YTD!B:B,'RM Rollforward'!A143,RM_Outbound_YTD!D:D)</f>
        <v>0</v>
      </c>
      <c r="H143" s="283">
        <f t="shared" si="1"/>
        <v>0</v>
      </c>
      <c r="I143" s="284"/>
      <c r="J143" s="285">
        <v>70.0</v>
      </c>
      <c r="K143" s="286">
        <v>1.0</v>
      </c>
      <c r="L143" s="287">
        <f t="shared" si="4"/>
        <v>0</v>
      </c>
      <c r="M143" s="169"/>
    </row>
    <row r="144" ht="15.75" customHeight="1">
      <c r="A144" s="130" t="s">
        <v>846</v>
      </c>
      <c r="B144" s="130" t="s">
        <v>847</v>
      </c>
      <c r="C144" s="130" t="s">
        <v>729</v>
      </c>
      <c r="D144" s="280">
        <v>0.0</v>
      </c>
      <c r="E144" s="281">
        <f>SUMIF(RM_Purchase_YTD!C:C,'RM Rollforward'!A144,RM_Purchase_YTD!E:E)</f>
        <v>0</v>
      </c>
      <c r="F144" s="281">
        <f>SUMIF(RM_InboundProd_YTD!B:B,'RM Rollforward'!A144,RM_InboundProd_YTD!D:D)</f>
        <v>0</v>
      </c>
      <c r="G144" s="282">
        <f>SUMIF(RM_Outbound_YTD!B:B,'RM Rollforward'!A144,RM_Outbound_YTD!D:D)</f>
        <v>0</v>
      </c>
      <c r="H144" s="283">
        <f t="shared" si="1"/>
        <v>0</v>
      </c>
      <c r="I144" s="284"/>
      <c r="J144" s="285">
        <v>70.0</v>
      </c>
      <c r="K144" s="286">
        <v>1.0</v>
      </c>
      <c r="L144" s="287">
        <f t="shared" si="4"/>
        <v>0</v>
      </c>
      <c r="M144" s="169"/>
    </row>
    <row r="145" ht="15.75" customHeight="1">
      <c r="A145" s="130" t="s">
        <v>848</v>
      </c>
      <c r="B145" s="130" t="s">
        <v>849</v>
      </c>
      <c r="C145" s="130" t="s">
        <v>729</v>
      </c>
      <c r="D145" s="280">
        <v>0.0</v>
      </c>
      <c r="E145" s="281">
        <f>SUMIF(RM_Purchase_YTD!C:C,'RM Rollforward'!A145,RM_Purchase_YTD!E:E)</f>
        <v>0</v>
      </c>
      <c r="F145" s="281">
        <f>SUMIF(RM_InboundProd_YTD!B:B,'RM Rollforward'!A145,RM_InboundProd_YTD!D:D)</f>
        <v>0</v>
      </c>
      <c r="G145" s="282">
        <f>SUMIF(RM_Outbound_YTD!B:B,'RM Rollforward'!A145,RM_Outbound_YTD!D:D)</f>
        <v>0</v>
      </c>
      <c r="H145" s="283">
        <f t="shared" si="1"/>
        <v>0</v>
      </c>
      <c r="I145" s="284"/>
      <c r="J145" s="285">
        <v>70.0</v>
      </c>
      <c r="K145" s="286">
        <v>1.0</v>
      </c>
      <c r="L145" s="287">
        <f t="shared" si="4"/>
        <v>0</v>
      </c>
      <c r="M145" s="169"/>
    </row>
    <row r="146" ht="15.75" customHeight="1">
      <c r="A146" s="130" t="s">
        <v>850</v>
      </c>
      <c r="B146" s="130" t="s">
        <v>851</v>
      </c>
      <c r="C146" s="130" t="s">
        <v>729</v>
      </c>
      <c r="D146" s="280">
        <v>0.0</v>
      </c>
      <c r="E146" s="281">
        <f>SUMIF(RM_Purchase_YTD!C:C,'RM Rollforward'!A146,RM_Purchase_YTD!E:E)</f>
        <v>0</v>
      </c>
      <c r="F146" s="281">
        <f>SUMIF(RM_InboundProd_YTD!B:B,'RM Rollforward'!A146,RM_InboundProd_YTD!D:D)</f>
        <v>0</v>
      </c>
      <c r="G146" s="282">
        <f>SUMIF(RM_Outbound_YTD!B:B,'RM Rollforward'!A146,RM_Outbound_YTD!D:D)</f>
        <v>0</v>
      </c>
      <c r="H146" s="283">
        <f t="shared" si="1"/>
        <v>0</v>
      </c>
      <c r="I146" s="284"/>
      <c r="J146" s="285">
        <v>70.0</v>
      </c>
      <c r="K146" s="286">
        <v>1.0</v>
      </c>
      <c r="L146" s="287">
        <f t="shared" si="4"/>
        <v>0</v>
      </c>
      <c r="M146" s="169"/>
    </row>
    <row r="147" ht="15.75" customHeight="1">
      <c r="A147" s="130" t="s">
        <v>852</v>
      </c>
      <c r="B147" s="130" t="s">
        <v>853</v>
      </c>
      <c r="C147" s="130" t="s">
        <v>729</v>
      </c>
      <c r="D147" s="280">
        <v>0.0</v>
      </c>
      <c r="E147" s="281">
        <f>SUMIF(RM_Purchase_YTD!C:C,'RM Rollforward'!A147,RM_Purchase_YTD!E:E)</f>
        <v>0</v>
      </c>
      <c r="F147" s="281">
        <f>SUMIF(RM_InboundProd_YTD!B:B,'RM Rollforward'!A147,RM_InboundProd_YTD!D:D)</f>
        <v>0</v>
      </c>
      <c r="G147" s="282">
        <f>SUMIF(RM_Outbound_YTD!B:B,'RM Rollforward'!A147,RM_Outbound_YTD!D:D)</f>
        <v>0</v>
      </c>
      <c r="H147" s="283">
        <f t="shared" si="1"/>
        <v>0</v>
      </c>
      <c r="I147" s="284"/>
      <c r="J147" s="285">
        <v>70.0</v>
      </c>
      <c r="K147" s="286">
        <v>1.0</v>
      </c>
      <c r="L147" s="287">
        <f t="shared" si="4"/>
        <v>0</v>
      </c>
      <c r="M147" s="169"/>
    </row>
    <row r="148" ht="15.75" customHeight="1">
      <c r="A148" s="130" t="s">
        <v>681</v>
      </c>
      <c r="B148" s="130" t="s">
        <v>682</v>
      </c>
      <c r="C148" s="130" t="s">
        <v>729</v>
      </c>
      <c r="D148" s="280">
        <v>195.0</v>
      </c>
      <c r="E148" s="281">
        <f>SUMIF(RM_Purchase_YTD!C:C,'RM Rollforward'!A148,RM_Purchase_YTD!E:E)</f>
        <v>0</v>
      </c>
      <c r="F148" s="281">
        <f>SUMIF(RM_InboundProd_YTD!B:B,'RM Rollforward'!A148,RM_InboundProd_YTD!D:D)</f>
        <v>0</v>
      </c>
      <c r="G148" s="282">
        <f>SUMIF(RM_Outbound_YTD!B:B,'RM Rollforward'!A148,RM_Outbound_YTD!D:D)</f>
        <v>91</v>
      </c>
      <c r="H148" s="283">
        <f t="shared" si="1"/>
        <v>104</v>
      </c>
      <c r="I148" s="284"/>
      <c r="J148" s="285">
        <v>75.0</v>
      </c>
      <c r="K148" s="286">
        <v>1.0</v>
      </c>
      <c r="L148" s="287">
        <f t="shared" si="4"/>
        <v>7800</v>
      </c>
      <c r="M148" s="169"/>
    </row>
    <row r="149" ht="15.75" customHeight="1">
      <c r="A149" s="130" t="s">
        <v>289</v>
      </c>
      <c r="B149" s="130" t="s">
        <v>290</v>
      </c>
      <c r="C149" s="130" t="s">
        <v>729</v>
      </c>
      <c r="D149" s="280">
        <v>0.0</v>
      </c>
      <c r="E149" s="281">
        <f>SUMIF(RM_Purchase_YTD!C:C,'RM Rollforward'!A149,RM_Purchase_YTD!E:E)</f>
        <v>0</v>
      </c>
      <c r="F149" s="281">
        <f>SUMIF(RM_InboundProd_YTD!B:B,'RM Rollforward'!A149,RM_InboundProd_YTD!D:D)</f>
        <v>437</v>
      </c>
      <c r="G149" s="282">
        <f>SUMIF(RM_Outbound_YTD!B:B,'RM Rollforward'!A149,RM_Outbound_YTD!D:D)</f>
        <v>127</v>
      </c>
      <c r="H149" s="283">
        <f t="shared" si="1"/>
        <v>310</v>
      </c>
      <c r="I149" s="284"/>
      <c r="J149" s="285">
        <v>75.0</v>
      </c>
      <c r="K149" s="286">
        <v>1.0</v>
      </c>
      <c r="L149" s="287">
        <f t="shared" si="4"/>
        <v>23250</v>
      </c>
      <c r="M149" s="169"/>
    </row>
    <row r="150" ht="15.75" customHeight="1">
      <c r="A150" s="130" t="s">
        <v>673</v>
      </c>
      <c r="B150" s="130" t="s">
        <v>674</v>
      </c>
      <c r="C150" s="130" t="s">
        <v>729</v>
      </c>
      <c r="D150" s="280">
        <v>165.0</v>
      </c>
      <c r="E150" s="281">
        <f>SUMIF(RM_Purchase_YTD!C:C,'RM Rollforward'!A150,RM_Purchase_YTD!E:E)</f>
        <v>0</v>
      </c>
      <c r="F150" s="281">
        <f>SUMIF(RM_InboundProd_YTD!B:B,'RM Rollforward'!A150,RM_InboundProd_YTD!D:D)</f>
        <v>0</v>
      </c>
      <c r="G150" s="282">
        <f>SUMIF(RM_Outbound_YTD!B:B,'RM Rollforward'!A150,RM_Outbound_YTD!D:D)</f>
        <v>98</v>
      </c>
      <c r="H150" s="283">
        <f t="shared" si="1"/>
        <v>67</v>
      </c>
      <c r="I150" s="284"/>
      <c r="J150" s="285">
        <v>75.0</v>
      </c>
      <c r="K150" s="286">
        <v>1.0</v>
      </c>
      <c r="L150" s="287">
        <f t="shared" si="4"/>
        <v>5025</v>
      </c>
      <c r="M150" s="169"/>
    </row>
    <row r="151" ht="15.75" customHeight="1">
      <c r="A151" s="130" t="s">
        <v>391</v>
      </c>
      <c r="B151" s="130" t="s">
        <v>392</v>
      </c>
      <c r="C151" s="130" t="s">
        <v>729</v>
      </c>
      <c r="D151" s="280">
        <v>0.0</v>
      </c>
      <c r="E151" s="281">
        <f>SUMIF(RM_Purchase_YTD!C:C,'RM Rollforward'!A151,RM_Purchase_YTD!E:E)</f>
        <v>0</v>
      </c>
      <c r="F151" s="281">
        <f>SUMIF(RM_InboundProd_YTD!B:B,'RM Rollforward'!A151,RM_InboundProd_YTD!D:D)</f>
        <v>111</v>
      </c>
      <c r="G151" s="282">
        <f>SUMIF(RM_Outbound_YTD!B:B,'RM Rollforward'!A151,RM_Outbound_YTD!D:D)</f>
        <v>0</v>
      </c>
      <c r="H151" s="283">
        <f t="shared" si="1"/>
        <v>111</v>
      </c>
      <c r="I151" s="284"/>
      <c r="J151" s="285">
        <v>75.0</v>
      </c>
      <c r="K151" s="286">
        <v>1.0</v>
      </c>
      <c r="L151" s="287">
        <f t="shared" si="4"/>
        <v>8325</v>
      </c>
      <c r="M151" s="169"/>
    </row>
    <row r="152" ht="15.75" customHeight="1">
      <c r="A152" s="130" t="s">
        <v>397</v>
      </c>
      <c r="B152" s="130" t="s">
        <v>398</v>
      </c>
      <c r="C152" s="130" t="s">
        <v>729</v>
      </c>
      <c r="D152" s="280">
        <v>0.0</v>
      </c>
      <c r="E152" s="281">
        <f>SUMIF(RM_Purchase_YTD!C:C,'RM Rollforward'!A152,RM_Purchase_YTD!E:E)</f>
        <v>0</v>
      </c>
      <c r="F152" s="281">
        <f>SUMIF(RM_InboundProd_YTD!B:B,'RM Rollforward'!A152,RM_InboundProd_YTD!D:D)</f>
        <v>128</v>
      </c>
      <c r="G152" s="282">
        <f>SUMIF(RM_Outbound_YTD!B:B,'RM Rollforward'!A152,RM_Outbound_YTD!D:D)</f>
        <v>96</v>
      </c>
      <c r="H152" s="283">
        <f t="shared" si="1"/>
        <v>32</v>
      </c>
      <c r="I152" s="284"/>
      <c r="J152" s="285">
        <v>75.0</v>
      </c>
      <c r="K152" s="286">
        <v>1.0</v>
      </c>
      <c r="L152" s="287">
        <f t="shared" si="4"/>
        <v>2400</v>
      </c>
      <c r="M152" s="169"/>
    </row>
    <row r="153" ht="15.75" customHeight="1">
      <c r="A153" s="130" t="s">
        <v>854</v>
      </c>
      <c r="B153" s="130" t="s">
        <v>855</v>
      </c>
      <c r="C153" s="130" t="s">
        <v>729</v>
      </c>
      <c r="D153" s="280">
        <v>0.0</v>
      </c>
      <c r="E153" s="281">
        <f>SUMIF(RM_Purchase_YTD!C:C,'RM Rollforward'!A153,RM_Purchase_YTD!E:E)</f>
        <v>0</v>
      </c>
      <c r="F153" s="281">
        <f>SUMIF(RM_InboundProd_YTD!B:B,'RM Rollforward'!A153,RM_InboundProd_YTD!D:D)</f>
        <v>0</v>
      </c>
      <c r="G153" s="282">
        <f>SUMIF(RM_Outbound_YTD!B:B,'RM Rollforward'!A153,RM_Outbound_YTD!D:D)</f>
        <v>0</v>
      </c>
      <c r="H153" s="283">
        <f t="shared" si="1"/>
        <v>0</v>
      </c>
      <c r="I153" s="284"/>
      <c r="J153" s="285">
        <v>75.0</v>
      </c>
      <c r="K153" s="286">
        <v>1.0</v>
      </c>
      <c r="L153" s="287">
        <f t="shared" si="4"/>
        <v>0</v>
      </c>
      <c r="M153" s="169"/>
    </row>
    <row r="154" ht="15.75" customHeight="1">
      <c r="A154" s="310" t="s">
        <v>856</v>
      </c>
      <c r="B154" s="311" t="s">
        <v>857</v>
      </c>
      <c r="C154" s="130" t="s">
        <v>729</v>
      </c>
      <c r="D154" s="280">
        <v>0.0</v>
      </c>
      <c r="E154" s="281">
        <f>SUMIF(RM_Purchase_YTD!C:C,'RM Rollforward'!A154,RM_Purchase_YTD!E:E)</f>
        <v>0</v>
      </c>
      <c r="F154" s="281">
        <f>SUMIF(RM_InboundProd_YTD!B:B,'RM Rollforward'!A154,RM_InboundProd_YTD!D:D)</f>
        <v>0</v>
      </c>
      <c r="G154" s="282">
        <f>SUMIF(RM_Outbound_YTD!B:B,'RM Rollforward'!A154,RM_Outbound_YTD!D:D)</f>
        <v>0</v>
      </c>
      <c r="H154" s="283">
        <f t="shared" si="1"/>
        <v>0</v>
      </c>
      <c r="I154" s="284"/>
      <c r="J154" s="285">
        <v>75.0</v>
      </c>
      <c r="K154" s="286">
        <v>1.0</v>
      </c>
      <c r="L154" s="287">
        <f t="shared" si="4"/>
        <v>0</v>
      </c>
      <c r="M154" s="169"/>
    </row>
    <row r="155" ht="15.75" customHeight="1">
      <c r="A155" s="231" t="s">
        <v>858</v>
      </c>
      <c r="B155" s="312" t="s">
        <v>859</v>
      </c>
      <c r="C155" s="313" t="s">
        <v>729</v>
      </c>
      <c r="D155" s="280">
        <v>38.0</v>
      </c>
      <c r="E155" s="281">
        <f>SUMIF(RM_Purchase_YTD!C:C,'RM Rollforward'!A155,RM_Purchase_YTD!E:E)</f>
        <v>0</v>
      </c>
      <c r="F155" s="281">
        <f>SUMIF(RM_InboundProd_YTD!B:B,'RM Rollforward'!A155,RM_InboundProd_YTD!D:D)</f>
        <v>0</v>
      </c>
      <c r="G155" s="282">
        <f>SUMIF(RM_Outbound_YTD!B:B,'RM Rollforward'!A155,RM_Outbound_YTD!D:D)</f>
        <v>0</v>
      </c>
      <c r="H155" s="283">
        <f t="shared" si="1"/>
        <v>38</v>
      </c>
      <c r="I155" s="284"/>
      <c r="J155" s="285">
        <v>75.0</v>
      </c>
      <c r="K155" s="286">
        <v>1.0</v>
      </c>
      <c r="L155" s="287">
        <f t="shared" si="4"/>
        <v>2850</v>
      </c>
      <c r="M155" s="169"/>
    </row>
    <row r="156" ht="15.75" customHeight="1">
      <c r="A156" s="231" t="s">
        <v>860</v>
      </c>
      <c r="B156" s="135" t="s">
        <v>861</v>
      </c>
      <c r="C156" s="313" t="s">
        <v>729</v>
      </c>
      <c r="D156" s="280">
        <v>0.0</v>
      </c>
      <c r="E156" s="281">
        <f>SUMIF(RM_Purchase_YTD!C:C,'RM Rollforward'!A156,RM_Purchase_YTD!E:E)</f>
        <v>0</v>
      </c>
      <c r="F156" s="281">
        <f>SUMIF(RM_InboundProd_YTD!B:B,'RM Rollforward'!A156,RM_InboundProd_YTD!D:D)</f>
        <v>0</v>
      </c>
      <c r="G156" s="282">
        <f>SUMIF(RM_Outbound_YTD!B:B,'RM Rollforward'!A156,RM_Outbound_YTD!D:D)</f>
        <v>0</v>
      </c>
      <c r="H156" s="283">
        <f t="shared" si="1"/>
        <v>0</v>
      </c>
      <c r="I156" s="284"/>
      <c r="J156" s="285">
        <v>75.0</v>
      </c>
      <c r="K156" s="286">
        <v>1.0</v>
      </c>
      <c r="L156" s="287">
        <f t="shared" si="4"/>
        <v>0</v>
      </c>
      <c r="M156" s="169"/>
    </row>
    <row r="157" ht="15.75" customHeight="1">
      <c r="A157" s="106" t="s">
        <v>862</v>
      </c>
      <c r="B157" s="135" t="s">
        <v>863</v>
      </c>
      <c r="C157" s="313" t="s">
        <v>729</v>
      </c>
      <c r="D157" s="280">
        <v>0.0</v>
      </c>
      <c r="E157" s="281">
        <f>SUMIF(RM_Purchase_YTD!C:C,'RM Rollforward'!A157,RM_Purchase_YTD!E:E)</f>
        <v>0</v>
      </c>
      <c r="F157" s="281">
        <f>SUMIF(RM_InboundProd_YTD!B:B,'RM Rollforward'!A157,RM_InboundProd_YTD!D:D)</f>
        <v>0</v>
      </c>
      <c r="G157" s="282">
        <f>SUMIF(RM_Outbound_YTD!B:B,'RM Rollforward'!A157,RM_Outbound_YTD!D:D)</f>
        <v>0</v>
      </c>
      <c r="H157" s="283">
        <f t="shared" si="1"/>
        <v>0</v>
      </c>
      <c r="I157" s="284"/>
      <c r="J157" s="285">
        <v>75.0</v>
      </c>
      <c r="K157" s="286">
        <v>1.0</v>
      </c>
      <c r="L157" s="287">
        <f t="shared" si="4"/>
        <v>0</v>
      </c>
      <c r="M157" s="169"/>
    </row>
    <row r="158" ht="15.75" customHeight="1">
      <c r="A158" s="106" t="s">
        <v>864</v>
      </c>
      <c r="B158" s="135" t="s">
        <v>865</v>
      </c>
      <c r="C158" s="313" t="s">
        <v>729</v>
      </c>
      <c r="D158" s="280">
        <v>0.0</v>
      </c>
      <c r="E158" s="281">
        <f>SUMIF(RM_Purchase_YTD!C:C,'RM Rollforward'!A158,RM_Purchase_YTD!E:E)</f>
        <v>0</v>
      </c>
      <c r="F158" s="281">
        <f>SUMIF(RM_InboundProd_YTD!B:B,'RM Rollforward'!A158,RM_InboundProd_YTD!D:D)</f>
        <v>0</v>
      </c>
      <c r="G158" s="282">
        <f>SUMIF(RM_Outbound_YTD!B:B,'RM Rollforward'!A158,RM_Outbound_YTD!D:D)</f>
        <v>0</v>
      </c>
      <c r="H158" s="283">
        <f t="shared" si="1"/>
        <v>0</v>
      </c>
      <c r="I158" s="284"/>
      <c r="J158" s="285">
        <v>75.0</v>
      </c>
      <c r="K158" s="286">
        <v>1.0</v>
      </c>
      <c r="L158" s="287">
        <f t="shared" si="4"/>
        <v>0</v>
      </c>
      <c r="M158" s="169"/>
    </row>
    <row r="159" ht="15.75" customHeight="1">
      <c r="A159" s="134" t="s">
        <v>866</v>
      </c>
      <c r="B159" s="135" t="s">
        <v>867</v>
      </c>
      <c r="C159" s="313" t="s">
        <v>729</v>
      </c>
      <c r="D159" s="280">
        <v>0.0</v>
      </c>
      <c r="E159" s="281">
        <f>SUMIF(RM_Purchase_YTD!C:C,'RM Rollforward'!A159,RM_Purchase_YTD!E:E)</f>
        <v>0</v>
      </c>
      <c r="F159" s="281">
        <f>SUMIF(RM_InboundProd_YTD!B:B,'RM Rollforward'!A159,RM_InboundProd_YTD!D:D)</f>
        <v>0</v>
      </c>
      <c r="G159" s="282">
        <f>SUMIF(RM_Outbound_YTD!B:B,'RM Rollforward'!A159,RM_Outbound_YTD!D:D)</f>
        <v>0</v>
      </c>
      <c r="H159" s="283">
        <f t="shared" si="1"/>
        <v>0</v>
      </c>
      <c r="I159" s="284"/>
      <c r="J159" s="285">
        <v>75.0</v>
      </c>
      <c r="K159" s="286">
        <v>1.0</v>
      </c>
      <c r="L159" s="287">
        <f t="shared" si="4"/>
        <v>0</v>
      </c>
      <c r="M159" s="169"/>
    </row>
    <row r="160" ht="15.75" customHeight="1">
      <c r="A160" s="134" t="s">
        <v>868</v>
      </c>
      <c r="B160" s="135" t="s">
        <v>869</v>
      </c>
      <c r="C160" s="313" t="s">
        <v>729</v>
      </c>
      <c r="D160" s="280">
        <v>239.0</v>
      </c>
      <c r="E160" s="281">
        <f>SUMIF(RM_Purchase_YTD!C:C,'RM Rollforward'!A160,RM_Purchase_YTD!E:E)</f>
        <v>0</v>
      </c>
      <c r="F160" s="281">
        <f>SUMIF(RM_InboundProd_YTD!B:B,'RM Rollforward'!A160,RM_InboundProd_YTD!D:D)</f>
        <v>0</v>
      </c>
      <c r="G160" s="282">
        <f>SUMIF(RM_Outbound_YTD!B:B,'RM Rollforward'!A160,RM_Outbound_YTD!D:D)</f>
        <v>0</v>
      </c>
      <c r="H160" s="283">
        <f t="shared" si="1"/>
        <v>239</v>
      </c>
      <c r="I160" s="284"/>
      <c r="J160" s="285">
        <v>75.0</v>
      </c>
      <c r="K160" s="286">
        <v>1.0</v>
      </c>
      <c r="L160" s="287">
        <f t="shared" si="4"/>
        <v>17925</v>
      </c>
      <c r="M160" s="169"/>
    </row>
    <row r="161" ht="15.75" customHeight="1">
      <c r="A161" s="134" t="s">
        <v>870</v>
      </c>
      <c r="B161" s="135" t="s">
        <v>871</v>
      </c>
      <c r="C161" s="313" t="s">
        <v>729</v>
      </c>
      <c r="D161" s="280">
        <v>0.0</v>
      </c>
      <c r="E161" s="281">
        <f>SUMIF(RM_Purchase_YTD!C:C,'RM Rollforward'!A161,RM_Purchase_YTD!E:E)</f>
        <v>0</v>
      </c>
      <c r="F161" s="281">
        <f>SUMIF(RM_InboundProd_YTD!B:B,'RM Rollforward'!A161,RM_InboundProd_YTD!D:D)</f>
        <v>0</v>
      </c>
      <c r="G161" s="282">
        <f>SUMIF(RM_Outbound_YTD!B:B,'RM Rollforward'!A161,RM_Outbound_YTD!D:D)</f>
        <v>0</v>
      </c>
      <c r="H161" s="283">
        <f t="shared" si="1"/>
        <v>0</v>
      </c>
      <c r="I161" s="284"/>
      <c r="J161" s="285">
        <v>75.0</v>
      </c>
      <c r="K161" s="286">
        <v>1.0</v>
      </c>
      <c r="L161" s="287">
        <f t="shared" si="4"/>
        <v>0</v>
      </c>
      <c r="M161" s="169"/>
    </row>
    <row r="162" ht="15.75" customHeight="1">
      <c r="A162" s="134" t="s">
        <v>872</v>
      </c>
      <c r="B162" s="135" t="s">
        <v>873</v>
      </c>
      <c r="C162" s="313" t="s">
        <v>729</v>
      </c>
      <c r="D162" s="280">
        <v>0.0</v>
      </c>
      <c r="E162" s="281">
        <f>SUMIF(RM_Purchase_YTD!C:C,'RM Rollforward'!A162,RM_Purchase_YTD!E:E)</f>
        <v>0</v>
      </c>
      <c r="F162" s="281">
        <f>SUMIF(RM_InboundProd_YTD!B:B,'RM Rollforward'!A162,RM_InboundProd_YTD!D:D)</f>
        <v>0</v>
      </c>
      <c r="G162" s="282">
        <f>SUMIF(RM_Outbound_YTD!B:B,'RM Rollforward'!A162,RM_Outbound_YTD!D:D)</f>
        <v>0</v>
      </c>
      <c r="H162" s="283">
        <f t="shared" si="1"/>
        <v>0</v>
      </c>
      <c r="I162" s="284"/>
      <c r="J162" s="285">
        <v>75.0</v>
      </c>
      <c r="K162" s="286">
        <v>1.0</v>
      </c>
      <c r="L162" s="287">
        <f t="shared" si="4"/>
        <v>0</v>
      </c>
      <c r="M162" s="169"/>
    </row>
    <row r="163" ht="15.75" customHeight="1">
      <c r="A163" s="134" t="s">
        <v>874</v>
      </c>
      <c r="B163" s="135" t="s">
        <v>875</v>
      </c>
      <c r="C163" s="313" t="s">
        <v>729</v>
      </c>
      <c r="D163" s="280">
        <v>0.0</v>
      </c>
      <c r="E163" s="281">
        <f>SUMIF(RM_Purchase_YTD!C:C,'RM Rollforward'!A163,RM_Purchase_YTD!E:E)</f>
        <v>0</v>
      </c>
      <c r="F163" s="281">
        <f>SUMIF(RM_InboundProd_YTD!B:B,'RM Rollforward'!A163,RM_InboundProd_YTD!D:D)</f>
        <v>0</v>
      </c>
      <c r="G163" s="282">
        <f>SUMIF(RM_Outbound_YTD!B:B,'RM Rollforward'!A163,RM_Outbound_YTD!D:D)</f>
        <v>0</v>
      </c>
      <c r="H163" s="283">
        <f t="shared" si="1"/>
        <v>0</v>
      </c>
      <c r="I163" s="284"/>
      <c r="J163" s="285">
        <v>75.0</v>
      </c>
      <c r="K163" s="286">
        <v>1.0</v>
      </c>
      <c r="L163" s="287">
        <f t="shared" si="4"/>
        <v>0</v>
      </c>
      <c r="M163" s="169"/>
    </row>
    <row r="164" ht="15.75" customHeight="1">
      <c r="A164" s="134" t="s">
        <v>876</v>
      </c>
      <c r="B164" s="135" t="s">
        <v>877</v>
      </c>
      <c r="C164" s="313" t="s">
        <v>729</v>
      </c>
      <c r="D164" s="280">
        <v>0.0</v>
      </c>
      <c r="E164" s="281">
        <f>SUMIF(RM_Purchase_YTD!C:C,'RM Rollforward'!A164,RM_Purchase_YTD!E:E)</f>
        <v>0</v>
      </c>
      <c r="F164" s="281">
        <f>SUMIF(RM_InboundProd_YTD!B:B,'RM Rollforward'!A164,RM_InboundProd_YTD!D:D)</f>
        <v>0</v>
      </c>
      <c r="G164" s="282">
        <f>SUMIF(RM_Outbound_YTD!B:B,'RM Rollforward'!A164,RM_Outbound_YTD!D:D)</f>
        <v>0</v>
      </c>
      <c r="H164" s="283">
        <f t="shared" si="1"/>
        <v>0</v>
      </c>
      <c r="I164" s="284"/>
      <c r="J164" s="285">
        <v>75.0</v>
      </c>
      <c r="K164" s="286">
        <v>1.0</v>
      </c>
      <c r="L164" s="287">
        <f t="shared" si="4"/>
        <v>0</v>
      </c>
      <c r="M164" s="169"/>
    </row>
    <row r="165" ht="15.75" customHeight="1">
      <c r="A165" s="134" t="s">
        <v>878</v>
      </c>
      <c r="B165" s="135" t="s">
        <v>879</v>
      </c>
      <c r="C165" s="313" t="s">
        <v>729</v>
      </c>
      <c r="D165" s="280">
        <v>0.0</v>
      </c>
      <c r="E165" s="281">
        <f>SUMIF(RM_Purchase_YTD!C:C,'RM Rollforward'!A165,RM_Purchase_YTD!E:E)</f>
        <v>0</v>
      </c>
      <c r="F165" s="281">
        <f>SUMIF(RM_InboundProd_YTD!B:B,'RM Rollforward'!A165,RM_InboundProd_YTD!D:D)</f>
        <v>0</v>
      </c>
      <c r="G165" s="282">
        <f>SUMIF(RM_Outbound_YTD!B:B,'RM Rollforward'!A165,RM_Outbound_YTD!D:D)</f>
        <v>0</v>
      </c>
      <c r="H165" s="283">
        <f t="shared" si="1"/>
        <v>0</v>
      </c>
      <c r="I165" s="284"/>
      <c r="J165" s="285">
        <v>75.0</v>
      </c>
      <c r="K165" s="286">
        <v>1.0</v>
      </c>
      <c r="L165" s="287">
        <f t="shared" si="4"/>
        <v>0</v>
      </c>
      <c r="M165" s="169"/>
    </row>
    <row r="166" ht="15.75" customHeight="1">
      <c r="A166" s="134" t="s">
        <v>880</v>
      </c>
      <c r="B166" s="135" t="s">
        <v>881</v>
      </c>
      <c r="C166" s="313" t="s">
        <v>729</v>
      </c>
      <c r="D166" s="280">
        <v>0.0</v>
      </c>
      <c r="E166" s="281">
        <f>SUMIF(RM_Purchase_YTD!C:C,'RM Rollforward'!A166,RM_Purchase_YTD!E:E)</f>
        <v>0</v>
      </c>
      <c r="F166" s="281">
        <f>SUMIF(RM_InboundProd_YTD!B:B,'RM Rollforward'!A166,RM_InboundProd_YTD!D:D)</f>
        <v>0</v>
      </c>
      <c r="G166" s="282">
        <f>SUMIF(RM_Outbound_YTD!B:B,'RM Rollforward'!A166,RM_Outbound_YTD!D:D)</f>
        <v>0</v>
      </c>
      <c r="H166" s="283">
        <f t="shared" si="1"/>
        <v>0</v>
      </c>
      <c r="I166" s="284"/>
      <c r="J166" s="285">
        <v>75.0</v>
      </c>
      <c r="K166" s="286">
        <v>1.0</v>
      </c>
      <c r="L166" s="287">
        <f t="shared" si="4"/>
        <v>0</v>
      </c>
      <c r="M166" s="169"/>
    </row>
    <row r="167" ht="15.75" customHeight="1">
      <c r="A167" s="106" t="s">
        <v>882</v>
      </c>
      <c r="B167" s="135" t="s">
        <v>883</v>
      </c>
      <c r="C167" s="313" t="s">
        <v>729</v>
      </c>
      <c r="D167" s="280">
        <v>0.0</v>
      </c>
      <c r="E167" s="281">
        <f>SUMIF(RM_Purchase_YTD!C:C,'RM Rollforward'!A167,RM_Purchase_YTD!E:E)</f>
        <v>0</v>
      </c>
      <c r="F167" s="281">
        <f>SUMIF(RM_InboundProd_YTD!B:B,'RM Rollforward'!A167,RM_InboundProd_YTD!D:D)</f>
        <v>0</v>
      </c>
      <c r="G167" s="282">
        <f>SUMIF(RM_Outbound_YTD!B:B,'RM Rollforward'!A167,RM_Outbound_YTD!D:D)</f>
        <v>0</v>
      </c>
      <c r="H167" s="283">
        <f t="shared" si="1"/>
        <v>0</v>
      </c>
      <c r="I167" s="284"/>
      <c r="J167" s="285">
        <v>75.0</v>
      </c>
      <c r="K167" s="286">
        <v>1.0</v>
      </c>
      <c r="L167" s="287">
        <f t="shared" si="4"/>
        <v>0</v>
      </c>
      <c r="M167" s="169"/>
    </row>
    <row r="168" ht="15.75" customHeight="1">
      <c r="A168" s="106" t="s">
        <v>884</v>
      </c>
      <c r="B168" s="135" t="s">
        <v>885</v>
      </c>
      <c r="C168" s="313" t="s">
        <v>729</v>
      </c>
      <c r="D168" s="280">
        <v>0.0</v>
      </c>
      <c r="E168" s="281">
        <f>SUMIF(RM_Purchase_YTD!C:C,'RM Rollforward'!A168,RM_Purchase_YTD!E:E)</f>
        <v>0</v>
      </c>
      <c r="F168" s="281">
        <f>SUMIF(RM_InboundProd_YTD!B:B,'RM Rollforward'!A168,RM_InboundProd_YTD!D:D)</f>
        <v>0</v>
      </c>
      <c r="G168" s="282">
        <f>SUMIF(RM_Outbound_YTD!B:B,'RM Rollforward'!A168,RM_Outbound_YTD!D:D)</f>
        <v>0</v>
      </c>
      <c r="H168" s="283">
        <f t="shared" si="1"/>
        <v>0</v>
      </c>
      <c r="I168" s="284"/>
      <c r="J168" s="285">
        <v>75.0</v>
      </c>
      <c r="K168" s="286">
        <v>1.0</v>
      </c>
      <c r="L168" s="287">
        <f t="shared" si="4"/>
        <v>0</v>
      </c>
      <c r="M168" s="169"/>
    </row>
    <row r="169" ht="15.75" customHeight="1">
      <c r="A169" s="106" t="s">
        <v>886</v>
      </c>
      <c r="B169" s="314" t="s">
        <v>887</v>
      </c>
      <c r="C169" s="313" t="s">
        <v>729</v>
      </c>
      <c r="D169" s="280">
        <v>0.0</v>
      </c>
      <c r="E169" s="281">
        <f>SUMIF(RM_Purchase_YTD!C:C,'RM Rollforward'!A169,RM_Purchase_YTD!E:E)</f>
        <v>0</v>
      </c>
      <c r="F169" s="281">
        <f>SUMIF(RM_InboundProd_YTD!B:B,'RM Rollforward'!A169,RM_InboundProd_YTD!D:D)</f>
        <v>0</v>
      </c>
      <c r="G169" s="282">
        <f>SUMIF(RM_Outbound_YTD!B:B,'RM Rollforward'!A169,RM_Outbound_YTD!D:D)</f>
        <v>0</v>
      </c>
      <c r="H169" s="283">
        <f t="shared" si="1"/>
        <v>0</v>
      </c>
      <c r="I169" s="284"/>
      <c r="J169" s="285">
        <v>75.0</v>
      </c>
      <c r="K169" s="286">
        <v>1.0</v>
      </c>
      <c r="L169" s="287">
        <f t="shared" si="4"/>
        <v>0</v>
      </c>
      <c r="M169" s="169"/>
    </row>
    <row r="170" ht="15.75" customHeight="1">
      <c r="A170" s="106" t="s">
        <v>888</v>
      </c>
      <c r="B170" s="315" t="s">
        <v>889</v>
      </c>
      <c r="C170" s="313" t="s">
        <v>729</v>
      </c>
      <c r="D170" s="280">
        <v>0.0</v>
      </c>
      <c r="E170" s="281">
        <f>SUMIF(RM_Purchase_YTD!C:C,'RM Rollforward'!A170,RM_Purchase_YTD!E:E)</f>
        <v>0</v>
      </c>
      <c r="F170" s="281">
        <f>SUMIF(RM_InboundProd_YTD!B:B,'RM Rollforward'!A170,RM_InboundProd_YTD!D:D)</f>
        <v>0</v>
      </c>
      <c r="G170" s="282">
        <f>SUMIF(RM_Outbound_YTD!B:B,'RM Rollforward'!A170,RM_Outbound_YTD!D:D)</f>
        <v>0</v>
      </c>
      <c r="H170" s="283">
        <f t="shared" si="1"/>
        <v>0</v>
      </c>
      <c r="I170" s="284"/>
      <c r="J170" s="285">
        <v>75.0</v>
      </c>
      <c r="K170" s="286">
        <v>1.0</v>
      </c>
      <c r="L170" s="287">
        <f t="shared" si="4"/>
        <v>0</v>
      </c>
      <c r="M170" s="169"/>
    </row>
    <row r="171" ht="15.75" customHeight="1">
      <c r="A171" s="106" t="s">
        <v>315</v>
      </c>
      <c r="B171" s="135" t="s">
        <v>316</v>
      </c>
      <c r="C171" s="313" t="s">
        <v>729</v>
      </c>
      <c r="D171" s="280">
        <v>0.0</v>
      </c>
      <c r="E171" s="281">
        <f>SUMIF(RM_Purchase_YTD!C:C,'RM Rollforward'!A171,RM_Purchase_YTD!E:E)</f>
        <v>0</v>
      </c>
      <c r="F171" s="281">
        <f>SUMIF(RM_InboundProd_YTD!B:B,'RM Rollforward'!A171,RM_InboundProd_YTD!D:D)</f>
        <v>44</v>
      </c>
      <c r="G171" s="282">
        <f>SUMIF(RM_Outbound_YTD!B:B,'RM Rollforward'!A171,RM_Outbound_YTD!D:D)</f>
        <v>11</v>
      </c>
      <c r="H171" s="283">
        <f t="shared" si="1"/>
        <v>33</v>
      </c>
      <c r="I171" s="284"/>
      <c r="J171" s="285">
        <v>75.0</v>
      </c>
      <c r="K171" s="286">
        <v>1.0</v>
      </c>
      <c r="L171" s="287">
        <f t="shared" si="4"/>
        <v>2475</v>
      </c>
      <c r="M171" s="169"/>
    </row>
    <row r="172" ht="15.75" customHeight="1">
      <c r="A172" s="106" t="s">
        <v>411</v>
      </c>
      <c r="B172" s="135" t="s">
        <v>412</v>
      </c>
      <c r="C172" s="313" t="s">
        <v>729</v>
      </c>
      <c r="D172" s="280">
        <v>130.0</v>
      </c>
      <c r="E172" s="281">
        <f>SUMIF(RM_Purchase_YTD!C:C,'RM Rollforward'!A172,RM_Purchase_YTD!E:E)</f>
        <v>0</v>
      </c>
      <c r="F172" s="281">
        <f>SUMIF(RM_InboundProd_YTD!B:B,'RM Rollforward'!A172,RM_InboundProd_YTD!D:D)</f>
        <v>47</v>
      </c>
      <c r="G172" s="282">
        <f>SUMIF(RM_Outbound_YTD!B:B,'RM Rollforward'!A172,RM_Outbound_YTD!D:D)</f>
        <v>177</v>
      </c>
      <c r="H172" s="283">
        <f t="shared" si="1"/>
        <v>0</v>
      </c>
      <c r="I172" s="284"/>
      <c r="J172" s="285">
        <v>75.0</v>
      </c>
      <c r="K172" s="286">
        <v>1.0</v>
      </c>
      <c r="L172" s="287">
        <f t="shared" si="4"/>
        <v>0</v>
      </c>
      <c r="M172" s="169"/>
    </row>
    <row r="173" ht="15.75" customHeight="1">
      <c r="A173" s="106" t="s">
        <v>667</v>
      </c>
      <c r="B173" s="138" t="s">
        <v>668</v>
      </c>
      <c r="C173" s="313" t="s">
        <v>729</v>
      </c>
      <c r="D173" s="280">
        <v>159.0</v>
      </c>
      <c r="E173" s="281">
        <f>SUMIF(RM_Purchase_YTD!C:C,'RM Rollforward'!A173,RM_Purchase_YTD!E:E)</f>
        <v>0</v>
      </c>
      <c r="F173" s="281">
        <f>SUMIF(RM_InboundProd_YTD!B:B,'RM Rollforward'!A173,RM_InboundProd_YTD!D:D)</f>
        <v>0</v>
      </c>
      <c r="G173" s="282">
        <f>SUMIF(RM_Outbound_YTD!B:B,'RM Rollforward'!A173,RM_Outbound_YTD!D:D)</f>
        <v>102</v>
      </c>
      <c r="H173" s="283">
        <f t="shared" si="1"/>
        <v>57</v>
      </c>
      <c r="I173" s="284"/>
      <c r="J173" s="285">
        <v>75.0</v>
      </c>
      <c r="K173" s="286">
        <v>1.0</v>
      </c>
      <c r="L173" s="287">
        <f t="shared" si="4"/>
        <v>4275</v>
      </c>
      <c r="M173" s="169"/>
    </row>
    <row r="174" ht="15.75" customHeight="1">
      <c r="A174" s="106" t="s">
        <v>890</v>
      </c>
      <c r="B174" s="135" t="s">
        <v>891</v>
      </c>
      <c r="C174" s="313" t="s">
        <v>729</v>
      </c>
      <c r="D174" s="280">
        <v>0.0</v>
      </c>
      <c r="E174" s="281">
        <f>SUMIF(RM_Purchase_YTD!C:C,'RM Rollforward'!A174,RM_Purchase_YTD!E:E)</f>
        <v>0</v>
      </c>
      <c r="F174" s="281">
        <f>SUMIF(RM_InboundProd_YTD!B:B,'RM Rollforward'!A174,RM_InboundProd_YTD!D:D)</f>
        <v>0</v>
      </c>
      <c r="G174" s="282">
        <f>SUMIF(RM_Outbound_YTD!B:B,'RM Rollforward'!A174,RM_Outbound_YTD!D:D)</f>
        <v>0</v>
      </c>
      <c r="H174" s="283">
        <f t="shared" si="1"/>
        <v>0</v>
      </c>
      <c r="I174" s="284"/>
      <c r="J174" s="285">
        <v>75.0</v>
      </c>
      <c r="K174" s="286">
        <v>1.0</v>
      </c>
      <c r="L174" s="287">
        <f t="shared" si="4"/>
        <v>0</v>
      </c>
      <c r="M174" s="169"/>
    </row>
    <row r="175" ht="15.75" customHeight="1">
      <c r="A175" s="134" t="s">
        <v>892</v>
      </c>
      <c r="B175" s="135" t="s">
        <v>893</v>
      </c>
      <c r="C175" s="313" t="s">
        <v>729</v>
      </c>
      <c r="D175" s="280">
        <v>0.0</v>
      </c>
      <c r="E175" s="281">
        <f>SUMIF(RM_Purchase_YTD!C:C,'RM Rollforward'!A175,RM_Purchase_YTD!E:E)</f>
        <v>0</v>
      </c>
      <c r="F175" s="281">
        <f>SUMIF(RM_InboundProd_YTD!B:B,'RM Rollforward'!A175,RM_InboundProd_YTD!D:D)</f>
        <v>0</v>
      </c>
      <c r="G175" s="282">
        <f>SUMIF(RM_Outbound_YTD!B:B,'RM Rollforward'!A175,RM_Outbound_YTD!D:D)</f>
        <v>0</v>
      </c>
      <c r="H175" s="283">
        <f t="shared" si="1"/>
        <v>0</v>
      </c>
      <c r="I175" s="284"/>
      <c r="J175" s="285">
        <v>75.0</v>
      </c>
      <c r="K175" s="286">
        <v>1.0</v>
      </c>
      <c r="L175" s="287">
        <f t="shared" si="4"/>
        <v>0</v>
      </c>
      <c r="M175" s="169"/>
    </row>
    <row r="176" ht="15.75" customHeight="1">
      <c r="A176" s="134" t="s">
        <v>894</v>
      </c>
      <c r="B176" s="135" t="s">
        <v>895</v>
      </c>
      <c r="C176" s="313" t="s">
        <v>729</v>
      </c>
      <c r="D176" s="280">
        <v>39.0</v>
      </c>
      <c r="E176" s="281">
        <f>SUMIF(RM_Purchase_YTD!C:C,'RM Rollforward'!A176,RM_Purchase_YTD!E:E)</f>
        <v>0</v>
      </c>
      <c r="F176" s="281">
        <f>SUMIF(RM_InboundProd_YTD!B:B,'RM Rollforward'!A176,RM_InboundProd_YTD!D:D)</f>
        <v>0</v>
      </c>
      <c r="G176" s="282">
        <f>SUMIF(RM_Outbound_YTD!B:B,'RM Rollforward'!A176,RM_Outbound_YTD!D:D)</f>
        <v>0</v>
      </c>
      <c r="H176" s="283">
        <f t="shared" si="1"/>
        <v>39</v>
      </c>
      <c r="I176" s="284"/>
      <c r="J176" s="285">
        <v>75.0</v>
      </c>
      <c r="K176" s="286">
        <v>1.0</v>
      </c>
      <c r="L176" s="287">
        <f t="shared" si="4"/>
        <v>2925</v>
      </c>
      <c r="M176" s="169"/>
    </row>
    <row r="177" ht="15.75" customHeight="1">
      <c r="A177" s="134" t="s">
        <v>896</v>
      </c>
      <c r="B177" s="138" t="s">
        <v>897</v>
      </c>
      <c r="C177" s="313" t="s">
        <v>729</v>
      </c>
      <c r="D177" s="280">
        <v>0.0</v>
      </c>
      <c r="E177" s="281">
        <f>SUMIF(RM_Purchase_YTD!C:C,'RM Rollforward'!A177,RM_Purchase_YTD!E:E)</f>
        <v>0</v>
      </c>
      <c r="F177" s="281">
        <f>SUMIF(RM_InboundProd_YTD!B:B,'RM Rollforward'!A177,RM_InboundProd_YTD!D:D)</f>
        <v>0</v>
      </c>
      <c r="G177" s="282">
        <f>SUMIF(RM_Outbound_YTD!B:B,'RM Rollforward'!A177,RM_Outbound_YTD!D:D)</f>
        <v>0</v>
      </c>
      <c r="H177" s="283">
        <f t="shared" si="1"/>
        <v>0</v>
      </c>
      <c r="I177" s="284"/>
      <c r="J177" s="285">
        <v>75.0</v>
      </c>
      <c r="K177" s="286">
        <v>1.0</v>
      </c>
      <c r="L177" s="287">
        <f t="shared" si="4"/>
        <v>0</v>
      </c>
      <c r="M177" s="169"/>
    </row>
    <row r="178" ht="15.75" customHeight="1">
      <c r="A178" s="134" t="s">
        <v>898</v>
      </c>
      <c r="B178" s="138" t="s">
        <v>899</v>
      </c>
      <c r="C178" s="313" t="s">
        <v>729</v>
      </c>
      <c r="D178" s="280">
        <v>0.0</v>
      </c>
      <c r="E178" s="281">
        <f>SUMIF(RM_Purchase_YTD!C:C,'RM Rollforward'!A178,RM_Purchase_YTD!E:E)</f>
        <v>0</v>
      </c>
      <c r="F178" s="281">
        <f>SUMIF(RM_InboundProd_YTD!B:B,'RM Rollforward'!A178,RM_InboundProd_YTD!D:D)</f>
        <v>0</v>
      </c>
      <c r="G178" s="282">
        <f>SUMIF(RM_Outbound_YTD!B:B,'RM Rollforward'!A178,RM_Outbound_YTD!D:D)</f>
        <v>0</v>
      </c>
      <c r="H178" s="283">
        <f t="shared" si="1"/>
        <v>0</v>
      </c>
      <c r="I178" s="284"/>
      <c r="J178" s="285">
        <v>75.0</v>
      </c>
      <c r="K178" s="286">
        <v>1.0</v>
      </c>
      <c r="L178" s="287">
        <f t="shared" si="4"/>
        <v>0</v>
      </c>
      <c r="M178" s="169"/>
    </row>
    <row r="179" ht="15.75" customHeight="1">
      <c r="A179" s="106" t="s">
        <v>900</v>
      </c>
      <c r="B179" s="138" t="s">
        <v>901</v>
      </c>
      <c r="C179" s="313" t="s">
        <v>729</v>
      </c>
      <c r="D179" s="280">
        <v>0.0</v>
      </c>
      <c r="E179" s="281">
        <f>SUMIF(RM_Purchase_YTD!C:C,'RM Rollforward'!A179,RM_Purchase_YTD!E:E)</f>
        <v>0</v>
      </c>
      <c r="F179" s="281">
        <f>SUMIF(RM_InboundProd_YTD!B:B,'RM Rollforward'!A179,RM_InboundProd_YTD!D:D)</f>
        <v>0</v>
      </c>
      <c r="G179" s="282">
        <f>SUMIF(RM_Outbound_YTD!B:B,'RM Rollforward'!A179,RM_Outbound_YTD!D:D)</f>
        <v>0</v>
      </c>
      <c r="H179" s="283">
        <f t="shared" si="1"/>
        <v>0</v>
      </c>
      <c r="I179" s="284"/>
      <c r="J179" s="285">
        <v>75.0</v>
      </c>
      <c r="K179" s="286">
        <v>1.0</v>
      </c>
      <c r="L179" s="287">
        <f t="shared" si="4"/>
        <v>0</v>
      </c>
      <c r="M179" s="169"/>
    </row>
    <row r="180" ht="15.75" customHeight="1">
      <c r="A180" s="106" t="s">
        <v>902</v>
      </c>
      <c r="B180" s="135" t="s">
        <v>903</v>
      </c>
      <c r="C180" s="313" t="s">
        <v>729</v>
      </c>
      <c r="D180" s="280">
        <v>0.0</v>
      </c>
      <c r="E180" s="281">
        <f>SUMIF(RM_Purchase_YTD!C:C,'RM Rollforward'!A180,RM_Purchase_YTD!E:E)</f>
        <v>0</v>
      </c>
      <c r="F180" s="281">
        <f>SUMIF(RM_InboundProd_YTD!B:B,'RM Rollforward'!A180,RM_InboundProd_YTD!D:D)</f>
        <v>0</v>
      </c>
      <c r="G180" s="282">
        <f>SUMIF(RM_Outbound_YTD!B:B,'RM Rollforward'!A180,RM_Outbound_YTD!D:D)</f>
        <v>0</v>
      </c>
      <c r="H180" s="283">
        <f t="shared" si="1"/>
        <v>0</v>
      </c>
      <c r="I180" s="284"/>
      <c r="J180" s="285">
        <v>75.0</v>
      </c>
      <c r="K180" s="286">
        <v>1.0</v>
      </c>
      <c r="L180" s="287">
        <f t="shared" si="4"/>
        <v>0</v>
      </c>
      <c r="M180" s="169"/>
    </row>
    <row r="181" ht="15.75" customHeight="1">
      <c r="A181" s="106" t="s">
        <v>904</v>
      </c>
      <c r="B181" s="135" t="s">
        <v>905</v>
      </c>
      <c r="C181" s="313" t="s">
        <v>729</v>
      </c>
      <c r="D181" s="280">
        <v>0.0</v>
      </c>
      <c r="E181" s="281">
        <f>SUMIF(RM_Purchase_YTD!C:C,'RM Rollforward'!A181,RM_Purchase_YTD!E:E)</f>
        <v>0</v>
      </c>
      <c r="F181" s="281">
        <f>SUMIF(RM_InboundProd_YTD!B:B,'RM Rollforward'!A181,RM_InboundProd_YTD!D:D)</f>
        <v>0</v>
      </c>
      <c r="G181" s="282">
        <f>SUMIF(RM_Outbound_YTD!B:B,'RM Rollforward'!A181,RM_Outbound_YTD!D:D)</f>
        <v>0</v>
      </c>
      <c r="H181" s="283">
        <f t="shared" si="1"/>
        <v>0</v>
      </c>
      <c r="I181" s="284"/>
      <c r="J181" s="285">
        <v>75.0</v>
      </c>
      <c r="K181" s="286">
        <v>1.0</v>
      </c>
      <c r="L181" s="287">
        <f t="shared" si="4"/>
        <v>0</v>
      </c>
      <c r="M181" s="169"/>
    </row>
    <row r="182" ht="15.75" customHeight="1">
      <c r="A182" s="106" t="s">
        <v>906</v>
      </c>
      <c r="B182" s="135" t="s">
        <v>907</v>
      </c>
      <c r="C182" s="313" t="s">
        <v>729</v>
      </c>
      <c r="D182" s="280">
        <v>41.0</v>
      </c>
      <c r="E182" s="281">
        <f>SUMIF(RM_Purchase_YTD!C:C,'RM Rollforward'!A182,RM_Purchase_YTD!E:E)</f>
        <v>0</v>
      </c>
      <c r="F182" s="281">
        <f>SUMIF(RM_InboundProd_YTD!B:B,'RM Rollforward'!A182,RM_InboundProd_YTD!D:D)</f>
        <v>0</v>
      </c>
      <c r="G182" s="282">
        <f>SUMIF(RM_Outbound_YTD!B:B,'RM Rollforward'!A182,RM_Outbound_YTD!D:D)</f>
        <v>0</v>
      </c>
      <c r="H182" s="283">
        <f t="shared" si="1"/>
        <v>41</v>
      </c>
      <c r="I182" s="284"/>
      <c r="J182" s="285">
        <v>75.0</v>
      </c>
      <c r="K182" s="286">
        <v>1.0</v>
      </c>
      <c r="L182" s="287">
        <f t="shared" si="4"/>
        <v>3075</v>
      </c>
      <c r="M182" s="169"/>
    </row>
    <row r="183" ht="15.75" customHeight="1">
      <c r="A183" s="106" t="s">
        <v>908</v>
      </c>
      <c r="B183" s="135" t="s">
        <v>909</v>
      </c>
      <c r="C183" s="313" t="s">
        <v>729</v>
      </c>
      <c r="D183" s="280">
        <v>0.0</v>
      </c>
      <c r="E183" s="281">
        <f>SUMIF(RM_Purchase_YTD!C:C,'RM Rollforward'!A183,RM_Purchase_YTD!E:E)</f>
        <v>0</v>
      </c>
      <c r="F183" s="281">
        <f>SUMIF(RM_InboundProd_YTD!B:B,'RM Rollforward'!A183,RM_InboundProd_YTD!D:D)</f>
        <v>0</v>
      </c>
      <c r="G183" s="282">
        <f>SUMIF(RM_Outbound_YTD!B:B,'RM Rollforward'!A183,RM_Outbound_YTD!D:D)</f>
        <v>0</v>
      </c>
      <c r="H183" s="283">
        <f t="shared" si="1"/>
        <v>0</v>
      </c>
      <c r="I183" s="284"/>
      <c r="J183" s="285">
        <v>75.0</v>
      </c>
      <c r="K183" s="286">
        <v>1.0</v>
      </c>
      <c r="L183" s="287">
        <f t="shared" si="4"/>
        <v>0</v>
      </c>
      <c r="M183" s="169"/>
    </row>
    <row r="184" ht="15.75" customHeight="1">
      <c r="A184" s="134" t="s">
        <v>910</v>
      </c>
      <c r="B184" s="138" t="s">
        <v>911</v>
      </c>
      <c r="C184" s="313" t="s">
        <v>729</v>
      </c>
      <c r="D184" s="280">
        <v>0.0</v>
      </c>
      <c r="E184" s="281">
        <f>SUMIF(RM_Purchase_YTD!C:C,'RM Rollforward'!A184,RM_Purchase_YTD!E:E)</f>
        <v>0</v>
      </c>
      <c r="F184" s="281">
        <f>SUMIF(RM_InboundProd_YTD!B:B,'RM Rollforward'!A184,RM_InboundProd_YTD!D:D)</f>
        <v>0</v>
      </c>
      <c r="G184" s="282">
        <f>SUMIF(RM_Outbound_YTD!B:B,'RM Rollforward'!A184,RM_Outbound_YTD!D:D)</f>
        <v>0</v>
      </c>
      <c r="H184" s="283">
        <f t="shared" si="1"/>
        <v>0</v>
      </c>
      <c r="I184" s="284"/>
      <c r="J184" s="285">
        <v>75.0</v>
      </c>
      <c r="K184" s="286">
        <v>1.0</v>
      </c>
      <c r="L184" s="287">
        <f t="shared" si="4"/>
        <v>0</v>
      </c>
      <c r="M184" s="169"/>
    </row>
    <row r="185" ht="15.75" customHeight="1">
      <c r="A185" s="134" t="s">
        <v>912</v>
      </c>
      <c r="B185" s="138" t="s">
        <v>913</v>
      </c>
      <c r="C185" s="313" t="s">
        <v>729</v>
      </c>
      <c r="D185" s="280">
        <v>0.0</v>
      </c>
      <c r="E185" s="281">
        <f>SUMIF(RM_Purchase_YTD!C:C,'RM Rollforward'!A185,RM_Purchase_YTD!E:E)</f>
        <v>0</v>
      </c>
      <c r="F185" s="281">
        <f>SUMIF(RM_InboundProd_YTD!B:B,'RM Rollforward'!A185,RM_InboundProd_YTD!D:D)</f>
        <v>0</v>
      </c>
      <c r="G185" s="282">
        <f>SUMIF(RM_Outbound_YTD!B:B,'RM Rollforward'!A185,RM_Outbound_YTD!D:D)</f>
        <v>0</v>
      </c>
      <c r="H185" s="283">
        <f t="shared" si="1"/>
        <v>0</v>
      </c>
      <c r="I185" s="284"/>
      <c r="J185" s="285">
        <v>75.0</v>
      </c>
      <c r="K185" s="286">
        <v>1.0</v>
      </c>
      <c r="L185" s="287">
        <f t="shared" si="4"/>
        <v>0</v>
      </c>
      <c r="M185" s="169"/>
    </row>
    <row r="186" ht="15.75" customHeight="1">
      <c r="A186" s="134" t="s">
        <v>914</v>
      </c>
      <c r="B186" s="138" t="s">
        <v>915</v>
      </c>
      <c r="C186" s="313" t="s">
        <v>729</v>
      </c>
      <c r="D186" s="280">
        <v>0.0</v>
      </c>
      <c r="E186" s="281">
        <f>SUMIF(RM_Purchase_YTD!C:C,'RM Rollforward'!A186,RM_Purchase_YTD!E:E)</f>
        <v>0</v>
      </c>
      <c r="F186" s="281">
        <f>SUMIF(RM_InboundProd_YTD!B:B,'RM Rollforward'!A186,RM_InboundProd_YTD!D:D)</f>
        <v>0</v>
      </c>
      <c r="G186" s="282">
        <f>SUMIF(RM_Outbound_YTD!B:B,'RM Rollforward'!A186,RM_Outbound_YTD!D:D)</f>
        <v>0</v>
      </c>
      <c r="H186" s="283">
        <f t="shared" si="1"/>
        <v>0</v>
      </c>
      <c r="I186" s="284"/>
      <c r="J186" s="285">
        <v>75.0</v>
      </c>
      <c r="K186" s="286">
        <v>1.0</v>
      </c>
      <c r="L186" s="287">
        <f t="shared" si="4"/>
        <v>0</v>
      </c>
      <c r="M186" s="169"/>
    </row>
    <row r="187" ht="15.75" customHeight="1">
      <c r="A187" s="134" t="s">
        <v>916</v>
      </c>
      <c r="B187" s="138" t="s">
        <v>917</v>
      </c>
      <c r="C187" s="313" t="s">
        <v>729</v>
      </c>
      <c r="D187" s="280">
        <v>42.0</v>
      </c>
      <c r="E187" s="281">
        <f>SUMIF(RM_Purchase_YTD!C:C,'RM Rollforward'!A187,RM_Purchase_YTD!E:E)</f>
        <v>0</v>
      </c>
      <c r="F187" s="281">
        <f>SUMIF(RM_InboundProd_YTD!B:B,'RM Rollforward'!A187,RM_InboundProd_YTD!D:D)</f>
        <v>0</v>
      </c>
      <c r="G187" s="282">
        <f>SUMIF(RM_Outbound_YTD!B:B,'RM Rollforward'!A187,RM_Outbound_YTD!D:D)</f>
        <v>0</v>
      </c>
      <c r="H187" s="283">
        <f t="shared" si="1"/>
        <v>42</v>
      </c>
      <c r="I187" s="284"/>
      <c r="J187" s="285">
        <v>75.0</v>
      </c>
      <c r="K187" s="286">
        <v>1.0</v>
      </c>
      <c r="L187" s="287">
        <f t="shared" si="4"/>
        <v>3150</v>
      </c>
      <c r="M187" s="169"/>
    </row>
    <row r="188" ht="15.75" customHeight="1">
      <c r="A188" s="134" t="s">
        <v>918</v>
      </c>
      <c r="B188" s="138" t="s">
        <v>919</v>
      </c>
      <c r="C188" s="313" t="s">
        <v>729</v>
      </c>
      <c r="D188" s="280">
        <v>0.0</v>
      </c>
      <c r="E188" s="281">
        <f>SUMIF(RM_Purchase_YTD!C:C,'RM Rollforward'!A188,RM_Purchase_YTD!E:E)</f>
        <v>0</v>
      </c>
      <c r="F188" s="281">
        <f>SUMIF(RM_InboundProd_YTD!B:B,'RM Rollforward'!A188,RM_InboundProd_YTD!D:D)</f>
        <v>0</v>
      </c>
      <c r="G188" s="282">
        <f>SUMIF(RM_Outbound_YTD!B:B,'RM Rollforward'!A188,RM_Outbound_YTD!D:D)</f>
        <v>0</v>
      </c>
      <c r="H188" s="283">
        <f t="shared" si="1"/>
        <v>0</v>
      </c>
      <c r="I188" s="284"/>
      <c r="J188" s="285">
        <v>75.0</v>
      </c>
      <c r="K188" s="286">
        <v>1.0</v>
      </c>
      <c r="L188" s="287">
        <f t="shared" si="4"/>
        <v>0</v>
      </c>
      <c r="M188" s="169"/>
    </row>
    <row r="189" ht="15.75" customHeight="1">
      <c r="A189" s="134" t="s">
        <v>920</v>
      </c>
      <c r="B189" s="138" t="s">
        <v>921</v>
      </c>
      <c r="C189" s="313" t="s">
        <v>729</v>
      </c>
      <c r="D189" s="280">
        <v>82.0</v>
      </c>
      <c r="E189" s="281">
        <f>SUMIF(RM_Purchase_YTD!C:C,'RM Rollforward'!A189,RM_Purchase_YTD!E:E)</f>
        <v>0</v>
      </c>
      <c r="F189" s="281">
        <f>SUMIF(RM_InboundProd_YTD!B:B,'RM Rollforward'!A189,RM_InboundProd_YTD!D:D)</f>
        <v>0</v>
      </c>
      <c r="G189" s="282">
        <f>SUMIF(RM_Outbound_YTD!B:B,'RM Rollforward'!A189,RM_Outbound_YTD!D:D)</f>
        <v>0</v>
      </c>
      <c r="H189" s="283">
        <f t="shared" si="1"/>
        <v>82</v>
      </c>
      <c r="I189" s="284"/>
      <c r="J189" s="285">
        <v>75.0</v>
      </c>
      <c r="K189" s="286">
        <v>1.0</v>
      </c>
      <c r="L189" s="287">
        <f t="shared" si="4"/>
        <v>6150</v>
      </c>
      <c r="M189" s="169"/>
    </row>
    <row r="190" ht="15.75" customHeight="1">
      <c r="A190" s="134" t="s">
        <v>922</v>
      </c>
      <c r="B190" s="138" t="s">
        <v>923</v>
      </c>
      <c r="C190" s="313" t="s">
        <v>729</v>
      </c>
      <c r="D190" s="280">
        <v>273.0</v>
      </c>
      <c r="E190" s="281">
        <f>SUMIF(RM_Purchase_YTD!C:C,'RM Rollforward'!A190,RM_Purchase_YTD!E:E)</f>
        <v>0</v>
      </c>
      <c r="F190" s="281">
        <f>SUMIF(RM_InboundProd_YTD!B:B,'RM Rollforward'!A190,RM_InboundProd_YTD!D:D)</f>
        <v>0</v>
      </c>
      <c r="G190" s="282">
        <f>SUMIF(RM_Outbound_YTD!B:B,'RM Rollforward'!A190,RM_Outbound_YTD!D:D)</f>
        <v>0</v>
      </c>
      <c r="H190" s="283">
        <f t="shared" si="1"/>
        <v>273</v>
      </c>
      <c r="I190" s="284"/>
      <c r="J190" s="285">
        <v>75.0</v>
      </c>
      <c r="K190" s="286">
        <v>1.0</v>
      </c>
      <c r="L190" s="287">
        <f t="shared" si="4"/>
        <v>20475</v>
      </c>
      <c r="M190" s="169"/>
    </row>
    <row r="191" ht="15.75" customHeight="1">
      <c r="A191" s="134" t="s">
        <v>924</v>
      </c>
      <c r="B191" s="138" t="s">
        <v>925</v>
      </c>
      <c r="C191" s="313" t="s">
        <v>729</v>
      </c>
      <c r="D191" s="280">
        <v>96.0</v>
      </c>
      <c r="E191" s="281">
        <f>SUMIF(RM_Purchase_YTD!C:C,'RM Rollforward'!A191,RM_Purchase_YTD!E:E)</f>
        <v>0</v>
      </c>
      <c r="F191" s="281">
        <f>SUMIF(RM_InboundProd_YTD!B:B,'RM Rollforward'!A191,RM_InboundProd_YTD!D:D)</f>
        <v>0</v>
      </c>
      <c r="G191" s="282">
        <f>SUMIF(RM_Outbound_YTD!B:B,'RM Rollforward'!A191,RM_Outbound_YTD!D:D)</f>
        <v>0</v>
      </c>
      <c r="H191" s="283">
        <f t="shared" si="1"/>
        <v>96</v>
      </c>
      <c r="I191" s="284"/>
      <c r="J191" s="285">
        <v>75.0</v>
      </c>
      <c r="K191" s="286">
        <v>1.0</v>
      </c>
      <c r="L191" s="287">
        <f t="shared" si="4"/>
        <v>7200</v>
      </c>
      <c r="M191" s="169"/>
    </row>
    <row r="192" ht="15.75" customHeight="1">
      <c r="A192" s="134" t="s">
        <v>926</v>
      </c>
      <c r="B192" s="138" t="s">
        <v>927</v>
      </c>
      <c r="C192" s="313" t="s">
        <v>729</v>
      </c>
      <c r="D192" s="280">
        <v>0.0</v>
      </c>
      <c r="E192" s="281">
        <f>SUMIF(RM_Purchase_YTD!C:C,'RM Rollforward'!A192,RM_Purchase_YTD!E:E)</f>
        <v>0</v>
      </c>
      <c r="F192" s="281">
        <f>SUMIF(RM_InboundProd_YTD!B:B,'RM Rollforward'!A192,RM_InboundProd_YTD!D:D)</f>
        <v>0</v>
      </c>
      <c r="G192" s="282">
        <f>SUMIF(RM_Outbound_YTD!B:B,'RM Rollforward'!A192,RM_Outbound_YTD!D:D)</f>
        <v>0</v>
      </c>
      <c r="H192" s="283">
        <f t="shared" si="1"/>
        <v>0</v>
      </c>
      <c r="I192" s="284"/>
      <c r="J192" s="285">
        <v>75.0</v>
      </c>
      <c r="K192" s="286">
        <v>1.0</v>
      </c>
      <c r="L192" s="287">
        <f t="shared" si="4"/>
        <v>0</v>
      </c>
      <c r="M192" s="169"/>
    </row>
    <row r="193" ht="15.75" customHeight="1">
      <c r="A193" s="134" t="s">
        <v>317</v>
      </c>
      <c r="B193" s="138" t="s">
        <v>318</v>
      </c>
      <c r="C193" s="313" t="s">
        <v>729</v>
      </c>
      <c r="D193" s="280">
        <v>0.0</v>
      </c>
      <c r="E193" s="281">
        <f>SUMIF(RM_Purchase_YTD!C:C,'RM Rollforward'!A193,RM_Purchase_YTD!E:E)</f>
        <v>0</v>
      </c>
      <c r="F193" s="281">
        <f>SUMIF(RM_InboundProd_YTD!B:B,'RM Rollforward'!A193,RM_InboundProd_YTD!D:D)</f>
        <v>83</v>
      </c>
      <c r="G193" s="282">
        <f>SUMIF(RM_Outbound_YTD!B:B,'RM Rollforward'!A193,RM_Outbound_YTD!D:D)</f>
        <v>37</v>
      </c>
      <c r="H193" s="283">
        <f t="shared" si="1"/>
        <v>46</v>
      </c>
      <c r="I193" s="284"/>
      <c r="J193" s="285">
        <v>75.0</v>
      </c>
      <c r="K193" s="286">
        <v>1.0</v>
      </c>
      <c r="L193" s="287">
        <f t="shared" si="4"/>
        <v>3450</v>
      </c>
      <c r="M193" s="169"/>
    </row>
    <row r="194" ht="15.75" customHeight="1">
      <c r="A194" s="134" t="s">
        <v>928</v>
      </c>
      <c r="B194" s="135" t="s">
        <v>929</v>
      </c>
      <c r="C194" s="313" t="s">
        <v>729</v>
      </c>
      <c r="D194" s="280">
        <v>0.0</v>
      </c>
      <c r="E194" s="281">
        <f>SUMIF(RM_Purchase_YTD!C:C,'RM Rollforward'!A194,RM_Purchase_YTD!E:E)</f>
        <v>0</v>
      </c>
      <c r="F194" s="281">
        <f>SUMIF(RM_InboundProd_YTD!B:B,'RM Rollforward'!A194,RM_InboundProd_YTD!D:D)</f>
        <v>0</v>
      </c>
      <c r="G194" s="282">
        <f>SUMIF(RM_Outbound_YTD!B:B,'RM Rollforward'!A194,RM_Outbound_YTD!D:D)</f>
        <v>0</v>
      </c>
      <c r="H194" s="283">
        <f t="shared" si="1"/>
        <v>0</v>
      </c>
      <c r="I194" s="284"/>
      <c r="J194" s="285">
        <v>75.0</v>
      </c>
      <c r="K194" s="286">
        <v>1.0</v>
      </c>
      <c r="L194" s="287">
        <f t="shared" si="4"/>
        <v>0</v>
      </c>
      <c r="M194" s="169"/>
    </row>
    <row r="195" ht="15.75" customHeight="1">
      <c r="A195" s="134" t="s">
        <v>413</v>
      </c>
      <c r="B195" s="135" t="s">
        <v>414</v>
      </c>
      <c r="C195" s="313" t="s">
        <v>729</v>
      </c>
      <c r="D195" s="280">
        <v>45.0</v>
      </c>
      <c r="E195" s="281">
        <f>SUMIF(RM_Purchase_YTD!C:C,'RM Rollforward'!A195,RM_Purchase_YTD!E:E)</f>
        <v>0</v>
      </c>
      <c r="F195" s="281">
        <f>SUMIF(RM_InboundProd_YTD!B:B,'RM Rollforward'!A195,RM_InboundProd_YTD!D:D)</f>
        <v>58</v>
      </c>
      <c r="G195" s="282">
        <f>SUMIF(RM_Outbound_YTD!B:B,'RM Rollforward'!A195,RM_Outbound_YTD!D:D)</f>
        <v>82</v>
      </c>
      <c r="H195" s="283">
        <f t="shared" si="1"/>
        <v>21</v>
      </c>
      <c r="I195" s="284"/>
      <c r="J195" s="285">
        <v>75.0</v>
      </c>
      <c r="K195" s="286">
        <v>1.0</v>
      </c>
      <c r="L195" s="287">
        <f t="shared" si="4"/>
        <v>1575</v>
      </c>
      <c r="M195" s="169"/>
    </row>
    <row r="196" ht="15.75" customHeight="1">
      <c r="A196" s="134" t="s">
        <v>930</v>
      </c>
      <c r="B196" s="138" t="s">
        <v>931</v>
      </c>
      <c r="C196" s="313" t="s">
        <v>729</v>
      </c>
      <c r="D196" s="280">
        <v>0.0</v>
      </c>
      <c r="E196" s="281">
        <f>SUMIF(RM_Purchase_YTD!C:C,'RM Rollforward'!A196,RM_Purchase_YTD!E:E)</f>
        <v>0</v>
      </c>
      <c r="F196" s="281">
        <f>SUMIF(RM_InboundProd_YTD!B:B,'RM Rollforward'!A196,RM_InboundProd_YTD!D:D)</f>
        <v>0</v>
      </c>
      <c r="G196" s="282">
        <f>SUMIF(RM_Outbound_YTD!B:B,'RM Rollforward'!A196,RM_Outbound_YTD!D:D)</f>
        <v>0</v>
      </c>
      <c r="H196" s="283">
        <f t="shared" si="1"/>
        <v>0</v>
      </c>
      <c r="I196" s="284"/>
      <c r="J196" s="285">
        <v>75.0</v>
      </c>
      <c r="K196" s="286">
        <v>1.0</v>
      </c>
      <c r="L196" s="287">
        <f t="shared" si="4"/>
        <v>0</v>
      </c>
      <c r="M196" s="169"/>
    </row>
    <row r="197" ht="15.75" customHeight="1">
      <c r="A197" s="134" t="s">
        <v>932</v>
      </c>
      <c r="B197" s="138" t="s">
        <v>933</v>
      </c>
      <c r="C197" s="313" t="s">
        <v>729</v>
      </c>
      <c r="D197" s="280">
        <v>0.0</v>
      </c>
      <c r="E197" s="281">
        <f>SUMIF(RM_Purchase_YTD!C:C,'RM Rollforward'!A197,RM_Purchase_YTD!E:E)</f>
        <v>0</v>
      </c>
      <c r="F197" s="281">
        <f>SUMIF(RM_InboundProd_YTD!B:B,'RM Rollforward'!A197,RM_InboundProd_YTD!D:D)</f>
        <v>0</v>
      </c>
      <c r="G197" s="282">
        <f>SUMIF(RM_Outbound_YTD!B:B,'RM Rollforward'!A197,RM_Outbound_YTD!D:D)</f>
        <v>0</v>
      </c>
      <c r="H197" s="283">
        <f t="shared" si="1"/>
        <v>0</v>
      </c>
      <c r="I197" s="284"/>
      <c r="J197" s="285">
        <v>75.0</v>
      </c>
      <c r="K197" s="286">
        <v>1.0</v>
      </c>
      <c r="L197" s="287">
        <f t="shared" si="4"/>
        <v>0</v>
      </c>
      <c r="M197" s="169"/>
    </row>
    <row r="198" ht="15.75" customHeight="1">
      <c r="A198" s="134" t="s">
        <v>934</v>
      </c>
      <c r="B198" s="135" t="s">
        <v>935</v>
      </c>
      <c r="C198" s="31" t="s">
        <v>729</v>
      </c>
      <c r="D198" s="280">
        <v>105.0</v>
      </c>
      <c r="E198" s="281">
        <f>SUMIF(RM_Purchase_YTD!C:C,'RM Rollforward'!A198,RM_Purchase_YTD!E:E)</f>
        <v>0</v>
      </c>
      <c r="F198" s="281">
        <f>SUMIF(RM_InboundProd_YTD!B:B,'RM Rollforward'!A198,RM_InboundProd_YTD!D:D)</f>
        <v>0</v>
      </c>
      <c r="G198" s="282">
        <f>SUMIF(RM_Outbound_YTD!B:B,'RM Rollforward'!A198,RM_Outbound_YTD!D:D)</f>
        <v>0</v>
      </c>
      <c r="H198" s="283">
        <f t="shared" si="1"/>
        <v>105</v>
      </c>
      <c r="I198" s="284"/>
      <c r="J198" s="285">
        <v>75.0</v>
      </c>
      <c r="K198" s="286">
        <v>1.0</v>
      </c>
      <c r="L198" s="287">
        <f t="shared" si="4"/>
        <v>7875</v>
      </c>
      <c r="M198" s="169"/>
    </row>
    <row r="199" ht="15.75" customHeight="1">
      <c r="A199" s="134" t="s">
        <v>936</v>
      </c>
      <c r="B199" s="135" t="s">
        <v>937</v>
      </c>
      <c r="C199" s="31" t="s">
        <v>729</v>
      </c>
      <c r="D199" s="280">
        <v>88.0</v>
      </c>
      <c r="E199" s="281">
        <f>SUMIF(RM_Purchase_YTD!C:C,'RM Rollforward'!A199,RM_Purchase_YTD!E:E)</f>
        <v>0</v>
      </c>
      <c r="F199" s="281">
        <f>SUMIF(RM_InboundProd_YTD!B:B,'RM Rollforward'!A199,RM_InboundProd_YTD!D:D)</f>
        <v>0</v>
      </c>
      <c r="G199" s="282">
        <f>SUMIF(RM_Outbound_YTD!B:B,'RM Rollforward'!A199,RM_Outbound_YTD!D:D)</f>
        <v>0</v>
      </c>
      <c r="H199" s="283">
        <f t="shared" si="1"/>
        <v>88</v>
      </c>
      <c r="I199" s="284"/>
      <c r="J199" s="285">
        <v>75.0</v>
      </c>
      <c r="K199" s="286">
        <v>1.0</v>
      </c>
      <c r="L199" s="287">
        <f t="shared" si="4"/>
        <v>6600</v>
      </c>
      <c r="M199" s="169"/>
    </row>
    <row r="200" ht="15.75" customHeight="1">
      <c r="A200" s="134" t="s">
        <v>345</v>
      </c>
      <c r="B200" s="135" t="s">
        <v>346</v>
      </c>
      <c r="C200" s="31" t="s">
        <v>729</v>
      </c>
      <c r="D200" s="280">
        <v>0.0</v>
      </c>
      <c r="E200" s="281">
        <f>SUMIF(RM_Purchase_YTD!C:C,'RM Rollforward'!A200,RM_Purchase_YTD!E:E)</f>
        <v>0</v>
      </c>
      <c r="F200" s="281">
        <f>SUMIF(RM_InboundProd_YTD!B:B,'RM Rollforward'!A200,RM_InboundProd_YTD!D:D)</f>
        <v>128</v>
      </c>
      <c r="G200" s="282">
        <f>SUMIF(RM_Outbound_YTD!B:B,'RM Rollforward'!A200,RM_Outbound_YTD!D:D)</f>
        <v>0</v>
      </c>
      <c r="H200" s="283">
        <f t="shared" si="1"/>
        <v>128</v>
      </c>
      <c r="I200" s="284"/>
      <c r="J200" s="285">
        <v>75.0</v>
      </c>
      <c r="K200" s="286">
        <v>1.0</v>
      </c>
      <c r="L200" s="287">
        <f t="shared" si="4"/>
        <v>9600</v>
      </c>
      <c r="M200" s="169"/>
    </row>
    <row r="201" ht="15.75" customHeight="1">
      <c r="A201" s="134" t="s">
        <v>343</v>
      </c>
      <c r="B201" s="135" t="s">
        <v>344</v>
      </c>
      <c r="C201" s="31" t="s">
        <v>729</v>
      </c>
      <c r="D201" s="280">
        <v>0.0</v>
      </c>
      <c r="E201" s="281">
        <f>SUMIF(RM_Purchase_YTD!C:C,'RM Rollforward'!A201,RM_Purchase_YTD!E:E)</f>
        <v>0</v>
      </c>
      <c r="F201" s="281">
        <f>SUMIF(RM_InboundProd_YTD!B:B,'RM Rollforward'!A201,RM_InboundProd_YTD!D:D)</f>
        <v>220</v>
      </c>
      <c r="G201" s="282">
        <f>SUMIF(RM_Outbound_YTD!B:B,'RM Rollforward'!A201,RM_Outbound_YTD!D:D)</f>
        <v>149</v>
      </c>
      <c r="H201" s="283">
        <f t="shared" si="1"/>
        <v>71</v>
      </c>
      <c r="I201" s="284"/>
      <c r="J201" s="285">
        <v>75.0</v>
      </c>
      <c r="K201" s="286">
        <v>1.0</v>
      </c>
      <c r="L201" s="287">
        <f t="shared" si="4"/>
        <v>5325</v>
      </c>
      <c r="M201" s="169"/>
    </row>
    <row r="202" ht="15.75" customHeight="1">
      <c r="A202" s="134" t="s">
        <v>291</v>
      </c>
      <c r="B202" s="135" t="s">
        <v>292</v>
      </c>
      <c r="C202" s="31" t="s">
        <v>729</v>
      </c>
      <c r="D202" s="280">
        <v>55.0</v>
      </c>
      <c r="E202" s="281">
        <f>SUMIF(RM_Purchase_YTD!C:C,'RM Rollforward'!A202,RM_Purchase_YTD!E:E)</f>
        <v>0</v>
      </c>
      <c r="F202" s="281">
        <f>SUMIF(RM_InboundProd_YTD!B:B,'RM Rollforward'!A202,RM_InboundProd_YTD!D:D)</f>
        <v>890</v>
      </c>
      <c r="G202" s="282">
        <f>SUMIF(RM_Outbound_YTD!B:B,'RM Rollforward'!A202,RM_Outbound_YTD!D:D)</f>
        <v>703</v>
      </c>
      <c r="H202" s="283">
        <f t="shared" si="1"/>
        <v>242</v>
      </c>
      <c r="I202" s="284"/>
      <c r="J202" s="285">
        <v>75.0</v>
      </c>
      <c r="K202" s="286">
        <v>1.0</v>
      </c>
      <c r="L202" s="287">
        <f t="shared" si="4"/>
        <v>18150</v>
      </c>
      <c r="M202" s="169"/>
    </row>
    <row r="203" ht="15.75" customHeight="1">
      <c r="A203" s="134" t="s">
        <v>363</v>
      </c>
      <c r="B203" s="135" t="s">
        <v>364</v>
      </c>
      <c r="C203" s="31" t="s">
        <v>729</v>
      </c>
      <c r="D203" s="280">
        <v>374.0</v>
      </c>
      <c r="E203" s="281">
        <f>SUMIF(RM_Purchase_YTD!C:C,'RM Rollforward'!A203,RM_Purchase_YTD!E:E)</f>
        <v>0</v>
      </c>
      <c r="F203" s="281">
        <f>SUMIF(RM_InboundProd_YTD!B:B,'RM Rollforward'!A203,RM_InboundProd_YTD!D:D)</f>
        <v>36</v>
      </c>
      <c r="G203" s="282">
        <f>SUMIF(RM_Outbound_YTD!B:B,'RM Rollforward'!A203,RM_Outbound_YTD!D:D)</f>
        <v>192</v>
      </c>
      <c r="H203" s="283">
        <f t="shared" si="1"/>
        <v>218</v>
      </c>
      <c r="I203" s="284"/>
      <c r="J203" s="285">
        <v>75.0</v>
      </c>
      <c r="K203" s="286">
        <v>1.0</v>
      </c>
      <c r="L203" s="287">
        <f t="shared" si="4"/>
        <v>16350</v>
      </c>
      <c r="M203" s="169"/>
    </row>
    <row r="204" ht="15.75" customHeight="1">
      <c r="A204" s="134" t="s">
        <v>381</v>
      </c>
      <c r="B204" s="135" t="s">
        <v>382</v>
      </c>
      <c r="C204" s="31" t="s">
        <v>729</v>
      </c>
      <c r="D204" s="280">
        <v>0.0</v>
      </c>
      <c r="E204" s="281">
        <f>SUMIF(RM_Purchase_YTD!C:C,'RM Rollforward'!A204,RM_Purchase_YTD!E:E)</f>
        <v>0</v>
      </c>
      <c r="F204" s="281">
        <f>SUMIF(RM_InboundProd_YTD!B:B,'RM Rollforward'!A204,RM_InboundProd_YTD!D:D)</f>
        <v>240</v>
      </c>
      <c r="G204" s="282">
        <f>SUMIF(RM_Outbound_YTD!B:B,'RM Rollforward'!A204,RM_Outbound_YTD!D:D)</f>
        <v>194</v>
      </c>
      <c r="H204" s="283">
        <f t="shared" si="1"/>
        <v>46</v>
      </c>
      <c r="I204" s="284"/>
      <c r="J204" s="285">
        <v>75.0</v>
      </c>
      <c r="K204" s="286">
        <v>1.0</v>
      </c>
      <c r="L204" s="287">
        <f t="shared" si="4"/>
        <v>3450</v>
      </c>
      <c r="M204" s="169"/>
    </row>
    <row r="205" ht="15.75" customHeight="1">
      <c r="A205" s="134" t="s">
        <v>938</v>
      </c>
      <c r="B205" s="138" t="s">
        <v>939</v>
      </c>
      <c r="C205" s="313" t="s">
        <v>729</v>
      </c>
      <c r="D205" s="280">
        <v>0.0</v>
      </c>
      <c r="E205" s="281">
        <f>SUMIF(RM_Purchase_YTD!C:C,'RM Rollforward'!A205,RM_Purchase_YTD!E:E)</f>
        <v>0</v>
      </c>
      <c r="F205" s="281">
        <f>SUMIF(RM_InboundProd_YTD!B:B,'RM Rollforward'!A205,RM_InboundProd_YTD!D:D)</f>
        <v>0</v>
      </c>
      <c r="G205" s="282">
        <f>SUMIF(RM_Outbound_YTD!B:B,'RM Rollforward'!A205,RM_Outbound_YTD!D:D)</f>
        <v>0</v>
      </c>
      <c r="H205" s="283">
        <f t="shared" si="1"/>
        <v>0</v>
      </c>
      <c r="I205" s="284"/>
      <c r="J205" s="285">
        <v>75.0</v>
      </c>
      <c r="K205" s="286">
        <v>1.0</v>
      </c>
      <c r="L205" s="287">
        <f t="shared" si="4"/>
        <v>0</v>
      </c>
      <c r="M205" s="169"/>
    </row>
    <row r="206" ht="15.75" customHeight="1">
      <c r="A206" s="134" t="s">
        <v>940</v>
      </c>
      <c r="B206" s="135" t="s">
        <v>941</v>
      </c>
      <c r="C206" s="31" t="s">
        <v>729</v>
      </c>
      <c r="D206" s="280">
        <v>0.0</v>
      </c>
      <c r="E206" s="281">
        <f>SUMIF(RM_Purchase_YTD!C:C,'RM Rollforward'!A206,RM_Purchase_YTD!E:E)</f>
        <v>0</v>
      </c>
      <c r="F206" s="281">
        <f>SUMIF(RM_InboundProd_YTD!B:B,'RM Rollforward'!A206,RM_InboundProd_YTD!D:D)</f>
        <v>0</v>
      </c>
      <c r="G206" s="282">
        <f>SUMIF(RM_Outbound_YTD!B:B,'RM Rollforward'!A206,RM_Outbound_YTD!D:D)</f>
        <v>0</v>
      </c>
      <c r="H206" s="283">
        <f t="shared" si="1"/>
        <v>0</v>
      </c>
      <c r="I206" s="284"/>
      <c r="J206" s="285">
        <v>75.0</v>
      </c>
      <c r="K206" s="286">
        <v>1.0</v>
      </c>
      <c r="L206" s="287">
        <f t="shared" si="4"/>
        <v>0</v>
      </c>
      <c r="M206" s="169"/>
    </row>
    <row r="207" ht="15.75" customHeight="1">
      <c r="A207" s="134" t="s">
        <v>942</v>
      </c>
      <c r="B207" s="135" t="s">
        <v>943</v>
      </c>
      <c r="C207" s="31" t="s">
        <v>729</v>
      </c>
      <c r="D207" s="280">
        <v>0.0</v>
      </c>
      <c r="E207" s="281">
        <f>SUMIF(RM_Purchase_YTD!C:C,'RM Rollforward'!A207,RM_Purchase_YTD!E:E)</f>
        <v>0</v>
      </c>
      <c r="F207" s="281">
        <f>SUMIF(RM_InboundProd_YTD!B:B,'RM Rollforward'!A207,RM_InboundProd_YTD!D:D)</f>
        <v>0</v>
      </c>
      <c r="G207" s="282">
        <f>SUMIF(RM_Outbound_YTD!B:B,'RM Rollforward'!A207,RM_Outbound_YTD!D:D)</f>
        <v>0</v>
      </c>
      <c r="H207" s="283">
        <f t="shared" si="1"/>
        <v>0</v>
      </c>
      <c r="I207" s="284"/>
      <c r="J207" s="285">
        <v>75.0</v>
      </c>
      <c r="K207" s="286">
        <v>1.0</v>
      </c>
      <c r="L207" s="287">
        <f t="shared" si="4"/>
        <v>0</v>
      </c>
      <c r="M207" s="169"/>
    </row>
    <row r="208" ht="15.75" customHeight="1">
      <c r="A208" s="134" t="s">
        <v>944</v>
      </c>
      <c r="B208" s="135" t="s">
        <v>945</v>
      </c>
      <c r="C208" s="31" t="s">
        <v>729</v>
      </c>
      <c r="D208" s="280">
        <v>0.0</v>
      </c>
      <c r="E208" s="281">
        <f>SUMIF(RM_Purchase_YTD!C:C,'RM Rollforward'!A208,RM_Purchase_YTD!E:E)</f>
        <v>0</v>
      </c>
      <c r="F208" s="281">
        <f>SUMIF(RM_InboundProd_YTD!B:B,'RM Rollforward'!A208,RM_InboundProd_YTD!D:D)</f>
        <v>0</v>
      </c>
      <c r="G208" s="282">
        <f>SUMIF(RM_Outbound_YTD!B:B,'RM Rollforward'!A208,RM_Outbound_YTD!D:D)</f>
        <v>0</v>
      </c>
      <c r="H208" s="283">
        <f t="shared" si="1"/>
        <v>0</v>
      </c>
      <c r="I208" s="284"/>
      <c r="J208" s="285">
        <v>75.0</v>
      </c>
      <c r="K208" s="286">
        <v>1.0</v>
      </c>
      <c r="L208" s="287">
        <f t="shared" si="4"/>
        <v>0</v>
      </c>
      <c r="M208" s="169"/>
    </row>
    <row r="209" ht="15.75" customHeight="1">
      <c r="A209" s="134" t="s">
        <v>353</v>
      </c>
      <c r="B209" s="135" t="s">
        <v>354</v>
      </c>
      <c r="C209" s="31" t="s">
        <v>729</v>
      </c>
      <c r="D209" s="280">
        <v>0.0</v>
      </c>
      <c r="E209" s="281">
        <f>SUMIF(RM_Purchase_YTD!C:C,'RM Rollforward'!A209,RM_Purchase_YTD!E:E)</f>
        <v>0</v>
      </c>
      <c r="F209" s="281">
        <f>SUMIF(RM_InboundProd_YTD!B:B,'RM Rollforward'!A209,RM_InboundProd_YTD!D:D)</f>
        <v>146</v>
      </c>
      <c r="G209" s="282">
        <f>SUMIF(RM_Outbound_YTD!B:B,'RM Rollforward'!A209,RM_Outbound_YTD!D:D)</f>
        <v>83</v>
      </c>
      <c r="H209" s="283">
        <f t="shared" si="1"/>
        <v>63</v>
      </c>
      <c r="I209" s="284"/>
      <c r="J209" s="285">
        <v>75.0</v>
      </c>
      <c r="K209" s="286">
        <v>1.0</v>
      </c>
      <c r="L209" s="287">
        <f t="shared" si="4"/>
        <v>4725</v>
      </c>
      <c r="M209" s="169"/>
    </row>
    <row r="210" ht="15.75" customHeight="1">
      <c r="A210" s="134" t="s">
        <v>355</v>
      </c>
      <c r="B210" s="135" t="s">
        <v>356</v>
      </c>
      <c r="C210" s="31" t="s">
        <v>729</v>
      </c>
      <c r="D210" s="280">
        <v>0.0</v>
      </c>
      <c r="E210" s="281">
        <f>SUMIF(RM_Purchase_YTD!C:C,'RM Rollforward'!A210,RM_Purchase_YTD!E:E)</f>
        <v>0</v>
      </c>
      <c r="F210" s="281">
        <f>SUMIF(RM_InboundProd_YTD!B:B,'RM Rollforward'!A210,RM_InboundProd_YTD!D:D)</f>
        <v>227</v>
      </c>
      <c r="G210" s="282">
        <f>SUMIF(RM_Outbound_YTD!B:B,'RM Rollforward'!A210,RM_Outbound_YTD!D:D)</f>
        <v>102</v>
      </c>
      <c r="H210" s="283">
        <f t="shared" si="1"/>
        <v>125</v>
      </c>
      <c r="I210" s="284"/>
      <c r="J210" s="285">
        <v>75.0</v>
      </c>
      <c r="K210" s="286">
        <v>1.0</v>
      </c>
      <c r="L210" s="287">
        <f t="shared" si="4"/>
        <v>9375</v>
      </c>
      <c r="M210" s="169"/>
    </row>
    <row r="211" ht="15.75" customHeight="1">
      <c r="A211" s="134" t="s">
        <v>946</v>
      </c>
      <c r="B211" s="135" t="s">
        <v>947</v>
      </c>
      <c r="C211" s="31" t="s">
        <v>729</v>
      </c>
      <c r="D211" s="280">
        <v>0.0</v>
      </c>
      <c r="E211" s="281">
        <f>SUMIF(RM_Purchase_YTD!C:C,'RM Rollforward'!A211,RM_Purchase_YTD!E:E)</f>
        <v>0</v>
      </c>
      <c r="F211" s="281">
        <f>SUMIF(RM_InboundProd_YTD!B:B,'RM Rollforward'!A211,RM_InboundProd_YTD!D:D)</f>
        <v>0</v>
      </c>
      <c r="G211" s="282">
        <f>SUMIF(RM_Outbound_YTD!B:B,'RM Rollforward'!A211,RM_Outbound_YTD!D:D)</f>
        <v>0</v>
      </c>
      <c r="H211" s="283">
        <f t="shared" si="1"/>
        <v>0</v>
      </c>
      <c r="I211" s="284"/>
      <c r="J211" s="285">
        <v>75.0</v>
      </c>
      <c r="K211" s="286">
        <v>1.0</v>
      </c>
      <c r="L211" s="287">
        <f t="shared" si="4"/>
        <v>0</v>
      </c>
      <c r="M211" s="169"/>
    </row>
    <row r="212" ht="15.75" customHeight="1">
      <c r="A212" s="134" t="s">
        <v>948</v>
      </c>
      <c r="B212" s="135" t="s">
        <v>949</v>
      </c>
      <c r="C212" s="31" t="s">
        <v>729</v>
      </c>
      <c r="D212" s="280">
        <v>0.0</v>
      </c>
      <c r="E212" s="281">
        <f>SUMIF(RM_Purchase_YTD!C:C,'RM Rollforward'!A212,RM_Purchase_YTD!E:E)</f>
        <v>0</v>
      </c>
      <c r="F212" s="281">
        <f>SUMIF(RM_InboundProd_YTD!B:B,'RM Rollforward'!A212,RM_InboundProd_YTD!D:D)</f>
        <v>0</v>
      </c>
      <c r="G212" s="282">
        <f>SUMIF(RM_Outbound_YTD!B:B,'RM Rollforward'!A212,RM_Outbound_YTD!D:D)</f>
        <v>0</v>
      </c>
      <c r="H212" s="283">
        <f t="shared" si="1"/>
        <v>0</v>
      </c>
      <c r="I212" s="284"/>
      <c r="J212" s="285">
        <v>75.0</v>
      </c>
      <c r="K212" s="286">
        <v>1.0</v>
      </c>
      <c r="L212" s="287">
        <f t="shared" si="4"/>
        <v>0</v>
      </c>
      <c r="M212" s="169"/>
    </row>
    <row r="213" ht="15.75" customHeight="1">
      <c r="A213" s="134" t="s">
        <v>950</v>
      </c>
      <c r="B213" s="135" t="s">
        <v>951</v>
      </c>
      <c r="C213" s="31" t="s">
        <v>729</v>
      </c>
      <c r="D213" s="280">
        <v>0.0</v>
      </c>
      <c r="E213" s="281">
        <f>SUMIF(RM_Purchase_YTD!C:C,'RM Rollforward'!A213,RM_Purchase_YTD!E:E)</f>
        <v>0</v>
      </c>
      <c r="F213" s="281">
        <f>SUMIF(RM_InboundProd_YTD!B:B,'RM Rollforward'!A213,RM_InboundProd_YTD!D:D)</f>
        <v>0</v>
      </c>
      <c r="G213" s="282">
        <f>SUMIF(RM_Outbound_YTD!B:B,'RM Rollforward'!A213,RM_Outbound_YTD!D:D)</f>
        <v>0</v>
      </c>
      <c r="H213" s="283">
        <f t="shared" si="1"/>
        <v>0</v>
      </c>
      <c r="I213" s="284"/>
      <c r="J213" s="285">
        <v>75.0</v>
      </c>
      <c r="K213" s="286">
        <v>1.0</v>
      </c>
      <c r="L213" s="287">
        <f t="shared" si="4"/>
        <v>0</v>
      </c>
      <c r="M213" s="169"/>
    </row>
    <row r="214" ht="15.75" customHeight="1">
      <c r="A214" s="134" t="s">
        <v>952</v>
      </c>
      <c r="B214" s="135" t="s">
        <v>953</v>
      </c>
      <c r="C214" s="31" t="s">
        <v>729</v>
      </c>
      <c r="D214" s="280">
        <v>0.0</v>
      </c>
      <c r="E214" s="281">
        <f>SUMIF(RM_Purchase_YTD!C:C,'RM Rollforward'!A214,RM_Purchase_YTD!E:E)</f>
        <v>0</v>
      </c>
      <c r="F214" s="281">
        <f>SUMIF(RM_InboundProd_YTD!B:B,'RM Rollforward'!A214,RM_InboundProd_YTD!D:D)</f>
        <v>0</v>
      </c>
      <c r="G214" s="282">
        <f>SUMIF(RM_Outbound_YTD!B:B,'RM Rollforward'!A214,RM_Outbound_YTD!D:D)</f>
        <v>0</v>
      </c>
      <c r="H214" s="283">
        <f t="shared" si="1"/>
        <v>0</v>
      </c>
      <c r="I214" s="284"/>
      <c r="J214" s="285">
        <v>75.0</v>
      </c>
      <c r="K214" s="286">
        <v>1.0</v>
      </c>
      <c r="L214" s="287">
        <f t="shared" si="4"/>
        <v>0</v>
      </c>
      <c r="M214" s="169"/>
    </row>
    <row r="215" ht="15.75" customHeight="1">
      <c r="A215" s="134" t="s">
        <v>954</v>
      </c>
      <c r="B215" s="135" t="s">
        <v>955</v>
      </c>
      <c r="C215" s="31" t="s">
        <v>729</v>
      </c>
      <c r="D215" s="280">
        <v>0.0</v>
      </c>
      <c r="E215" s="281">
        <f>SUMIF(RM_Purchase_YTD!C:C,'RM Rollforward'!A215,RM_Purchase_YTD!E:E)</f>
        <v>0</v>
      </c>
      <c r="F215" s="281">
        <f>SUMIF(RM_InboundProd_YTD!B:B,'RM Rollforward'!A215,RM_InboundProd_YTD!D:D)</f>
        <v>0</v>
      </c>
      <c r="G215" s="282">
        <f>SUMIF(RM_Outbound_YTD!B:B,'RM Rollforward'!A215,RM_Outbound_YTD!D:D)</f>
        <v>0</v>
      </c>
      <c r="H215" s="283">
        <f t="shared" si="1"/>
        <v>0</v>
      </c>
      <c r="I215" s="284"/>
      <c r="J215" s="285">
        <v>75.0</v>
      </c>
      <c r="K215" s="286">
        <v>1.0</v>
      </c>
      <c r="L215" s="287">
        <f t="shared" si="4"/>
        <v>0</v>
      </c>
      <c r="M215" s="169"/>
    </row>
    <row r="216" ht="15.75" customHeight="1">
      <c r="A216" s="134" t="s">
        <v>956</v>
      </c>
      <c r="B216" s="135" t="s">
        <v>957</v>
      </c>
      <c r="C216" s="31" t="s">
        <v>729</v>
      </c>
      <c r="D216" s="280">
        <v>0.0</v>
      </c>
      <c r="E216" s="281">
        <f>SUMIF(RM_Purchase_YTD!C:C,'RM Rollforward'!A216,RM_Purchase_YTD!E:E)</f>
        <v>0</v>
      </c>
      <c r="F216" s="281">
        <f>SUMIF(RM_InboundProd_YTD!B:B,'RM Rollforward'!A216,RM_InboundProd_YTD!D:D)</f>
        <v>0</v>
      </c>
      <c r="G216" s="282">
        <f>SUMIF(RM_Outbound_YTD!B:B,'RM Rollforward'!A216,RM_Outbound_YTD!D:D)</f>
        <v>0</v>
      </c>
      <c r="H216" s="283">
        <f t="shared" si="1"/>
        <v>0</v>
      </c>
      <c r="I216" s="284"/>
      <c r="J216" s="285">
        <v>75.0</v>
      </c>
      <c r="K216" s="286">
        <v>1.0</v>
      </c>
      <c r="L216" s="287">
        <f t="shared" si="4"/>
        <v>0</v>
      </c>
      <c r="M216" s="169"/>
    </row>
    <row r="217" ht="15.75" customHeight="1">
      <c r="A217" s="134" t="s">
        <v>958</v>
      </c>
      <c r="B217" s="135" t="s">
        <v>959</v>
      </c>
      <c r="C217" s="31" t="s">
        <v>729</v>
      </c>
      <c r="D217" s="280">
        <v>55.0</v>
      </c>
      <c r="E217" s="281">
        <f>SUMIF(RM_Purchase_YTD!C:C,'RM Rollforward'!A217,RM_Purchase_YTD!E:E)</f>
        <v>0</v>
      </c>
      <c r="F217" s="281">
        <f>SUMIF(RM_InboundProd_YTD!B:B,'RM Rollforward'!A217,RM_InboundProd_YTD!D:D)</f>
        <v>0</v>
      </c>
      <c r="G217" s="282">
        <f>SUMIF(RM_Outbound_YTD!B:B,'RM Rollforward'!A217,RM_Outbound_YTD!D:D)</f>
        <v>0</v>
      </c>
      <c r="H217" s="283">
        <f t="shared" si="1"/>
        <v>55</v>
      </c>
      <c r="I217" s="284"/>
      <c r="J217" s="285">
        <v>75.0</v>
      </c>
      <c r="K217" s="286">
        <v>1.0</v>
      </c>
      <c r="L217" s="287">
        <f t="shared" si="4"/>
        <v>4125</v>
      </c>
      <c r="M217" s="169"/>
    </row>
    <row r="218" ht="15.75" customHeight="1">
      <c r="A218" s="134" t="s">
        <v>685</v>
      </c>
      <c r="B218" s="135" t="s">
        <v>686</v>
      </c>
      <c r="C218" s="31" t="s">
        <v>729</v>
      </c>
      <c r="D218" s="280">
        <v>106.0</v>
      </c>
      <c r="E218" s="281">
        <f>SUMIF(RM_Purchase_YTD!C:C,'RM Rollforward'!A218,RM_Purchase_YTD!E:E)</f>
        <v>0</v>
      </c>
      <c r="F218" s="281">
        <f>SUMIF(RM_InboundProd_YTD!B:B,'RM Rollforward'!A218,RM_InboundProd_YTD!D:D)</f>
        <v>0</v>
      </c>
      <c r="G218" s="282">
        <f>SUMIF(RM_Outbound_YTD!B:B,'RM Rollforward'!A218,RM_Outbound_YTD!D:D)</f>
        <v>106</v>
      </c>
      <c r="H218" s="283">
        <f t="shared" si="1"/>
        <v>0</v>
      </c>
      <c r="I218" s="284"/>
      <c r="J218" s="285">
        <v>75.0</v>
      </c>
      <c r="K218" s="286">
        <v>1.0</v>
      </c>
      <c r="L218" s="287">
        <f t="shared" si="4"/>
        <v>0</v>
      </c>
      <c r="M218" s="169"/>
    </row>
    <row r="219" ht="15.75" customHeight="1">
      <c r="A219" s="134" t="s">
        <v>671</v>
      </c>
      <c r="B219" s="135" t="s">
        <v>672</v>
      </c>
      <c r="C219" s="31" t="s">
        <v>729</v>
      </c>
      <c r="D219" s="280">
        <v>234.0</v>
      </c>
      <c r="E219" s="281">
        <f>SUMIF(RM_Purchase_YTD!C:C,'RM Rollforward'!A219,RM_Purchase_YTD!E:E)</f>
        <v>0</v>
      </c>
      <c r="F219" s="281">
        <f>SUMIF(RM_InboundProd_YTD!B:B,'RM Rollforward'!A219,RM_InboundProd_YTD!D:D)</f>
        <v>0</v>
      </c>
      <c r="G219" s="282">
        <f>SUMIF(RM_Outbound_YTD!B:B,'RM Rollforward'!A219,RM_Outbound_YTD!D:D)</f>
        <v>94</v>
      </c>
      <c r="H219" s="283">
        <f t="shared" si="1"/>
        <v>140</v>
      </c>
      <c r="I219" s="284"/>
      <c r="J219" s="285">
        <v>75.0</v>
      </c>
      <c r="K219" s="286">
        <v>1.0</v>
      </c>
      <c r="L219" s="287">
        <f t="shared" si="4"/>
        <v>10500</v>
      </c>
      <c r="M219" s="169"/>
    </row>
    <row r="220" ht="15.75" customHeight="1">
      <c r="A220" s="134" t="s">
        <v>960</v>
      </c>
      <c r="B220" s="135" t="s">
        <v>961</v>
      </c>
      <c r="C220" s="31" t="s">
        <v>729</v>
      </c>
      <c r="D220" s="280">
        <v>95.0</v>
      </c>
      <c r="E220" s="281">
        <f>SUMIF(RM_Purchase_YTD!C:C,'RM Rollforward'!A220,RM_Purchase_YTD!E:E)</f>
        <v>0</v>
      </c>
      <c r="F220" s="281">
        <f>SUMIF(RM_InboundProd_YTD!B:B,'RM Rollforward'!A220,RM_InboundProd_YTD!D:D)</f>
        <v>0</v>
      </c>
      <c r="G220" s="282">
        <f>SUMIF(RM_Outbound_YTD!B:B,'RM Rollforward'!A220,RM_Outbound_YTD!D:D)</f>
        <v>0</v>
      </c>
      <c r="H220" s="283">
        <f t="shared" si="1"/>
        <v>95</v>
      </c>
      <c r="I220" s="284"/>
      <c r="J220" s="285">
        <v>75.0</v>
      </c>
      <c r="K220" s="286">
        <v>1.0</v>
      </c>
      <c r="L220" s="287">
        <f t="shared" si="4"/>
        <v>7125</v>
      </c>
      <c r="M220" s="169"/>
    </row>
    <row r="221" ht="15.75" customHeight="1">
      <c r="A221" s="134" t="s">
        <v>303</v>
      </c>
      <c r="B221" s="135" t="s">
        <v>304</v>
      </c>
      <c r="C221" s="31" t="s">
        <v>729</v>
      </c>
      <c r="D221" s="280">
        <v>0.0</v>
      </c>
      <c r="E221" s="281">
        <f>SUMIF(RM_Purchase_YTD!C:C,'RM Rollforward'!A221,RM_Purchase_YTD!E:E)</f>
        <v>0</v>
      </c>
      <c r="F221" s="281">
        <f>SUMIF(RM_InboundProd_YTD!B:B,'RM Rollforward'!A221,RM_InboundProd_YTD!D:D)</f>
        <v>108</v>
      </c>
      <c r="G221" s="282">
        <f>SUMIF(RM_Outbound_YTD!B:B,'RM Rollforward'!A221,RM_Outbound_YTD!D:D)</f>
        <v>57</v>
      </c>
      <c r="H221" s="283">
        <f t="shared" si="1"/>
        <v>51</v>
      </c>
      <c r="I221" s="284"/>
      <c r="J221" s="285">
        <v>75.0</v>
      </c>
      <c r="K221" s="286">
        <v>1.0</v>
      </c>
      <c r="L221" s="287">
        <f t="shared" si="4"/>
        <v>3825</v>
      </c>
      <c r="M221" s="169"/>
    </row>
    <row r="222" ht="15.75" customHeight="1">
      <c r="A222" s="134" t="s">
        <v>275</v>
      </c>
      <c r="B222" s="135" t="s">
        <v>276</v>
      </c>
      <c r="C222" s="31" t="s">
        <v>729</v>
      </c>
      <c r="D222" s="280">
        <v>0.0</v>
      </c>
      <c r="E222" s="281">
        <f>SUMIF(RM_Purchase_YTD!C:C,'RM Rollforward'!A222,RM_Purchase_YTD!E:E)</f>
        <v>0</v>
      </c>
      <c r="F222" s="281">
        <f>SUMIF(RM_InboundProd_YTD!B:B,'RM Rollforward'!A222,RM_InboundProd_YTD!D:D)</f>
        <v>202</v>
      </c>
      <c r="G222" s="282">
        <f>SUMIF(RM_Outbound_YTD!B:B,'RM Rollforward'!A222,RM_Outbound_YTD!D:D)</f>
        <v>151</v>
      </c>
      <c r="H222" s="283">
        <f t="shared" si="1"/>
        <v>51</v>
      </c>
      <c r="I222" s="284"/>
      <c r="J222" s="285">
        <v>75.0</v>
      </c>
      <c r="K222" s="286">
        <v>1.0</v>
      </c>
      <c r="L222" s="287">
        <f t="shared" si="4"/>
        <v>3825</v>
      </c>
      <c r="M222" s="169"/>
    </row>
    <row r="223" ht="15.75" customHeight="1">
      <c r="A223" s="134" t="s">
        <v>365</v>
      </c>
      <c r="B223" s="135" t="s">
        <v>366</v>
      </c>
      <c r="C223" s="31" t="s">
        <v>729</v>
      </c>
      <c r="D223" s="280">
        <v>209.0</v>
      </c>
      <c r="E223" s="281">
        <f>SUMIF(RM_Purchase_YTD!C:C,'RM Rollforward'!A223,RM_Purchase_YTD!E:E)</f>
        <v>0</v>
      </c>
      <c r="F223" s="281">
        <f>SUMIF(RM_InboundProd_YTD!B:B,'RM Rollforward'!A223,RM_InboundProd_YTD!D:D)</f>
        <v>134</v>
      </c>
      <c r="G223" s="282">
        <f>SUMIF(RM_Outbound_YTD!B:B,'RM Rollforward'!A223,RM_Outbound_YTD!D:D)</f>
        <v>144</v>
      </c>
      <c r="H223" s="283">
        <f t="shared" si="1"/>
        <v>199</v>
      </c>
      <c r="I223" s="284"/>
      <c r="J223" s="285">
        <v>75.0</v>
      </c>
      <c r="K223" s="286">
        <v>1.0</v>
      </c>
      <c r="L223" s="287">
        <f t="shared" si="4"/>
        <v>14925</v>
      </c>
      <c r="M223" s="169"/>
    </row>
    <row r="224" ht="15.75" customHeight="1">
      <c r="A224" s="134" t="s">
        <v>962</v>
      </c>
      <c r="B224" s="135" t="s">
        <v>963</v>
      </c>
      <c r="C224" s="31" t="s">
        <v>729</v>
      </c>
      <c r="D224" s="280">
        <v>39.0</v>
      </c>
      <c r="E224" s="281">
        <f>SUMIF(RM_Purchase_YTD!C:C,'RM Rollforward'!A224,RM_Purchase_YTD!E:E)</f>
        <v>0</v>
      </c>
      <c r="F224" s="281">
        <f>SUMIF(RM_InboundProd_YTD!B:B,'RM Rollforward'!A224,RM_InboundProd_YTD!D:D)</f>
        <v>0</v>
      </c>
      <c r="G224" s="282">
        <f>SUMIF(RM_Outbound_YTD!B:B,'RM Rollforward'!A224,RM_Outbound_YTD!D:D)</f>
        <v>0</v>
      </c>
      <c r="H224" s="283">
        <f t="shared" si="1"/>
        <v>39</v>
      </c>
      <c r="I224" s="284"/>
      <c r="J224" s="285">
        <v>75.0</v>
      </c>
      <c r="K224" s="286">
        <v>1.0</v>
      </c>
      <c r="L224" s="287">
        <f t="shared" si="4"/>
        <v>2925</v>
      </c>
      <c r="M224" s="169"/>
    </row>
    <row r="225" ht="15.75" customHeight="1">
      <c r="A225" s="134" t="s">
        <v>405</v>
      </c>
      <c r="B225" s="135" t="s">
        <v>406</v>
      </c>
      <c r="C225" s="31" t="s">
        <v>729</v>
      </c>
      <c r="D225" s="280">
        <v>45.0</v>
      </c>
      <c r="E225" s="281">
        <f>SUMIF(RM_Purchase_YTD!C:C,'RM Rollforward'!A225,RM_Purchase_YTD!E:E)</f>
        <v>0</v>
      </c>
      <c r="F225" s="281">
        <f>SUMIF(RM_InboundProd_YTD!B:B,'RM Rollforward'!A225,RM_InboundProd_YTD!D:D)</f>
        <v>271</v>
      </c>
      <c r="G225" s="282">
        <f>SUMIF(RM_Outbound_YTD!B:B,'RM Rollforward'!A225,RM_Outbound_YTD!D:D)</f>
        <v>45</v>
      </c>
      <c r="H225" s="283">
        <f t="shared" si="1"/>
        <v>271</v>
      </c>
      <c r="I225" s="284"/>
      <c r="J225" s="285">
        <v>75.0</v>
      </c>
      <c r="K225" s="286">
        <v>1.0</v>
      </c>
      <c r="L225" s="287">
        <f t="shared" si="4"/>
        <v>20325</v>
      </c>
      <c r="M225" s="169"/>
    </row>
    <row r="226" ht="15.75" customHeight="1">
      <c r="A226" s="134" t="s">
        <v>401</v>
      </c>
      <c r="B226" s="135" t="s">
        <v>402</v>
      </c>
      <c r="C226" s="31" t="s">
        <v>729</v>
      </c>
      <c r="D226" s="280">
        <v>0.0</v>
      </c>
      <c r="E226" s="281">
        <f>SUMIF(RM_Purchase_YTD!C:C,'RM Rollforward'!A226,RM_Purchase_YTD!E:E)</f>
        <v>0</v>
      </c>
      <c r="F226" s="281">
        <f>SUMIF(RM_InboundProd_YTD!B:B,'RM Rollforward'!A226,RM_InboundProd_YTD!D:D)</f>
        <v>154</v>
      </c>
      <c r="G226" s="282">
        <f>SUMIF(RM_Outbound_YTD!B:B,'RM Rollforward'!A226,RM_Outbound_YTD!D:D)</f>
        <v>154</v>
      </c>
      <c r="H226" s="283">
        <f t="shared" si="1"/>
        <v>0</v>
      </c>
      <c r="I226" s="284"/>
      <c r="J226" s="285">
        <v>75.0</v>
      </c>
      <c r="K226" s="286">
        <v>1.0</v>
      </c>
      <c r="L226" s="287">
        <f t="shared" si="4"/>
        <v>0</v>
      </c>
      <c r="M226" s="169"/>
    </row>
    <row r="227" ht="15.75" customHeight="1">
      <c r="A227" s="134" t="s">
        <v>964</v>
      </c>
      <c r="B227" s="135" t="s">
        <v>687</v>
      </c>
      <c r="C227" s="31" t="s">
        <v>729</v>
      </c>
      <c r="D227" s="280">
        <v>0.0</v>
      </c>
      <c r="E227" s="281">
        <f>SUMIF(RM_Purchase_YTD!C:C,'RM Rollforward'!A227,RM_Purchase_YTD!E:E)</f>
        <v>0</v>
      </c>
      <c r="F227" s="281">
        <f>SUMIF(RM_InboundProd_YTD!B:B,'RM Rollforward'!A227,RM_InboundProd_YTD!D:D)</f>
        <v>0</v>
      </c>
      <c r="G227" s="282">
        <f>SUMIF(RM_Outbound_YTD!B:B,'RM Rollforward'!A227,RM_Outbound_YTD!D:D)</f>
        <v>0</v>
      </c>
      <c r="H227" s="283">
        <f t="shared" si="1"/>
        <v>0</v>
      </c>
      <c r="I227" s="284"/>
      <c r="J227" s="285">
        <v>75.0</v>
      </c>
      <c r="K227" s="286">
        <v>1.0</v>
      </c>
      <c r="L227" s="287">
        <f t="shared" si="4"/>
        <v>0</v>
      </c>
      <c r="M227" s="169"/>
    </row>
    <row r="228" ht="15.75" customHeight="1">
      <c r="A228" s="134" t="s">
        <v>347</v>
      </c>
      <c r="B228" s="135" t="s">
        <v>348</v>
      </c>
      <c r="C228" s="31" t="s">
        <v>729</v>
      </c>
      <c r="D228" s="280">
        <v>0.0</v>
      </c>
      <c r="E228" s="281">
        <f>SUMIF(RM_Purchase_YTD!C:C,'RM Rollforward'!A228,RM_Purchase_YTD!E:E)</f>
        <v>0</v>
      </c>
      <c r="F228" s="281">
        <f>SUMIF(RM_InboundProd_YTD!B:B,'RM Rollforward'!A228,RM_InboundProd_YTD!D:D)</f>
        <v>101</v>
      </c>
      <c r="G228" s="282">
        <f>SUMIF(RM_Outbound_YTD!B:B,'RM Rollforward'!A228,RM_Outbound_YTD!D:D)</f>
        <v>35</v>
      </c>
      <c r="H228" s="283">
        <f t="shared" si="1"/>
        <v>66</v>
      </c>
      <c r="I228" s="284"/>
      <c r="J228" s="285">
        <v>75.0</v>
      </c>
      <c r="K228" s="286">
        <v>1.0</v>
      </c>
      <c r="L228" s="287">
        <f t="shared" si="4"/>
        <v>4950</v>
      </c>
      <c r="M228" s="169"/>
    </row>
    <row r="229" ht="15.75" customHeight="1">
      <c r="A229" s="134" t="s">
        <v>965</v>
      </c>
      <c r="B229" s="135" t="s">
        <v>966</v>
      </c>
      <c r="C229" s="31" t="s">
        <v>729</v>
      </c>
      <c r="D229" s="280">
        <v>30.0</v>
      </c>
      <c r="E229" s="281">
        <f>SUMIF(RM_Purchase_YTD!C:C,'RM Rollforward'!A229,RM_Purchase_YTD!E:E)</f>
        <v>0</v>
      </c>
      <c r="F229" s="281">
        <f>SUMIF(RM_InboundProd_YTD!B:B,'RM Rollforward'!A229,RM_InboundProd_YTD!D:D)</f>
        <v>0</v>
      </c>
      <c r="G229" s="282">
        <f>SUMIF(RM_Outbound_YTD!B:B,'RM Rollforward'!A229,RM_Outbound_YTD!D:D)</f>
        <v>0</v>
      </c>
      <c r="H229" s="283">
        <f t="shared" si="1"/>
        <v>30</v>
      </c>
      <c r="I229" s="284"/>
      <c r="J229" s="285">
        <v>75.0</v>
      </c>
      <c r="K229" s="286">
        <v>1.0</v>
      </c>
      <c r="L229" s="287">
        <f t="shared" si="4"/>
        <v>2250</v>
      </c>
      <c r="M229" s="169"/>
    </row>
    <row r="230" ht="15.75" customHeight="1">
      <c r="A230" s="134" t="s">
        <v>373</v>
      </c>
      <c r="B230" s="135" t="s">
        <v>374</v>
      </c>
      <c r="C230" s="31" t="s">
        <v>729</v>
      </c>
      <c r="D230" s="280">
        <v>0.0</v>
      </c>
      <c r="E230" s="281">
        <f>SUMIF(RM_Purchase_YTD!C:C,'RM Rollforward'!A230,RM_Purchase_YTD!E:E)</f>
        <v>0</v>
      </c>
      <c r="F230" s="281">
        <f>SUMIF(RM_InboundProd_YTD!B:B,'RM Rollforward'!A230,RM_InboundProd_YTD!D:D)</f>
        <v>85</v>
      </c>
      <c r="G230" s="282">
        <f>SUMIF(RM_Outbound_YTD!B:B,'RM Rollforward'!A230,RM_Outbound_YTD!D:D)</f>
        <v>73</v>
      </c>
      <c r="H230" s="283">
        <f t="shared" si="1"/>
        <v>12</v>
      </c>
      <c r="I230" s="284"/>
      <c r="J230" s="285">
        <v>75.0</v>
      </c>
      <c r="K230" s="286">
        <v>1.0</v>
      </c>
      <c r="L230" s="287">
        <f t="shared" si="4"/>
        <v>900</v>
      </c>
      <c r="M230" s="169"/>
    </row>
    <row r="231" ht="15.75" customHeight="1">
      <c r="A231" s="134" t="s">
        <v>399</v>
      </c>
      <c r="B231" s="135" t="s">
        <v>400</v>
      </c>
      <c r="C231" s="31" t="s">
        <v>729</v>
      </c>
      <c r="D231" s="280">
        <v>0.0</v>
      </c>
      <c r="E231" s="281">
        <f>SUMIF(RM_Purchase_YTD!C:C,'RM Rollforward'!A231,RM_Purchase_YTD!E:E)</f>
        <v>0</v>
      </c>
      <c r="F231" s="281">
        <f>SUMIF(RM_InboundProd_YTD!B:B,'RM Rollforward'!A231,RM_InboundProd_YTD!D:D)</f>
        <v>198</v>
      </c>
      <c r="G231" s="282">
        <f>SUMIF(RM_Outbound_YTD!B:B,'RM Rollforward'!A231,RM_Outbound_YTD!D:D)</f>
        <v>0</v>
      </c>
      <c r="H231" s="283">
        <f t="shared" si="1"/>
        <v>198</v>
      </c>
      <c r="I231" s="284"/>
      <c r="J231" s="285">
        <v>75.0</v>
      </c>
      <c r="K231" s="286">
        <v>1.0</v>
      </c>
      <c r="L231" s="287">
        <f t="shared" si="4"/>
        <v>14850</v>
      </c>
      <c r="M231" s="169"/>
    </row>
    <row r="232" ht="15.75" customHeight="1">
      <c r="A232" s="134" t="s">
        <v>967</v>
      </c>
      <c r="B232" s="135" t="s">
        <v>968</v>
      </c>
      <c r="C232" s="31" t="s">
        <v>729</v>
      </c>
      <c r="D232" s="280">
        <v>0.0</v>
      </c>
      <c r="E232" s="281">
        <f>SUMIF(RM_Purchase_YTD!C:C,'RM Rollforward'!A232,RM_Purchase_YTD!E:E)</f>
        <v>0</v>
      </c>
      <c r="F232" s="281">
        <f>SUMIF(RM_InboundProd_YTD!B:B,'RM Rollforward'!A232,RM_InboundProd_YTD!D:D)</f>
        <v>0</v>
      </c>
      <c r="G232" s="282">
        <f>SUMIF(RM_Outbound_YTD!B:B,'RM Rollforward'!A232,RM_Outbound_YTD!D:D)</f>
        <v>0</v>
      </c>
      <c r="H232" s="283">
        <f t="shared" si="1"/>
        <v>0</v>
      </c>
      <c r="I232" s="284"/>
      <c r="J232" s="285">
        <v>75.0</v>
      </c>
      <c r="K232" s="286">
        <v>1.0</v>
      </c>
      <c r="L232" s="287">
        <f t="shared" si="4"/>
        <v>0</v>
      </c>
      <c r="M232" s="169"/>
    </row>
    <row r="233" ht="15.75" customHeight="1">
      <c r="A233" s="134" t="s">
        <v>969</v>
      </c>
      <c r="B233" s="135" t="s">
        <v>970</v>
      </c>
      <c r="C233" s="31" t="s">
        <v>729</v>
      </c>
      <c r="D233" s="280">
        <v>0.0</v>
      </c>
      <c r="E233" s="281">
        <f>SUMIF(RM_Purchase_YTD!C:C,'RM Rollforward'!A233,RM_Purchase_YTD!E:E)</f>
        <v>0</v>
      </c>
      <c r="F233" s="281">
        <f>SUMIF(RM_InboundProd_YTD!B:B,'RM Rollforward'!A233,RM_InboundProd_YTD!D:D)</f>
        <v>0</v>
      </c>
      <c r="G233" s="282">
        <f>SUMIF(RM_Outbound_YTD!B:B,'RM Rollforward'!A233,RM_Outbound_YTD!D:D)</f>
        <v>0</v>
      </c>
      <c r="H233" s="283">
        <f t="shared" si="1"/>
        <v>0</v>
      </c>
      <c r="I233" s="284"/>
      <c r="J233" s="285">
        <v>75.0</v>
      </c>
      <c r="K233" s="286">
        <v>1.0</v>
      </c>
      <c r="L233" s="287">
        <f t="shared" si="4"/>
        <v>0</v>
      </c>
      <c r="M233" s="169"/>
    </row>
    <row r="234" ht="15.75" customHeight="1">
      <c r="A234" s="134" t="s">
        <v>971</v>
      </c>
      <c r="B234" s="135" t="s">
        <v>972</v>
      </c>
      <c r="C234" s="31" t="s">
        <v>729</v>
      </c>
      <c r="D234" s="280">
        <v>0.0</v>
      </c>
      <c r="E234" s="281">
        <f>SUMIF(RM_Purchase_YTD!C:C,'RM Rollforward'!A234,RM_Purchase_YTD!E:E)</f>
        <v>0</v>
      </c>
      <c r="F234" s="281">
        <f>SUMIF(RM_InboundProd_YTD!B:B,'RM Rollforward'!A234,RM_InboundProd_YTD!D:D)</f>
        <v>0</v>
      </c>
      <c r="G234" s="282">
        <f>SUMIF(RM_Outbound_YTD!B:B,'RM Rollforward'!A234,RM_Outbound_YTD!D:D)</f>
        <v>0</v>
      </c>
      <c r="H234" s="283">
        <f t="shared" si="1"/>
        <v>0</v>
      </c>
      <c r="I234" s="284"/>
      <c r="J234" s="285">
        <v>75.0</v>
      </c>
      <c r="K234" s="286">
        <v>1.0</v>
      </c>
      <c r="L234" s="287">
        <f t="shared" si="4"/>
        <v>0</v>
      </c>
      <c r="M234" s="169"/>
    </row>
    <row r="235" ht="15.75" customHeight="1">
      <c r="A235" s="134" t="s">
        <v>973</v>
      </c>
      <c r="B235" s="135" t="s">
        <v>974</v>
      </c>
      <c r="C235" s="31" t="s">
        <v>729</v>
      </c>
      <c r="D235" s="280">
        <v>36.0</v>
      </c>
      <c r="E235" s="281">
        <f>SUMIF(RM_Purchase_YTD!C:C,'RM Rollforward'!A235,RM_Purchase_YTD!E:E)</f>
        <v>0</v>
      </c>
      <c r="F235" s="281">
        <f>SUMIF(RM_InboundProd_YTD!B:B,'RM Rollforward'!A235,RM_InboundProd_YTD!D:D)</f>
        <v>0</v>
      </c>
      <c r="G235" s="282">
        <f>SUMIF(RM_Outbound_YTD!B:B,'RM Rollforward'!A235,RM_Outbound_YTD!D:D)</f>
        <v>0</v>
      </c>
      <c r="H235" s="283">
        <f t="shared" si="1"/>
        <v>36</v>
      </c>
      <c r="I235" s="284"/>
      <c r="J235" s="285">
        <v>75.0</v>
      </c>
      <c r="K235" s="286">
        <v>1.0</v>
      </c>
      <c r="L235" s="287">
        <f t="shared" si="4"/>
        <v>2700</v>
      </c>
      <c r="M235" s="169"/>
    </row>
    <row r="236" ht="15.75" customHeight="1">
      <c r="A236" s="134" t="s">
        <v>975</v>
      </c>
      <c r="B236" s="135" t="s">
        <v>976</v>
      </c>
      <c r="C236" s="31" t="s">
        <v>729</v>
      </c>
      <c r="D236" s="280">
        <v>0.0</v>
      </c>
      <c r="E236" s="281">
        <f>SUMIF(RM_Purchase_YTD!C:C,'RM Rollforward'!A236,RM_Purchase_YTD!E:E)</f>
        <v>0</v>
      </c>
      <c r="F236" s="281">
        <f>SUMIF(RM_InboundProd_YTD!B:B,'RM Rollforward'!A236,RM_InboundProd_YTD!D:D)</f>
        <v>0</v>
      </c>
      <c r="G236" s="282">
        <f>SUMIF(RM_Outbound_YTD!B:B,'RM Rollforward'!A236,RM_Outbound_YTD!D:D)</f>
        <v>0</v>
      </c>
      <c r="H236" s="283">
        <f t="shared" si="1"/>
        <v>0</v>
      </c>
      <c r="I236" s="284"/>
      <c r="J236" s="285">
        <v>75.0</v>
      </c>
      <c r="K236" s="286">
        <v>1.0</v>
      </c>
      <c r="L236" s="287">
        <f t="shared" si="4"/>
        <v>0</v>
      </c>
      <c r="M236" s="169"/>
    </row>
    <row r="237" ht="15.75" customHeight="1">
      <c r="A237" s="134" t="s">
        <v>977</v>
      </c>
      <c r="B237" s="135" t="s">
        <v>978</v>
      </c>
      <c r="C237" s="31" t="s">
        <v>729</v>
      </c>
      <c r="D237" s="280">
        <v>0.0</v>
      </c>
      <c r="E237" s="281">
        <f>SUMIF(RM_Purchase_YTD!C:C,'RM Rollforward'!A237,RM_Purchase_YTD!E:E)</f>
        <v>0</v>
      </c>
      <c r="F237" s="281">
        <f>SUMIF(RM_InboundProd_YTD!B:B,'RM Rollforward'!A237,RM_InboundProd_YTD!D:D)</f>
        <v>0</v>
      </c>
      <c r="G237" s="282">
        <f>SUMIF(RM_Outbound_YTD!B:B,'RM Rollforward'!A237,RM_Outbound_YTD!D:D)</f>
        <v>0</v>
      </c>
      <c r="H237" s="283">
        <f t="shared" si="1"/>
        <v>0</v>
      </c>
      <c r="I237" s="284"/>
      <c r="J237" s="285">
        <v>75.0</v>
      </c>
      <c r="K237" s="286">
        <v>1.0</v>
      </c>
      <c r="L237" s="287">
        <f t="shared" si="4"/>
        <v>0</v>
      </c>
      <c r="M237" s="169"/>
    </row>
    <row r="238" ht="15.75" customHeight="1">
      <c r="A238" s="134" t="s">
        <v>979</v>
      </c>
      <c r="B238" s="135" t="s">
        <v>980</v>
      </c>
      <c r="C238" s="31" t="s">
        <v>729</v>
      </c>
      <c r="D238" s="280">
        <v>0.0</v>
      </c>
      <c r="E238" s="281">
        <f>SUMIF(RM_Purchase_YTD!C:C,'RM Rollforward'!A238,RM_Purchase_YTD!E:E)</f>
        <v>0</v>
      </c>
      <c r="F238" s="281">
        <f>SUMIF(RM_InboundProd_YTD!B:B,'RM Rollforward'!A238,RM_InboundProd_YTD!D:D)</f>
        <v>0</v>
      </c>
      <c r="G238" s="282">
        <f>SUMIF(RM_Outbound_YTD!B:B,'RM Rollforward'!A238,RM_Outbound_YTD!D:D)</f>
        <v>0</v>
      </c>
      <c r="H238" s="283">
        <f t="shared" si="1"/>
        <v>0</v>
      </c>
      <c r="I238" s="284"/>
      <c r="J238" s="285">
        <v>75.0</v>
      </c>
      <c r="K238" s="286">
        <v>1.0</v>
      </c>
      <c r="L238" s="287">
        <f t="shared" si="4"/>
        <v>0</v>
      </c>
      <c r="M238" s="169"/>
    </row>
    <row r="239" ht="15.75" customHeight="1">
      <c r="A239" s="134" t="s">
        <v>419</v>
      </c>
      <c r="B239" s="135" t="s">
        <v>420</v>
      </c>
      <c r="C239" s="31" t="s">
        <v>729</v>
      </c>
      <c r="D239" s="280">
        <v>20.0</v>
      </c>
      <c r="E239" s="281">
        <f>SUMIF(RM_Purchase_YTD!C:C,'RM Rollforward'!A239,RM_Purchase_YTD!E:E)</f>
        <v>0</v>
      </c>
      <c r="F239" s="281">
        <f>SUMIF(RM_InboundProd_YTD!B:B,'RM Rollforward'!A239,RM_InboundProd_YTD!D:D)</f>
        <v>24</v>
      </c>
      <c r="G239" s="282">
        <f>SUMIF(RM_Outbound_YTD!B:B,'RM Rollforward'!A239,RM_Outbound_YTD!D:D)</f>
        <v>12</v>
      </c>
      <c r="H239" s="283">
        <f t="shared" si="1"/>
        <v>32</v>
      </c>
      <c r="I239" s="284"/>
      <c r="J239" s="285">
        <v>75.0</v>
      </c>
      <c r="K239" s="286">
        <v>1.0</v>
      </c>
      <c r="L239" s="287">
        <f t="shared" si="4"/>
        <v>2400</v>
      </c>
      <c r="M239" s="169"/>
    </row>
    <row r="240" ht="15.75" customHeight="1">
      <c r="A240" s="134" t="s">
        <v>981</v>
      </c>
      <c r="B240" s="135" t="s">
        <v>982</v>
      </c>
      <c r="C240" s="31" t="s">
        <v>729</v>
      </c>
      <c r="D240" s="280">
        <v>0.0</v>
      </c>
      <c r="E240" s="281">
        <f>SUMIF(RM_Purchase_YTD!C:C,'RM Rollforward'!A240,RM_Purchase_YTD!E:E)</f>
        <v>0</v>
      </c>
      <c r="F240" s="281">
        <f>SUMIF(RM_InboundProd_YTD!B:B,'RM Rollforward'!A240,RM_InboundProd_YTD!D:D)</f>
        <v>0</v>
      </c>
      <c r="G240" s="282">
        <f>SUMIF(RM_Outbound_YTD!B:B,'RM Rollforward'!A240,RM_Outbound_YTD!D:D)</f>
        <v>0</v>
      </c>
      <c r="H240" s="283">
        <f t="shared" si="1"/>
        <v>0</v>
      </c>
      <c r="I240" s="284"/>
      <c r="J240" s="285">
        <v>75.0</v>
      </c>
      <c r="K240" s="286">
        <v>1.0</v>
      </c>
      <c r="L240" s="287">
        <f t="shared" si="4"/>
        <v>0</v>
      </c>
      <c r="M240" s="169"/>
    </row>
    <row r="241" ht="15.75" customHeight="1">
      <c r="A241" s="134" t="s">
        <v>983</v>
      </c>
      <c r="B241" s="135" t="s">
        <v>984</v>
      </c>
      <c r="C241" s="31" t="s">
        <v>729</v>
      </c>
      <c r="D241" s="280">
        <v>0.0</v>
      </c>
      <c r="E241" s="281">
        <f>SUMIF(RM_Purchase_YTD!C:C,'RM Rollforward'!A241,RM_Purchase_YTD!E:E)</f>
        <v>0</v>
      </c>
      <c r="F241" s="281">
        <f>SUMIF(RM_InboundProd_YTD!B:B,'RM Rollforward'!A241,RM_InboundProd_YTD!D:D)</f>
        <v>0</v>
      </c>
      <c r="G241" s="282">
        <f>SUMIF(RM_Outbound_YTD!B:B,'RM Rollforward'!A241,RM_Outbound_YTD!D:D)</f>
        <v>0</v>
      </c>
      <c r="H241" s="283">
        <f t="shared" si="1"/>
        <v>0</v>
      </c>
      <c r="I241" s="284"/>
      <c r="J241" s="285">
        <v>75.0</v>
      </c>
      <c r="K241" s="286">
        <v>1.0</v>
      </c>
      <c r="L241" s="287">
        <f t="shared" si="4"/>
        <v>0</v>
      </c>
      <c r="M241" s="169"/>
    </row>
    <row r="242" ht="15.75" customHeight="1">
      <c r="A242" s="134" t="s">
        <v>985</v>
      </c>
      <c r="B242" s="135" t="s">
        <v>986</v>
      </c>
      <c r="C242" s="31" t="s">
        <v>729</v>
      </c>
      <c r="D242" s="280">
        <v>0.0</v>
      </c>
      <c r="E242" s="281">
        <f>SUMIF(RM_Purchase_YTD!C:C,'RM Rollforward'!A242,RM_Purchase_YTD!E:E)</f>
        <v>0</v>
      </c>
      <c r="F242" s="281">
        <f>SUMIF(RM_InboundProd_YTD!B:B,'RM Rollforward'!A242,RM_InboundProd_YTD!D:D)</f>
        <v>0</v>
      </c>
      <c r="G242" s="282">
        <f>SUMIF(RM_Outbound_YTD!B:B,'RM Rollforward'!A242,RM_Outbound_YTD!D:D)</f>
        <v>0</v>
      </c>
      <c r="H242" s="283">
        <f t="shared" si="1"/>
        <v>0</v>
      </c>
      <c r="I242" s="284"/>
      <c r="J242" s="285">
        <v>75.0</v>
      </c>
      <c r="K242" s="286">
        <v>1.0</v>
      </c>
      <c r="L242" s="287">
        <f t="shared" si="4"/>
        <v>0</v>
      </c>
      <c r="M242" s="169"/>
    </row>
    <row r="243" ht="15.75" customHeight="1">
      <c r="A243" s="134" t="s">
        <v>987</v>
      </c>
      <c r="B243" s="135" t="s">
        <v>988</v>
      </c>
      <c r="C243" s="31" t="s">
        <v>729</v>
      </c>
      <c r="D243" s="280">
        <v>42.0</v>
      </c>
      <c r="E243" s="281">
        <f>SUMIF(RM_Purchase_YTD!C:C,'RM Rollforward'!A243,RM_Purchase_YTD!E:E)</f>
        <v>0</v>
      </c>
      <c r="F243" s="281">
        <f>SUMIF(RM_InboundProd_YTD!B:B,'RM Rollforward'!A243,RM_InboundProd_YTD!D:D)</f>
        <v>0</v>
      </c>
      <c r="G243" s="282">
        <f>SUMIF(RM_Outbound_YTD!B:B,'RM Rollforward'!A243,RM_Outbound_YTD!D:D)</f>
        <v>0</v>
      </c>
      <c r="H243" s="283">
        <f t="shared" si="1"/>
        <v>42</v>
      </c>
      <c r="I243" s="284"/>
      <c r="J243" s="285">
        <v>75.0</v>
      </c>
      <c r="K243" s="286">
        <v>1.0</v>
      </c>
      <c r="L243" s="287">
        <f t="shared" si="4"/>
        <v>3150</v>
      </c>
      <c r="M243" s="169"/>
    </row>
    <row r="244" ht="15.75" customHeight="1">
      <c r="A244" s="134" t="s">
        <v>989</v>
      </c>
      <c r="B244" s="135" t="s">
        <v>990</v>
      </c>
      <c r="C244" s="31" t="s">
        <v>729</v>
      </c>
      <c r="D244" s="280">
        <v>0.0</v>
      </c>
      <c r="E244" s="281">
        <f>SUMIF(RM_Purchase_YTD!C:C,'RM Rollforward'!A244,RM_Purchase_YTD!E:E)</f>
        <v>0</v>
      </c>
      <c r="F244" s="281">
        <f>SUMIF(RM_InboundProd_YTD!B:B,'RM Rollforward'!A244,RM_InboundProd_YTD!D:D)</f>
        <v>0</v>
      </c>
      <c r="G244" s="282">
        <f>SUMIF(RM_Outbound_YTD!B:B,'RM Rollforward'!A244,RM_Outbound_YTD!D:D)</f>
        <v>0</v>
      </c>
      <c r="H244" s="283">
        <f t="shared" si="1"/>
        <v>0</v>
      </c>
      <c r="I244" s="284"/>
      <c r="J244" s="285">
        <v>75.0</v>
      </c>
      <c r="K244" s="286">
        <v>1.0</v>
      </c>
      <c r="L244" s="287">
        <f t="shared" si="4"/>
        <v>0</v>
      </c>
      <c r="M244" s="169"/>
    </row>
    <row r="245" ht="15.75" customHeight="1">
      <c r="A245" s="134" t="s">
        <v>991</v>
      </c>
      <c r="B245" s="135" t="s">
        <v>992</v>
      </c>
      <c r="C245" s="31" t="s">
        <v>729</v>
      </c>
      <c r="D245" s="280">
        <v>0.0</v>
      </c>
      <c r="E245" s="281">
        <f>SUMIF(RM_Purchase_YTD!C:C,'RM Rollforward'!A245,RM_Purchase_YTD!E:E)</f>
        <v>0</v>
      </c>
      <c r="F245" s="281">
        <f>SUMIF(RM_InboundProd_YTD!B:B,'RM Rollforward'!A245,RM_InboundProd_YTD!D:D)</f>
        <v>0</v>
      </c>
      <c r="G245" s="282">
        <f>SUMIF(RM_Outbound_YTD!B:B,'RM Rollforward'!A245,RM_Outbound_YTD!D:D)</f>
        <v>0</v>
      </c>
      <c r="H245" s="283">
        <f t="shared" si="1"/>
        <v>0</v>
      </c>
      <c r="I245" s="284"/>
      <c r="J245" s="285">
        <v>75.0</v>
      </c>
      <c r="K245" s="286">
        <v>1.0</v>
      </c>
      <c r="L245" s="287">
        <f t="shared" si="4"/>
        <v>0</v>
      </c>
      <c r="M245" s="169"/>
    </row>
    <row r="246" ht="15.75" customHeight="1">
      <c r="A246" s="134" t="s">
        <v>993</v>
      </c>
      <c r="B246" s="135" t="s">
        <v>994</v>
      </c>
      <c r="C246" s="31" t="s">
        <v>729</v>
      </c>
      <c r="D246" s="280">
        <v>0.0</v>
      </c>
      <c r="E246" s="281">
        <f>SUMIF(RM_Purchase_YTD!C:C,'RM Rollforward'!A246,RM_Purchase_YTD!E:E)</f>
        <v>0</v>
      </c>
      <c r="F246" s="281">
        <f>SUMIF(RM_InboundProd_YTD!B:B,'RM Rollforward'!A246,RM_InboundProd_YTD!D:D)</f>
        <v>0</v>
      </c>
      <c r="G246" s="282">
        <f>SUMIF(RM_Outbound_YTD!B:B,'RM Rollforward'!A246,RM_Outbound_YTD!D:D)</f>
        <v>0</v>
      </c>
      <c r="H246" s="283">
        <f t="shared" si="1"/>
        <v>0</v>
      </c>
      <c r="I246" s="284"/>
      <c r="J246" s="285">
        <v>75.0</v>
      </c>
      <c r="K246" s="286">
        <v>1.0</v>
      </c>
      <c r="L246" s="287">
        <f t="shared" si="4"/>
        <v>0</v>
      </c>
      <c r="M246" s="169"/>
    </row>
    <row r="247" ht="15.75" customHeight="1">
      <c r="A247" s="134" t="s">
        <v>995</v>
      </c>
      <c r="B247" s="135" t="s">
        <v>996</v>
      </c>
      <c r="C247" s="31" t="s">
        <v>729</v>
      </c>
      <c r="D247" s="280">
        <v>0.0</v>
      </c>
      <c r="E247" s="281">
        <f>SUMIF(RM_Purchase_YTD!C:C,'RM Rollforward'!A247,RM_Purchase_YTD!E:E)</f>
        <v>0</v>
      </c>
      <c r="F247" s="281">
        <f>SUMIF(RM_InboundProd_YTD!B:B,'RM Rollforward'!A247,RM_InboundProd_YTD!D:D)</f>
        <v>0</v>
      </c>
      <c r="G247" s="282">
        <f>SUMIF(RM_Outbound_YTD!B:B,'RM Rollforward'!A247,RM_Outbound_YTD!D:D)</f>
        <v>0</v>
      </c>
      <c r="H247" s="283">
        <f t="shared" si="1"/>
        <v>0</v>
      </c>
      <c r="I247" s="284"/>
      <c r="J247" s="285">
        <v>75.0</v>
      </c>
      <c r="K247" s="286">
        <v>1.0</v>
      </c>
      <c r="L247" s="287">
        <f t="shared" si="4"/>
        <v>0</v>
      </c>
      <c r="M247" s="169"/>
    </row>
    <row r="248" ht="15.75" customHeight="1">
      <c r="A248" s="134" t="s">
        <v>997</v>
      </c>
      <c r="B248" s="135" t="s">
        <v>998</v>
      </c>
      <c r="C248" s="31" t="s">
        <v>729</v>
      </c>
      <c r="D248" s="280">
        <v>0.0</v>
      </c>
      <c r="E248" s="281">
        <f>SUMIF(RM_Purchase_YTD!C:C,'RM Rollforward'!A248,RM_Purchase_YTD!E:E)</f>
        <v>0</v>
      </c>
      <c r="F248" s="281">
        <f>SUMIF(RM_InboundProd_YTD!B:B,'RM Rollforward'!A248,RM_InboundProd_YTD!D:D)</f>
        <v>0</v>
      </c>
      <c r="G248" s="282">
        <f>SUMIF(RM_Outbound_YTD!B:B,'RM Rollforward'!A248,RM_Outbound_YTD!D:D)</f>
        <v>0</v>
      </c>
      <c r="H248" s="283">
        <f t="shared" si="1"/>
        <v>0</v>
      </c>
      <c r="I248" s="284"/>
      <c r="J248" s="285">
        <v>75.0</v>
      </c>
      <c r="K248" s="286">
        <v>1.0</v>
      </c>
      <c r="L248" s="287">
        <f t="shared" si="4"/>
        <v>0</v>
      </c>
      <c r="M248" s="169"/>
    </row>
    <row r="249" ht="15.75" customHeight="1">
      <c r="A249" s="134" t="s">
        <v>999</v>
      </c>
      <c r="B249" s="135" t="s">
        <v>1000</v>
      </c>
      <c r="C249" s="31" t="s">
        <v>729</v>
      </c>
      <c r="D249" s="280">
        <v>0.0</v>
      </c>
      <c r="E249" s="281">
        <f>SUMIF(RM_Purchase_YTD!C:C,'RM Rollforward'!A249,RM_Purchase_YTD!E:E)</f>
        <v>0</v>
      </c>
      <c r="F249" s="281">
        <f>SUMIF(RM_InboundProd_YTD!B:B,'RM Rollforward'!A249,RM_InboundProd_YTD!D:D)</f>
        <v>0</v>
      </c>
      <c r="G249" s="282">
        <f>SUMIF(RM_Outbound_YTD!B:B,'RM Rollforward'!A249,RM_Outbound_YTD!D:D)</f>
        <v>0</v>
      </c>
      <c r="H249" s="283">
        <f t="shared" si="1"/>
        <v>0</v>
      </c>
      <c r="I249" s="284"/>
      <c r="J249" s="285">
        <v>75.0</v>
      </c>
      <c r="K249" s="286">
        <v>1.0</v>
      </c>
      <c r="L249" s="287">
        <f t="shared" si="4"/>
        <v>0</v>
      </c>
      <c r="M249" s="169"/>
    </row>
    <row r="250" ht="15.75" customHeight="1">
      <c r="A250" s="134" t="s">
        <v>1001</v>
      </c>
      <c r="B250" s="135" t="s">
        <v>1002</v>
      </c>
      <c r="C250" s="31" t="s">
        <v>729</v>
      </c>
      <c r="D250" s="280">
        <v>0.0</v>
      </c>
      <c r="E250" s="281">
        <f>SUMIF(RM_Purchase_YTD!C:C,'RM Rollforward'!A250,RM_Purchase_YTD!E:E)</f>
        <v>0</v>
      </c>
      <c r="F250" s="281">
        <f>SUMIF(RM_InboundProd_YTD!B:B,'RM Rollforward'!A250,RM_InboundProd_YTD!D:D)</f>
        <v>0</v>
      </c>
      <c r="G250" s="282">
        <f>SUMIF(RM_Outbound_YTD!B:B,'RM Rollforward'!A250,RM_Outbound_YTD!D:D)</f>
        <v>0</v>
      </c>
      <c r="H250" s="283">
        <f t="shared" si="1"/>
        <v>0</v>
      </c>
      <c r="I250" s="284"/>
      <c r="J250" s="285">
        <v>75.0</v>
      </c>
      <c r="K250" s="286">
        <v>1.0</v>
      </c>
      <c r="L250" s="287">
        <f t="shared" si="4"/>
        <v>0</v>
      </c>
      <c r="M250" s="169"/>
    </row>
    <row r="251" ht="15.75" customHeight="1">
      <c r="A251" s="134" t="s">
        <v>1003</v>
      </c>
      <c r="B251" s="135" t="s">
        <v>1004</v>
      </c>
      <c r="C251" s="31" t="s">
        <v>729</v>
      </c>
      <c r="D251" s="280">
        <v>0.0</v>
      </c>
      <c r="E251" s="281">
        <f>SUMIF(RM_Purchase_YTD!C:C,'RM Rollforward'!A251,RM_Purchase_YTD!E:E)</f>
        <v>0</v>
      </c>
      <c r="F251" s="281">
        <f>SUMIF(RM_InboundProd_YTD!B:B,'RM Rollforward'!A251,RM_InboundProd_YTD!D:D)</f>
        <v>0</v>
      </c>
      <c r="G251" s="282">
        <f>SUMIF(RM_Outbound_YTD!B:B,'RM Rollforward'!A251,RM_Outbound_YTD!D:D)</f>
        <v>0</v>
      </c>
      <c r="H251" s="283">
        <f t="shared" si="1"/>
        <v>0</v>
      </c>
      <c r="I251" s="284"/>
      <c r="J251" s="285">
        <v>75.0</v>
      </c>
      <c r="K251" s="286">
        <v>1.0</v>
      </c>
      <c r="L251" s="287">
        <f t="shared" si="4"/>
        <v>0</v>
      </c>
      <c r="M251" s="169"/>
    </row>
    <row r="252" ht="15.75" customHeight="1">
      <c r="A252" s="134" t="s">
        <v>1005</v>
      </c>
      <c r="B252" s="135" t="s">
        <v>1006</v>
      </c>
      <c r="C252" s="31" t="s">
        <v>729</v>
      </c>
      <c r="D252" s="280">
        <v>0.0</v>
      </c>
      <c r="E252" s="281">
        <f>SUMIF(RM_Purchase_YTD!C:C,'RM Rollforward'!A252,RM_Purchase_YTD!E:E)</f>
        <v>0</v>
      </c>
      <c r="F252" s="281">
        <f>SUMIF(RM_InboundProd_YTD!B:B,'RM Rollforward'!A252,RM_InboundProd_YTD!D:D)</f>
        <v>0</v>
      </c>
      <c r="G252" s="282">
        <f>SUMIF(RM_Outbound_YTD!B:B,'RM Rollforward'!A252,RM_Outbound_YTD!D:D)</f>
        <v>0</v>
      </c>
      <c r="H252" s="283">
        <f t="shared" si="1"/>
        <v>0</v>
      </c>
      <c r="I252" s="284"/>
      <c r="J252" s="285">
        <v>75.0</v>
      </c>
      <c r="K252" s="286">
        <v>1.0</v>
      </c>
      <c r="L252" s="287">
        <f t="shared" si="4"/>
        <v>0</v>
      </c>
      <c r="M252" s="169"/>
    </row>
    <row r="253" ht="15.75" customHeight="1">
      <c r="A253" s="134" t="s">
        <v>1007</v>
      </c>
      <c r="B253" s="135" t="s">
        <v>1008</v>
      </c>
      <c r="C253" s="31" t="s">
        <v>729</v>
      </c>
      <c r="D253" s="280">
        <v>0.0</v>
      </c>
      <c r="E253" s="281">
        <f>SUMIF(RM_Purchase_YTD!C:C,'RM Rollforward'!A253,RM_Purchase_YTD!E:E)</f>
        <v>0</v>
      </c>
      <c r="F253" s="281">
        <f>SUMIF(RM_InboundProd_YTD!B:B,'RM Rollforward'!A253,RM_InboundProd_YTD!D:D)</f>
        <v>0</v>
      </c>
      <c r="G253" s="282">
        <f>SUMIF(RM_Outbound_YTD!B:B,'RM Rollforward'!A253,RM_Outbound_YTD!D:D)</f>
        <v>0</v>
      </c>
      <c r="H253" s="283">
        <f t="shared" si="1"/>
        <v>0</v>
      </c>
      <c r="I253" s="284"/>
      <c r="J253" s="285">
        <v>75.0</v>
      </c>
      <c r="K253" s="286">
        <v>1.0</v>
      </c>
      <c r="L253" s="287">
        <f t="shared" si="4"/>
        <v>0</v>
      </c>
      <c r="M253" s="169"/>
    </row>
    <row r="254" ht="15.75" customHeight="1">
      <c r="A254" s="134" t="s">
        <v>1009</v>
      </c>
      <c r="B254" s="135" t="s">
        <v>1010</v>
      </c>
      <c r="C254" s="31" t="s">
        <v>729</v>
      </c>
      <c r="D254" s="280">
        <v>0.0</v>
      </c>
      <c r="E254" s="281">
        <f>SUMIF(RM_Purchase_YTD!C:C,'RM Rollforward'!A254,RM_Purchase_YTD!E:E)</f>
        <v>0</v>
      </c>
      <c r="F254" s="281">
        <f>SUMIF(RM_InboundProd_YTD!B:B,'RM Rollforward'!A254,RM_InboundProd_YTD!D:D)</f>
        <v>0</v>
      </c>
      <c r="G254" s="282">
        <f>SUMIF(RM_Outbound_YTD!B:B,'RM Rollforward'!A254,RM_Outbound_YTD!D:D)</f>
        <v>0</v>
      </c>
      <c r="H254" s="283">
        <f t="shared" si="1"/>
        <v>0</v>
      </c>
      <c r="I254" s="284"/>
      <c r="J254" s="285">
        <v>75.0</v>
      </c>
      <c r="K254" s="286">
        <v>1.0</v>
      </c>
      <c r="L254" s="287">
        <f t="shared" si="4"/>
        <v>0</v>
      </c>
      <c r="M254" s="169"/>
    </row>
    <row r="255" ht="15.75" customHeight="1">
      <c r="A255" s="134" t="s">
        <v>1011</v>
      </c>
      <c r="B255" s="135" t="s">
        <v>1012</v>
      </c>
      <c r="C255" s="31" t="s">
        <v>729</v>
      </c>
      <c r="D255" s="280">
        <v>0.0</v>
      </c>
      <c r="E255" s="281">
        <f>SUMIF(RM_Purchase_YTD!C:C,'RM Rollforward'!A255,RM_Purchase_YTD!E:E)</f>
        <v>0</v>
      </c>
      <c r="F255" s="281">
        <f>SUMIF(RM_InboundProd_YTD!B:B,'RM Rollforward'!A255,RM_InboundProd_YTD!D:D)</f>
        <v>0</v>
      </c>
      <c r="G255" s="282">
        <f>SUMIF(RM_Outbound_YTD!B:B,'RM Rollforward'!A255,RM_Outbound_YTD!D:D)</f>
        <v>0</v>
      </c>
      <c r="H255" s="283">
        <f t="shared" si="1"/>
        <v>0</v>
      </c>
      <c r="I255" s="284"/>
      <c r="J255" s="285">
        <v>75.0</v>
      </c>
      <c r="K255" s="286">
        <v>1.0</v>
      </c>
      <c r="L255" s="287">
        <f t="shared" si="4"/>
        <v>0</v>
      </c>
      <c r="M255" s="169"/>
    </row>
    <row r="256" ht="15.75" customHeight="1">
      <c r="A256" s="134" t="s">
        <v>1013</v>
      </c>
      <c r="B256" s="316" t="s">
        <v>1014</v>
      </c>
      <c r="C256" s="31" t="s">
        <v>729</v>
      </c>
      <c r="D256" s="280">
        <v>0.0</v>
      </c>
      <c r="E256" s="281">
        <f>SUMIF(RM_Purchase_YTD!C:C,'RM Rollforward'!A256,RM_Purchase_YTD!E:E)</f>
        <v>0</v>
      </c>
      <c r="F256" s="281">
        <f>SUMIF(RM_InboundProd_YTD!B:B,'RM Rollforward'!A256,RM_InboundProd_YTD!D:D)</f>
        <v>0</v>
      </c>
      <c r="G256" s="282">
        <f>SUMIF(RM_Outbound_YTD!B:B,'RM Rollforward'!A256,RM_Outbound_YTD!D:D)</f>
        <v>0</v>
      </c>
      <c r="H256" s="283">
        <f t="shared" si="1"/>
        <v>0</v>
      </c>
      <c r="I256" s="284"/>
      <c r="J256" s="285">
        <v>75.0</v>
      </c>
      <c r="K256" s="286">
        <v>1.0</v>
      </c>
      <c r="L256" s="287">
        <f t="shared" si="4"/>
        <v>0</v>
      </c>
      <c r="M256" s="169"/>
    </row>
    <row r="257" ht="15.75" customHeight="1">
      <c r="A257" s="134" t="s">
        <v>1015</v>
      </c>
      <c r="B257" s="316" t="s">
        <v>1016</v>
      </c>
      <c r="C257" s="31" t="s">
        <v>729</v>
      </c>
      <c r="D257" s="280">
        <v>0.0</v>
      </c>
      <c r="E257" s="281">
        <f>SUMIF(RM_Purchase_YTD!C:C,'RM Rollforward'!A257,RM_Purchase_YTD!E:E)</f>
        <v>0</v>
      </c>
      <c r="F257" s="281">
        <f>SUMIF(RM_InboundProd_YTD!B:B,'RM Rollforward'!A257,RM_InboundProd_YTD!D:D)</f>
        <v>0</v>
      </c>
      <c r="G257" s="282">
        <f>SUMIF(RM_Outbound_YTD!B:B,'RM Rollforward'!A257,RM_Outbound_YTD!D:D)</f>
        <v>0</v>
      </c>
      <c r="H257" s="283">
        <f t="shared" si="1"/>
        <v>0</v>
      </c>
      <c r="I257" s="284"/>
      <c r="J257" s="285">
        <v>75.0</v>
      </c>
      <c r="K257" s="286">
        <v>1.0</v>
      </c>
      <c r="L257" s="287">
        <f t="shared" si="4"/>
        <v>0</v>
      </c>
      <c r="M257" s="169"/>
    </row>
    <row r="258" ht="15.75" customHeight="1">
      <c r="A258" s="134" t="s">
        <v>1017</v>
      </c>
      <c r="B258" s="316" t="s">
        <v>1018</v>
      </c>
      <c r="C258" s="31" t="s">
        <v>729</v>
      </c>
      <c r="D258" s="280">
        <v>0.0</v>
      </c>
      <c r="E258" s="281">
        <f>SUMIF(RM_Purchase_YTD!C:C,'RM Rollforward'!A258,RM_Purchase_YTD!E:E)</f>
        <v>0</v>
      </c>
      <c r="F258" s="281">
        <f>SUMIF(RM_InboundProd_YTD!B:B,'RM Rollforward'!A258,RM_InboundProd_YTD!D:D)</f>
        <v>0</v>
      </c>
      <c r="G258" s="282">
        <f>SUMIF(RM_Outbound_YTD!B:B,'RM Rollforward'!A258,RM_Outbound_YTD!D:D)</f>
        <v>0</v>
      </c>
      <c r="H258" s="283">
        <f t="shared" si="1"/>
        <v>0</v>
      </c>
      <c r="I258" s="284"/>
      <c r="J258" s="285">
        <v>75.0</v>
      </c>
      <c r="K258" s="286">
        <v>1.0</v>
      </c>
      <c r="L258" s="287">
        <f t="shared" si="4"/>
        <v>0</v>
      </c>
      <c r="M258" s="169"/>
    </row>
    <row r="259" ht="15.75" customHeight="1">
      <c r="A259" s="139" t="s">
        <v>1019</v>
      </c>
      <c r="B259" s="140" t="s">
        <v>1020</v>
      </c>
      <c r="C259" s="31" t="s">
        <v>729</v>
      </c>
      <c r="D259" s="280">
        <v>71.0</v>
      </c>
      <c r="E259" s="281">
        <f>SUMIF(RM_Purchase_YTD!C:C,'RM Rollforward'!A259,RM_Purchase_YTD!E:E)</f>
        <v>0</v>
      </c>
      <c r="F259" s="281">
        <f>SUMIF(RM_InboundProd_YTD!B:B,'RM Rollforward'!A259,RM_InboundProd_YTD!D:D)</f>
        <v>0</v>
      </c>
      <c r="G259" s="282">
        <f>SUMIF(RM_Outbound_YTD!B:B,'RM Rollforward'!A259,RM_Outbound_YTD!D:D)</f>
        <v>0</v>
      </c>
      <c r="H259" s="283">
        <f t="shared" si="1"/>
        <v>71</v>
      </c>
      <c r="I259" s="284"/>
      <c r="J259" s="285">
        <v>75.0</v>
      </c>
      <c r="K259" s="286">
        <v>1.0</v>
      </c>
      <c r="L259" s="287">
        <f t="shared" si="4"/>
        <v>5325</v>
      </c>
      <c r="M259" s="169"/>
    </row>
    <row r="260" ht="15.75" customHeight="1">
      <c r="A260" s="231" t="s">
        <v>415</v>
      </c>
      <c r="B260" s="232" t="s">
        <v>416</v>
      </c>
      <c r="C260" s="313" t="s">
        <v>729</v>
      </c>
      <c r="D260" s="280">
        <v>35.0</v>
      </c>
      <c r="E260" s="281">
        <f>SUMIF(RM_Purchase_YTD!C:C,'RM Rollforward'!A260,RM_Purchase_YTD!E:E)</f>
        <v>0</v>
      </c>
      <c r="F260" s="281">
        <f>SUMIF(RM_InboundProd_YTD!B:B,'RM Rollforward'!A260,RM_InboundProd_YTD!D:D)</f>
        <v>56</v>
      </c>
      <c r="G260" s="282">
        <f>SUMIF(RM_Outbound_YTD!B:B,'RM Rollforward'!A260,RM_Outbound_YTD!D:D)</f>
        <v>91</v>
      </c>
      <c r="H260" s="283">
        <f t="shared" si="1"/>
        <v>0</v>
      </c>
      <c r="I260" s="284"/>
      <c r="J260" s="285">
        <v>75.0</v>
      </c>
      <c r="K260" s="286">
        <v>1.0</v>
      </c>
      <c r="L260" s="287">
        <f t="shared" si="4"/>
        <v>0</v>
      </c>
      <c r="M260" s="169"/>
    </row>
    <row r="261" ht="15.75" customHeight="1">
      <c r="A261" s="106" t="s">
        <v>427</v>
      </c>
      <c r="B261" s="144" t="s">
        <v>428</v>
      </c>
      <c r="C261" s="317" t="s">
        <v>729</v>
      </c>
      <c r="D261" s="280">
        <v>0.0</v>
      </c>
      <c r="E261" s="281">
        <f>SUMIF(RM_Purchase_YTD!C:C,'RM Rollforward'!A261,RM_Purchase_YTD!E:E)</f>
        <v>0</v>
      </c>
      <c r="F261" s="281">
        <f>SUMIF(RM_InboundProd_YTD!B:B,'RM Rollforward'!A261,RM_InboundProd_YTD!D:D)</f>
        <v>90</v>
      </c>
      <c r="G261" s="282">
        <f>SUMIF(RM_Outbound_YTD!B:B,'RM Rollforward'!A261,RM_Outbound_YTD!D:D)</f>
        <v>46</v>
      </c>
      <c r="H261" s="283">
        <f t="shared" si="1"/>
        <v>44</v>
      </c>
      <c r="I261" s="284"/>
      <c r="J261" s="285">
        <v>75.0</v>
      </c>
      <c r="K261" s="286">
        <v>1.0</v>
      </c>
      <c r="L261" s="287">
        <f t="shared" si="4"/>
        <v>3300</v>
      </c>
      <c r="M261" s="169"/>
    </row>
    <row r="262" ht="15.75" customHeight="1">
      <c r="A262" s="139" t="s">
        <v>325</v>
      </c>
      <c r="B262" s="140" t="s">
        <v>326</v>
      </c>
      <c r="C262" s="318" t="s">
        <v>729</v>
      </c>
      <c r="D262" s="280">
        <v>0.0</v>
      </c>
      <c r="E262" s="281">
        <f>SUMIF(RM_Purchase_YTD!C:C,'RM Rollforward'!A262,RM_Purchase_YTD!E:E)</f>
        <v>0</v>
      </c>
      <c r="F262" s="281">
        <f>SUMIF(RM_InboundProd_YTD!B:B,'RM Rollforward'!A262,RM_InboundProd_YTD!D:D)</f>
        <v>341</v>
      </c>
      <c r="G262" s="282">
        <f>SUMIF(RM_Outbound_YTD!B:B,'RM Rollforward'!A262,RM_Outbound_YTD!D:D)</f>
        <v>263</v>
      </c>
      <c r="H262" s="283">
        <f t="shared" si="1"/>
        <v>78</v>
      </c>
      <c r="I262" s="284"/>
      <c r="J262" s="285">
        <v>75.0</v>
      </c>
      <c r="K262" s="286">
        <v>1.0</v>
      </c>
      <c r="L262" s="287">
        <f t="shared" si="4"/>
        <v>5850</v>
      </c>
      <c r="M262" s="169"/>
    </row>
    <row r="263" ht="15.75" customHeight="1">
      <c r="A263" s="31" t="s">
        <v>375</v>
      </c>
      <c r="B263" s="31" t="s">
        <v>376</v>
      </c>
      <c r="C263" s="31" t="s">
        <v>729</v>
      </c>
      <c r="D263" s="280">
        <v>213.0</v>
      </c>
      <c r="E263" s="281">
        <f>SUMIF(RM_Purchase_YTD!C:C,'RM Rollforward'!A263,RM_Purchase_YTD!E:E)</f>
        <v>0</v>
      </c>
      <c r="F263" s="281">
        <f>SUMIF(RM_InboundProd_YTD!B:B,'RM Rollforward'!A263,RM_InboundProd_YTD!D:D)</f>
        <v>295</v>
      </c>
      <c r="G263" s="282">
        <f>SUMIF(RM_Outbound_YTD!B:B,'RM Rollforward'!A263,RM_Outbound_YTD!D:D)</f>
        <v>286</v>
      </c>
      <c r="H263" s="283">
        <f t="shared" si="1"/>
        <v>222</v>
      </c>
      <c r="I263" s="284"/>
      <c r="J263" s="285">
        <v>75.0</v>
      </c>
      <c r="K263" s="286">
        <v>1.0</v>
      </c>
      <c r="L263" s="287">
        <f t="shared" si="4"/>
        <v>16650</v>
      </c>
      <c r="M263" s="169"/>
    </row>
    <row r="264" ht="15.75" customHeight="1">
      <c r="A264" s="31" t="s">
        <v>421</v>
      </c>
      <c r="B264" s="31" t="s">
        <v>422</v>
      </c>
      <c r="C264" s="31" t="s">
        <v>729</v>
      </c>
      <c r="D264" s="280">
        <v>45.0</v>
      </c>
      <c r="E264" s="281">
        <f>SUMIF(RM_Purchase_YTD!C:C,'RM Rollforward'!A264,RM_Purchase_YTD!E:E)</f>
        <v>0</v>
      </c>
      <c r="F264" s="281">
        <f>SUMIF(RM_InboundProd_YTD!B:B,'RM Rollforward'!A264,RM_InboundProd_YTD!D:D)</f>
        <v>48</v>
      </c>
      <c r="G264" s="282">
        <f>SUMIF(RM_Outbound_YTD!B:B,'RM Rollforward'!A264,RM_Outbound_YTD!D:D)</f>
        <v>95</v>
      </c>
      <c r="H264" s="283">
        <f t="shared" si="1"/>
        <v>-2</v>
      </c>
      <c r="I264" s="284"/>
      <c r="J264" s="285">
        <v>75.0</v>
      </c>
      <c r="K264" s="286">
        <v>1.0</v>
      </c>
      <c r="L264" s="287">
        <f t="shared" si="4"/>
        <v>-150</v>
      </c>
      <c r="M264" s="169"/>
    </row>
    <row r="265" ht="15.75" customHeight="1">
      <c r="A265" s="31" t="s">
        <v>1021</v>
      </c>
      <c r="B265" s="31" t="s">
        <v>1022</v>
      </c>
      <c r="C265" s="31" t="s">
        <v>729</v>
      </c>
      <c r="D265" s="280">
        <v>0.0</v>
      </c>
      <c r="E265" s="281">
        <f>SUMIF(RM_Purchase_YTD!C:C,'RM Rollforward'!A265,RM_Purchase_YTD!E:E)</f>
        <v>0</v>
      </c>
      <c r="F265" s="281">
        <f>SUMIF(RM_InboundProd_YTD!B:B,'RM Rollforward'!A265,RM_InboundProd_YTD!D:D)</f>
        <v>0</v>
      </c>
      <c r="G265" s="282">
        <f>SUMIF(RM_Outbound_YTD!B:B,'RM Rollforward'!A265,RM_Outbound_YTD!D:D)</f>
        <v>0</v>
      </c>
      <c r="H265" s="283">
        <f t="shared" si="1"/>
        <v>0</v>
      </c>
      <c r="I265" s="284"/>
      <c r="J265" s="285">
        <v>75.0</v>
      </c>
      <c r="K265" s="286">
        <v>1.0</v>
      </c>
      <c r="L265" s="287">
        <f t="shared" si="4"/>
        <v>0</v>
      </c>
      <c r="M265" s="169"/>
    </row>
    <row r="266" ht="15.75" customHeight="1">
      <c r="A266" s="31" t="s">
        <v>1023</v>
      </c>
      <c r="B266" s="31" t="s">
        <v>1024</v>
      </c>
      <c r="C266" s="31" t="s">
        <v>729</v>
      </c>
      <c r="D266" s="280">
        <v>0.0</v>
      </c>
      <c r="E266" s="281">
        <f>SUMIF(RM_Purchase_YTD!C:C,'RM Rollforward'!A266,RM_Purchase_YTD!E:E)</f>
        <v>0</v>
      </c>
      <c r="F266" s="281">
        <f>SUMIF(RM_InboundProd_YTD!B:B,'RM Rollforward'!A266,RM_InboundProd_YTD!D:D)</f>
        <v>0</v>
      </c>
      <c r="G266" s="282">
        <f>SUMIF(RM_Outbound_YTD!B:B,'RM Rollforward'!A266,RM_Outbound_YTD!D:D)</f>
        <v>0</v>
      </c>
      <c r="H266" s="283">
        <f t="shared" si="1"/>
        <v>0</v>
      </c>
      <c r="I266" s="284"/>
      <c r="J266" s="285">
        <v>75.0</v>
      </c>
      <c r="K266" s="286">
        <v>1.0</v>
      </c>
      <c r="L266" s="287">
        <f t="shared" si="4"/>
        <v>0</v>
      </c>
      <c r="M266" s="169"/>
    </row>
    <row r="267" ht="15.75" customHeight="1">
      <c r="A267" s="31" t="s">
        <v>1025</v>
      </c>
      <c r="B267" s="31" t="s">
        <v>1026</v>
      </c>
      <c r="C267" s="31" t="s">
        <v>729</v>
      </c>
      <c r="D267" s="280">
        <v>0.0</v>
      </c>
      <c r="E267" s="281">
        <f>SUMIF(RM_Purchase_YTD!C:C,'RM Rollforward'!A267,RM_Purchase_YTD!E:E)</f>
        <v>0</v>
      </c>
      <c r="F267" s="281">
        <f>SUMIF(RM_InboundProd_YTD!B:B,'RM Rollforward'!A267,RM_InboundProd_YTD!D:D)</f>
        <v>0</v>
      </c>
      <c r="G267" s="282">
        <f>SUMIF(RM_Outbound_YTD!B:B,'RM Rollforward'!A267,RM_Outbound_YTD!D:D)</f>
        <v>0</v>
      </c>
      <c r="H267" s="283">
        <f t="shared" si="1"/>
        <v>0</v>
      </c>
      <c r="I267" s="284"/>
      <c r="J267" s="285">
        <v>75.0</v>
      </c>
      <c r="K267" s="286">
        <v>1.0</v>
      </c>
      <c r="L267" s="287">
        <f t="shared" si="4"/>
        <v>0</v>
      </c>
      <c r="M267" s="169"/>
    </row>
    <row r="268" ht="15.75" customHeight="1">
      <c r="A268" s="31" t="s">
        <v>1027</v>
      </c>
      <c r="B268" s="31" t="s">
        <v>1028</v>
      </c>
      <c r="C268" s="31" t="s">
        <v>729</v>
      </c>
      <c r="D268" s="280">
        <v>0.0</v>
      </c>
      <c r="E268" s="281">
        <f>SUMIF(RM_Purchase_YTD!C:C,'RM Rollforward'!A268,RM_Purchase_YTD!E:E)</f>
        <v>0</v>
      </c>
      <c r="F268" s="281">
        <f>SUMIF(RM_InboundProd_YTD!B:B,'RM Rollforward'!A268,RM_InboundProd_YTD!D:D)</f>
        <v>0</v>
      </c>
      <c r="G268" s="282">
        <f>SUMIF(RM_Outbound_YTD!B:B,'RM Rollforward'!A268,RM_Outbound_YTD!D:D)</f>
        <v>0</v>
      </c>
      <c r="H268" s="283">
        <f t="shared" si="1"/>
        <v>0</v>
      </c>
      <c r="I268" s="284"/>
      <c r="J268" s="285">
        <v>75.0</v>
      </c>
      <c r="K268" s="286">
        <v>1.0</v>
      </c>
      <c r="L268" s="287">
        <f t="shared" si="4"/>
        <v>0</v>
      </c>
      <c r="M268" s="169"/>
    </row>
    <row r="269" ht="15.75" customHeight="1">
      <c r="A269" s="31" t="s">
        <v>1029</v>
      </c>
      <c r="B269" s="31" t="s">
        <v>1030</v>
      </c>
      <c r="C269" s="31" t="s">
        <v>729</v>
      </c>
      <c r="D269" s="280">
        <v>0.0</v>
      </c>
      <c r="E269" s="281">
        <f>SUMIF(RM_Purchase_YTD!C:C,'RM Rollforward'!A269,RM_Purchase_YTD!E:E)</f>
        <v>0</v>
      </c>
      <c r="F269" s="281">
        <f>SUMIF(RM_InboundProd_YTD!B:B,'RM Rollforward'!A269,RM_InboundProd_YTD!D:D)</f>
        <v>0</v>
      </c>
      <c r="G269" s="282">
        <f>SUMIF(RM_Outbound_YTD!B:B,'RM Rollforward'!A269,RM_Outbound_YTD!D:D)</f>
        <v>0</v>
      </c>
      <c r="H269" s="283">
        <f t="shared" si="1"/>
        <v>0</v>
      </c>
      <c r="I269" s="284"/>
      <c r="J269" s="285">
        <v>75.0</v>
      </c>
      <c r="K269" s="286">
        <v>1.0</v>
      </c>
      <c r="L269" s="287">
        <f t="shared" si="4"/>
        <v>0</v>
      </c>
      <c r="M269" s="169"/>
    </row>
    <row r="270" ht="15.75" customHeight="1">
      <c r="A270" s="31" t="s">
        <v>1031</v>
      </c>
      <c r="B270" s="31" t="s">
        <v>1032</v>
      </c>
      <c r="C270" s="31" t="s">
        <v>729</v>
      </c>
      <c r="D270" s="280">
        <v>94.0</v>
      </c>
      <c r="E270" s="281">
        <f>SUMIF(RM_Purchase_YTD!C:C,'RM Rollforward'!A270,RM_Purchase_YTD!E:E)</f>
        <v>0</v>
      </c>
      <c r="F270" s="281">
        <f>SUMIF(RM_InboundProd_YTD!B:B,'RM Rollforward'!A270,RM_InboundProd_YTD!D:D)</f>
        <v>0</v>
      </c>
      <c r="G270" s="282">
        <f>SUMIF(RM_Outbound_YTD!B:B,'RM Rollforward'!A270,RM_Outbound_YTD!D:D)</f>
        <v>0</v>
      </c>
      <c r="H270" s="283">
        <f t="shared" si="1"/>
        <v>94</v>
      </c>
      <c r="I270" s="284"/>
      <c r="J270" s="285">
        <v>75.0</v>
      </c>
      <c r="K270" s="286">
        <v>1.0</v>
      </c>
      <c r="L270" s="287">
        <f t="shared" si="4"/>
        <v>7050</v>
      </c>
      <c r="M270" s="169"/>
    </row>
    <row r="271" ht="15.75" customHeight="1">
      <c r="A271" s="31" t="s">
        <v>1033</v>
      </c>
      <c r="B271" s="31" t="s">
        <v>1034</v>
      </c>
      <c r="C271" s="31" t="s">
        <v>729</v>
      </c>
      <c r="D271" s="280">
        <v>118.0</v>
      </c>
      <c r="E271" s="281">
        <f>SUMIF(RM_Purchase_YTD!C:C,'RM Rollforward'!A271,RM_Purchase_YTD!E:E)</f>
        <v>0</v>
      </c>
      <c r="F271" s="281">
        <f>SUMIF(RM_InboundProd_YTD!B:B,'RM Rollforward'!A271,RM_InboundProd_YTD!D:D)</f>
        <v>0</v>
      </c>
      <c r="G271" s="282">
        <f>SUMIF(RM_Outbound_YTD!B:B,'RM Rollforward'!A271,RM_Outbound_YTD!D:D)</f>
        <v>0</v>
      </c>
      <c r="H271" s="283">
        <f t="shared" si="1"/>
        <v>118</v>
      </c>
      <c r="I271" s="284"/>
      <c r="J271" s="285">
        <v>75.0</v>
      </c>
      <c r="K271" s="286">
        <v>1.0</v>
      </c>
      <c r="L271" s="287">
        <f t="shared" si="4"/>
        <v>8850</v>
      </c>
      <c r="M271" s="169"/>
    </row>
    <row r="272" ht="15.75" customHeight="1">
      <c r="A272" s="31" t="s">
        <v>293</v>
      </c>
      <c r="B272" s="31" t="s">
        <v>294</v>
      </c>
      <c r="C272" s="31" t="s">
        <v>729</v>
      </c>
      <c r="D272" s="280">
        <v>64.0</v>
      </c>
      <c r="E272" s="281">
        <f>SUMIF(RM_Purchase_YTD!C:C,'RM Rollforward'!A272,RM_Purchase_YTD!E:E)</f>
        <v>0</v>
      </c>
      <c r="F272" s="281">
        <f>SUMIF(RM_InboundProd_YTD!B:B,'RM Rollforward'!A272,RM_InboundProd_YTD!D:D)</f>
        <v>129</v>
      </c>
      <c r="G272" s="282">
        <f>SUMIF(RM_Outbound_YTD!B:B,'RM Rollforward'!A272,RM_Outbound_YTD!D:D)</f>
        <v>33</v>
      </c>
      <c r="H272" s="283">
        <f t="shared" si="1"/>
        <v>160</v>
      </c>
      <c r="I272" s="284"/>
      <c r="J272" s="285">
        <v>75.0</v>
      </c>
      <c r="K272" s="286">
        <v>1.0</v>
      </c>
      <c r="L272" s="287">
        <f t="shared" si="4"/>
        <v>12000</v>
      </c>
      <c r="M272" s="169"/>
    </row>
    <row r="273" ht="15.75" customHeight="1">
      <c r="A273" s="31" t="s">
        <v>1035</v>
      </c>
      <c r="B273" s="31" t="s">
        <v>1036</v>
      </c>
      <c r="C273" s="31" t="s">
        <v>729</v>
      </c>
      <c r="D273" s="280">
        <v>114.0</v>
      </c>
      <c r="E273" s="281">
        <f>SUMIF(RM_Purchase_YTD!C:C,'RM Rollforward'!A273,RM_Purchase_YTD!E:E)</f>
        <v>0</v>
      </c>
      <c r="F273" s="281">
        <f>SUMIF(RM_InboundProd_YTD!B:B,'RM Rollforward'!A273,RM_InboundProd_YTD!D:D)</f>
        <v>0</v>
      </c>
      <c r="G273" s="282">
        <f>SUMIF(RM_Outbound_YTD!B:B,'RM Rollforward'!A273,RM_Outbound_YTD!D:D)</f>
        <v>0</v>
      </c>
      <c r="H273" s="283">
        <f t="shared" si="1"/>
        <v>114</v>
      </c>
      <c r="I273" s="284"/>
      <c r="J273" s="285">
        <v>75.0</v>
      </c>
      <c r="K273" s="286">
        <v>1.0</v>
      </c>
      <c r="L273" s="287">
        <f t="shared" si="4"/>
        <v>8550</v>
      </c>
      <c r="M273" s="169"/>
    </row>
    <row r="274" ht="15.75" customHeight="1">
      <c r="A274" s="31" t="s">
        <v>429</v>
      </c>
      <c r="B274" s="31" t="s">
        <v>430</v>
      </c>
      <c r="C274" s="31" t="s">
        <v>729</v>
      </c>
      <c r="D274" s="280">
        <v>383.0</v>
      </c>
      <c r="E274" s="281">
        <f>SUMIF(RM_Purchase_YTD!C:C,'RM Rollforward'!A274,RM_Purchase_YTD!E:E)</f>
        <v>0</v>
      </c>
      <c r="F274" s="281">
        <f>SUMIF(RM_InboundProd_YTD!B:B,'RM Rollforward'!A274,RM_InboundProd_YTD!D:D)</f>
        <v>96</v>
      </c>
      <c r="G274" s="282">
        <f>SUMIF(RM_Outbound_YTD!B:B,'RM Rollforward'!A274,RM_Outbound_YTD!D:D)</f>
        <v>287</v>
      </c>
      <c r="H274" s="283">
        <f t="shared" si="1"/>
        <v>192</v>
      </c>
      <c r="I274" s="284"/>
      <c r="J274" s="285">
        <v>75.0</v>
      </c>
      <c r="K274" s="286">
        <v>1.0</v>
      </c>
      <c r="L274" s="287">
        <f t="shared" si="4"/>
        <v>14400</v>
      </c>
      <c r="M274" s="169"/>
    </row>
    <row r="275" ht="15.75" customHeight="1">
      <c r="A275" s="31" t="s">
        <v>357</v>
      </c>
      <c r="B275" s="31" t="s">
        <v>358</v>
      </c>
      <c r="C275" s="31" t="s">
        <v>729</v>
      </c>
      <c r="D275" s="280">
        <v>37.0</v>
      </c>
      <c r="E275" s="281">
        <f>SUMIF(RM_Purchase_YTD!C:C,'RM Rollforward'!A275,RM_Purchase_YTD!E:E)</f>
        <v>0</v>
      </c>
      <c r="F275" s="281">
        <f>SUMIF(RM_InboundProd_YTD!B:B,'RM Rollforward'!A275,RM_InboundProd_YTD!D:D)</f>
        <v>401</v>
      </c>
      <c r="G275" s="282">
        <f>SUMIF(RM_Outbound_YTD!B:B,'RM Rollforward'!A275,RM_Outbound_YTD!D:D)</f>
        <v>398</v>
      </c>
      <c r="H275" s="283">
        <f t="shared" si="1"/>
        <v>40</v>
      </c>
      <c r="I275" s="284"/>
      <c r="J275" s="285">
        <v>75.0</v>
      </c>
      <c r="K275" s="286">
        <v>1.0</v>
      </c>
      <c r="L275" s="287">
        <f t="shared" si="4"/>
        <v>3000</v>
      </c>
      <c r="M275" s="169"/>
    </row>
    <row r="276" ht="15.75" customHeight="1">
      <c r="A276" s="31" t="s">
        <v>665</v>
      </c>
      <c r="B276" s="31" t="s">
        <v>666</v>
      </c>
      <c r="C276" s="31" t="s">
        <v>729</v>
      </c>
      <c r="D276" s="280">
        <v>160.0</v>
      </c>
      <c r="E276" s="281">
        <f>SUMIF(RM_Purchase_YTD!C:C,'RM Rollforward'!A276,RM_Purchase_YTD!E:E)</f>
        <v>0</v>
      </c>
      <c r="F276" s="281">
        <f>SUMIF(RM_InboundProd_YTD!B:B,'RM Rollforward'!A276,RM_InboundProd_YTD!D:D)</f>
        <v>0</v>
      </c>
      <c r="G276" s="282">
        <f>SUMIF(RM_Outbound_YTD!B:B,'RM Rollforward'!A276,RM_Outbound_YTD!D:D)</f>
        <v>36</v>
      </c>
      <c r="H276" s="283">
        <f t="shared" si="1"/>
        <v>124</v>
      </c>
      <c r="I276" s="284"/>
      <c r="J276" s="285">
        <v>75.0</v>
      </c>
      <c r="K276" s="286">
        <v>1.0</v>
      </c>
      <c r="L276" s="287">
        <f t="shared" si="4"/>
        <v>9300</v>
      </c>
      <c r="M276" s="169"/>
    </row>
    <row r="277" ht="15.75" customHeight="1">
      <c r="A277" s="31" t="s">
        <v>690</v>
      </c>
      <c r="B277" s="31" t="s">
        <v>691</v>
      </c>
      <c r="C277" s="31" t="s">
        <v>729</v>
      </c>
      <c r="D277" s="280">
        <v>215.0</v>
      </c>
      <c r="E277" s="281">
        <f>SUMIF(RM_Purchase_YTD!C:C,'RM Rollforward'!A277,RM_Purchase_YTD!E:E)</f>
        <v>0</v>
      </c>
      <c r="F277" s="281">
        <f>SUMIF(RM_InboundProd_YTD!B:B,'RM Rollforward'!A277,RM_InboundProd_YTD!D:D)</f>
        <v>0</v>
      </c>
      <c r="G277" s="282">
        <f>SUMIF(RM_Outbound_YTD!B:B,'RM Rollforward'!A277,RM_Outbound_YTD!D:D)</f>
        <v>86</v>
      </c>
      <c r="H277" s="283">
        <f t="shared" si="1"/>
        <v>129</v>
      </c>
      <c r="I277" s="284"/>
      <c r="J277" s="285">
        <v>75.0</v>
      </c>
      <c r="K277" s="286">
        <v>1.0</v>
      </c>
      <c r="L277" s="287">
        <f t="shared" si="4"/>
        <v>9675</v>
      </c>
      <c r="M277" s="169"/>
    </row>
    <row r="278" ht="15.75" customHeight="1">
      <c r="A278" s="31" t="s">
        <v>1037</v>
      </c>
      <c r="B278" s="31" t="s">
        <v>1038</v>
      </c>
      <c r="C278" s="31" t="s">
        <v>729</v>
      </c>
      <c r="D278" s="280">
        <v>0.0</v>
      </c>
      <c r="E278" s="281">
        <f>SUMIF(RM_Purchase_YTD!C:C,'RM Rollforward'!A278,RM_Purchase_YTD!E:E)</f>
        <v>0</v>
      </c>
      <c r="F278" s="281">
        <f>SUMIF(RM_InboundProd_YTD!B:B,'RM Rollforward'!A278,RM_InboundProd_YTD!D:D)</f>
        <v>0</v>
      </c>
      <c r="G278" s="282">
        <f>SUMIF(RM_Outbound_YTD!B:B,'RM Rollforward'!A278,RM_Outbound_YTD!D:D)</f>
        <v>0</v>
      </c>
      <c r="H278" s="283">
        <f t="shared" si="1"/>
        <v>0</v>
      </c>
      <c r="I278" s="284"/>
      <c r="J278" s="285">
        <v>75.0</v>
      </c>
      <c r="K278" s="286">
        <v>1.0</v>
      </c>
      <c r="L278" s="287">
        <f t="shared" si="4"/>
        <v>0</v>
      </c>
      <c r="M278" s="169"/>
    </row>
    <row r="279" ht="15.75" customHeight="1">
      <c r="A279" s="31" t="s">
        <v>1039</v>
      </c>
      <c r="B279" s="31" t="s">
        <v>1040</v>
      </c>
      <c r="C279" s="31" t="s">
        <v>729</v>
      </c>
      <c r="D279" s="280">
        <v>0.0</v>
      </c>
      <c r="E279" s="281">
        <f>SUMIF(RM_Purchase_YTD!C:C,'RM Rollforward'!A279,RM_Purchase_YTD!E:E)</f>
        <v>0</v>
      </c>
      <c r="F279" s="281">
        <f>SUMIF(RM_InboundProd_YTD!B:B,'RM Rollforward'!A279,RM_InboundProd_YTD!D:D)</f>
        <v>0</v>
      </c>
      <c r="G279" s="282">
        <f>SUMIF(RM_Outbound_YTD!B:B,'RM Rollforward'!A279,RM_Outbound_YTD!D:D)</f>
        <v>0</v>
      </c>
      <c r="H279" s="283">
        <f t="shared" si="1"/>
        <v>0</v>
      </c>
      <c r="I279" s="284"/>
      <c r="J279" s="285">
        <v>75.0</v>
      </c>
      <c r="K279" s="286">
        <v>1.0</v>
      </c>
      <c r="L279" s="287">
        <f t="shared" si="4"/>
        <v>0</v>
      </c>
      <c r="M279" s="306"/>
      <c r="N279" s="101"/>
      <c r="O279" s="101"/>
      <c r="P279" s="101"/>
      <c r="Q279" s="101"/>
      <c r="R279" s="101"/>
      <c r="S279" s="101"/>
      <c r="T279" s="101"/>
      <c r="U279" s="101"/>
      <c r="V279" s="101"/>
    </row>
    <row r="280" ht="15.75" customHeight="1">
      <c r="A280" s="31" t="s">
        <v>1041</v>
      </c>
      <c r="B280" s="31" t="s">
        <v>1042</v>
      </c>
      <c r="C280" s="31" t="s">
        <v>729</v>
      </c>
      <c r="D280" s="280">
        <v>51.0</v>
      </c>
      <c r="E280" s="281">
        <f>SUMIF(RM_Purchase_YTD!C:C,'RM Rollforward'!A280,RM_Purchase_YTD!E:E)</f>
        <v>0</v>
      </c>
      <c r="F280" s="281">
        <f>SUMIF(RM_InboundProd_YTD!B:B,'RM Rollforward'!A280,RM_InboundProd_YTD!D:D)</f>
        <v>0</v>
      </c>
      <c r="G280" s="282">
        <f>SUMIF(RM_Outbound_YTD!B:B,'RM Rollforward'!A280,RM_Outbound_YTD!D:D)</f>
        <v>0</v>
      </c>
      <c r="H280" s="283">
        <f t="shared" si="1"/>
        <v>51</v>
      </c>
      <c r="I280" s="284"/>
      <c r="J280" s="285">
        <v>75.0</v>
      </c>
      <c r="K280" s="286">
        <v>1.0</v>
      </c>
      <c r="L280" s="287">
        <f t="shared" si="4"/>
        <v>3825</v>
      </c>
      <c r="M280" s="306"/>
      <c r="N280" s="101"/>
      <c r="O280" s="101"/>
      <c r="P280" s="101"/>
      <c r="Q280" s="101"/>
      <c r="R280" s="101"/>
      <c r="S280" s="101"/>
      <c r="T280" s="101"/>
      <c r="U280" s="101"/>
      <c r="V280" s="101"/>
    </row>
    <row r="281" ht="15.75" customHeight="1">
      <c r="A281" s="31" t="s">
        <v>1043</v>
      </c>
      <c r="B281" s="31" t="s">
        <v>1044</v>
      </c>
      <c r="C281" s="31" t="s">
        <v>729</v>
      </c>
      <c r="D281" s="280">
        <v>0.0</v>
      </c>
      <c r="E281" s="281">
        <f>SUMIF(RM_Purchase_YTD!C:C,'RM Rollforward'!A281,RM_Purchase_YTD!E:E)</f>
        <v>0</v>
      </c>
      <c r="F281" s="281">
        <f>SUMIF(RM_InboundProd_YTD!B:B,'RM Rollforward'!A281,RM_InboundProd_YTD!D:D)</f>
        <v>0</v>
      </c>
      <c r="G281" s="282">
        <f>SUMIF(RM_Outbound_YTD!B:B,'RM Rollforward'!A281,RM_Outbound_YTD!D:D)</f>
        <v>0</v>
      </c>
      <c r="H281" s="283">
        <f t="shared" si="1"/>
        <v>0</v>
      </c>
      <c r="I281" s="284"/>
      <c r="J281" s="285">
        <v>75.0</v>
      </c>
      <c r="K281" s="286">
        <v>1.0</v>
      </c>
      <c r="L281" s="287">
        <f t="shared" si="4"/>
        <v>0</v>
      </c>
      <c r="M281" s="306"/>
      <c r="N281" s="101"/>
      <c r="O281" s="101"/>
      <c r="P281" s="101"/>
      <c r="Q281" s="101"/>
      <c r="R281" s="101"/>
      <c r="S281" s="101"/>
      <c r="T281" s="101"/>
      <c r="U281" s="101"/>
      <c r="V281" s="101"/>
    </row>
    <row r="282" ht="15.75" customHeight="1">
      <c r="A282" s="31" t="s">
        <v>1045</v>
      </c>
      <c r="B282" s="31" t="s">
        <v>1046</v>
      </c>
      <c r="C282" s="31" t="s">
        <v>729</v>
      </c>
      <c r="D282" s="280">
        <v>59.0</v>
      </c>
      <c r="E282" s="281">
        <f>SUMIF(RM_Purchase_YTD!C:C,'RM Rollforward'!A282,RM_Purchase_YTD!E:E)</f>
        <v>0</v>
      </c>
      <c r="F282" s="281">
        <f>SUMIF(RM_InboundProd_YTD!B:B,'RM Rollforward'!A282,RM_InboundProd_YTD!D:D)</f>
        <v>0</v>
      </c>
      <c r="G282" s="282">
        <f>SUMIF(RM_Outbound_YTD!B:B,'RM Rollforward'!A282,RM_Outbound_YTD!D:D)</f>
        <v>0</v>
      </c>
      <c r="H282" s="283">
        <f t="shared" si="1"/>
        <v>59</v>
      </c>
      <c r="I282" s="284"/>
      <c r="J282" s="285">
        <v>75.0</v>
      </c>
      <c r="K282" s="286">
        <v>1.0</v>
      </c>
      <c r="L282" s="287">
        <f t="shared" si="4"/>
        <v>4425</v>
      </c>
      <c r="M282" s="306"/>
      <c r="N282" s="101"/>
      <c r="O282" s="101"/>
      <c r="P282" s="101"/>
      <c r="Q282" s="101"/>
      <c r="R282" s="101"/>
      <c r="S282" s="101"/>
      <c r="T282" s="101"/>
      <c r="U282" s="101"/>
      <c r="V282" s="101"/>
    </row>
    <row r="283" ht="15.75" customHeight="1">
      <c r="A283" s="31" t="s">
        <v>349</v>
      </c>
      <c r="B283" s="31" t="s">
        <v>350</v>
      </c>
      <c r="C283" s="31" t="s">
        <v>729</v>
      </c>
      <c r="D283" s="280">
        <v>0.0</v>
      </c>
      <c r="E283" s="281">
        <f>SUMIF(RM_Purchase_YTD!C:C,'RM Rollforward'!A283,RM_Purchase_YTD!E:E)</f>
        <v>0</v>
      </c>
      <c r="F283" s="281">
        <f>SUMIF(RM_InboundProd_YTD!B:B,'RM Rollforward'!A283,RM_InboundProd_YTD!D:D)</f>
        <v>93</v>
      </c>
      <c r="G283" s="282">
        <f>SUMIF(RM_Outbound_YTD!B:B,'RM Rollforward'!A283,RM_Outbound_YTD!D:D)</f>
        <v>93</v>
      </c>
      <c r="H283" s="283">
        <f t="shared" si="1"/>
        <v>0</v>
      </c>
      <c r="I283" s="284"/>
      <c r="J283" s="285">
        <v>75.0</v>
      </c>
      <c r="K283" s="286">
        <v>1.0</v>
      </c>
      <c r="L283" s="287">
        <f t="shared" si="4"/>
        <v>0</v>
      </c>
      <c r="M283" s="306"/>
      <c r="N283" s="101"/>
      <c r="O283" s="101"/>
      <c r="P283" s="101"/>
      <c r="Q283" s="101"/>
      <c r="R283" s="101"/>
      <c r="S283" s="101"/>
      <c r="T283" s="101"/>
      <c r="U283" s="101"/>
      <c r="V283" s="101"/>
    </row>
    <row r="284" ht="15.75" customHeight="1">
      <c r="A284" s="31" t="s">
        <v>319</v>
      </c>
      <c r="B284" s="31" t="s">
        <v>320</v>
      </c>
      <c r="C284" s="31" t="s">
        <v>729</v>
      </c>
      <c r="D284" s="280">
        <v>17.0</v>
      </c>
      <c r="E284" s="281">
        <f>SUMIF(RM_Purchase_YTD!C:C,'RM Rollforward'!A284,RM_Purchase_YTD!E:E)</f>
        <v>0</v>
      </c>
      <c r="F284" s="281">
        <f>SUMIF(RM_InboundProd_YTD!B:B,'RM Rollforward'!A284,RM_InboundProd_YTD!D:D)</f>
        <v>111</v>
      </c>
      <c r="G284" s="282">
        <f>SUMIF(RM_Outbound_YTD!B:B,'RM Rollforward'!A284,RM_Outbound_YTD!D:D)</f>
        <v>53</v>
      </c>
      <c r="H284" s="283">
        <f t="shared" si="1"/>
        <v>75</v>
      </c>
      <c r="I284" s="284"/>
      <c r="J284" s="285">
        <v>75.0</v>
      </c>
      <c r="K284" s="286">
        <v>1.0</v>
      </c>
      <c r="L284" s="287">
        <f t="shared" si="4"/>
        <v>5625</v>
      </c>
      <c r="M284" s="306"/>
      <c r="N284" s="101"/>
      <c r="O284" s="101"/>
      <c r="P284" s="101"/>
      <c r="Q284" s="101"/>
      <c r="R284" s="101"/>
      <c r="S284" s="101"/>
      <c r="T284" s="101"/>
      <c r="U284" s="101"/>
      <c r="V284" s="101"/>
    </row>
    <row r="285" ht="15.75" customHeight="1">
      <c r="A285" s="31" t="s">
        <v>1047</v>
      </c>
      <c r="B285" s="31" t="s">
        <v>1048</v>
      </c>
      <c r="C285" s="31" t="s">
        <v>729</v>
      </c>
      <c r="D285" s="280">
        <v>0.0</v>
      </c>
      <c r="E285" s="281">
        <f>SUMIF(RM_Purchase_YTD!C:C,'RM Rollforward'!A285,RM_Purchase_YTD!E:E)</f>
        <v>0</v>
      </c>
      <c r="F285" s="281">
        <f>SUMIF(RM_InboundProd_YTD!B:B,'RM Rollforward'!A285,RM_InboundProd_YTD!D:D)</f>
        <v>0</v>
      </c>
      <c r="G285" s="282">
        <f>SUMIF(RM_Outbound_YTD!B:B,'RM Rollforward'!A285,RM_Outbound_YTD!D:D)</f>
        <v>0</v>
      </c>
      <c r="H285" s="283">
        <f t="shared" si="1"/>
        <v>0</v>
      </c>
      <c r="I285" s="284"/>
      <c r="J285" s="285">
        <v>75.0</v>
      </c>
      <c r="K285" s="286">
        <v>1.0</v>
      </c>
      <c r="L285" s="287">
        <f t="shared" si="4"/>
        <v>0</v>
      </c>
      <c r="M285" s="306"/>
      <c r="N285" s="101"/>
      <c r="O285" s="101"/>
      <c r="P285" s="101"/>
      <c r="Q285" s="101"/>
      <c r="R285" s="101"/>
      <c r="S285" s="101"/>
      <c r="T285" s="101"/>
      <c r="U285" s="101"/>
      <c r="V285" s="101"/>
    </row>
    <row r="286" ht="15.75" customHeight="1">
      <c r="A286" s="31" t="s">
        <v>1049</v>
      </c>
      <c r="B286" s="31" t="s">
        <v>1050</v>
      </c>
      <c r="C286" s="31" t="s">
        <v>729</v>
      </c>
      <c r="D286" s="280">
        <v>0.0</v>
      </c>
      <c r="E286" s="281">
        <f>SUMIF(RM_Purchase_YTD!C:C,'RM Rollforward'!A286,RM_Purchase_YTD!E:E)</f>
        <v>0</v>
      </c>
      <c r="F286" s="281">
        <f>SUMIF(RM_InboundProd_YTD!B:B,'RM Rollforward'!A286,RM_InboundProd_YTD!D:D)</f>
        <v>0</v>
      </c>
      <c r="G286" s="282">
        <f>SUMIF(RM_Outbound_YTD!B:B,'RM Rollforward'!A286,RM_Outbound_YTD!D:D)</f>
        <v>0</v>
      </c>
      <c r="H286" s="283">
        <f t="shared" si="1"/>
        <v>0</v>
      </c>
      <c r="I286" s="284"/>
      <c r="J286" s="285">
        <v>75.0</v>
      </c>
      <c r="K286" s="286">
        <v>1.0</v>
      </c>
      <c r="L286" s="287">
        <f t="shared" si="4"/>
        <v>0</v>
      </c>
      <c r="M286" s="306"/>
      <c r="N286" s="101"/>
      <c r="O286" s="101"/>
      <c r="P286" s="101"/>
      <c r="Q286" s="101"/>
      <c r="R286" s="101"/>
      <c r="S286" s="101"/>
      <c r="T286" s="101"/>
      <c r="U286" s="101"/>
      <c r="V286" s="101"/>
    </row>
    <row r="287" ht="15.75" customHeight="1">
      <c r="A287" s="31" t="s">
        <v>1051</v>
      </c>
      <c r="B287" s="31" t="s">
        <v>1052</v>
      </c>
      <c r="C287" s="31" t="s">
        <v>729</v>
      </c>
      <c r="D287" s="280">
        <v>0.0</v>
      </c>
      <c r="E287" s="281">
        <f>SUMIF(RM_Purchase_YTD!C:C,'RM Rollforward'!A287,RM_Purchase_YTD!E:E)</f>
        <v>0</v>
      </c>
      <c r="F287" s="281">
        <f>SUMIF(RM_InboundProd_YTD!B:B,'RM Rollforward'!A287,RM_InboundProd_YTD!D:D)</f>
        <v>0</v>
      </c>
      <c r="G287" s="282">
        <f>SUMIF(RM_Outbound_YTD!B:B,'RM Rollforward'!A287,RM_Outbound_YTD!D:D)</f>
        <v>0</v>
      </c>
      <c r="H287" s="283">
        <f t="shared" si="1"/>
        <v>0</v>
      </c>
      <c r="I287" s="284"/>
      <c r="J287" s="285">
        <v>75.0</v>
      </c>
      <c r="K287" s="286">
        <v>1.0</v>
      </c>
      <c r="L287" s="287">
        <f t="shared" si="4"/>
        <v>0</v>
      </c>
      <c r="M287" s="306"/>
      <c r="N287" s="101"/>
      <c r="O287" s="101"/>
      <c r="P287" s="101"/>
      <c r="Q287" s="101"/>
      <c r="R287" s="101"/>
      <c r="S287" s="101"/>
      <c r="T287" s="101"/>
      <c r="U287" s="101"/>
      <c r="V287" s="101"/>
    </row>
    <row r="288" ht="15.75" customHeight="1">
      <c r="A288" s="31" t="s">
        <v>1053</v>
      </c>
      <c r="B288" s="31" t="s">
        <v>1054</v>
      </c>
      <c r="C288" s="31" t="s">
        <v>729</v>
      </c>
      <c r="D288" s="280">
        <v>66.0</v>
      </c>
      <c r="E288" s="281">
        <f>SUMIF(RM_Purchase_YTD!C:C,'RM Rollforward'!A288,RM_Purchase_YTD!E:E)</f>
        <v>0</v>
      </c>
      <c r="F288" s="281">
        <f>SUMIF(RM_InboundProd_YTD!B:B,'RM Rollforward'!A288,RM_InboundProd_YTD!D:D)</f>
        <v>0</v>
      </c>
      <c r="G288" s="282">
        <f>SUMIF(RM_Outbound_YTD!B:B,'RM Rollforward'!A288,RM_Outbound_YTD!D:D)</f>
        <v>0</v>
      </c>
      <c r="H288" s="283">
        <f t="shared" si="1"/>
        <v>66</v>
      </c>
      <c r="I288" s="284"/>
      <c r="J288" s="285">
        <v>75.0</v>
      </c>
      <c r="K288" s="286">
        <v>1.0</v>
      </c>
      <c r="L288" s="287">
        <f t="shared" si="4"/>
        <v>4950</v>
      </c>
      <c r="M288" s="306"/>
      <c r="N288" s="101"/>
      <c r="O288" s="101"/>
      <c r="P288" s="101"/>
      <c r="Q288" s="101"/>
      <c r="R288" s="101"/>
      <c r="S288" s="101"/>
      <c r="T288" s="101"/>
      <c r="U288" s="101"/>
      <c r="V288" s="101"/>
    </row>
    <row r="289" ht="15.75" customHeight="1">
      <c r="A289" s="31" t="s">
        <v>1055</v>
      </c>
      <c r="B289" s="31" t="s">
        <v>1056</v>
      </c>
      <c r="C289" s="31" t="s">
        <v>729</v>
      </c>
      <c r="D289" s="280">
        <v>66.0</v>
      </c>
      <c r="E289" s="281">
        <f>SUMIF(RM_Purchase_YTD!C:C,'RM Rollforward'!A289,RM_Purchase_YTD!E:E)</f>
        <v>0</v>
      </c>
      <c r="F289" s="281">
        <f>SUMIF(RM_InboundProd_YTD!B:B,'RM Rollforward'!A289,RM_InboundProd_YTD!D:D)</f>
        <v>0</v>
      </c>
      <c r="G289" s="282">
        <f>SUMIF(RM_Outbound_YTD!B:B,'RM Rollforward'!A289,RM_Outbound_YTD!D:D)</f>
        <v>0</v>
      </c>
      <c r="H289" s="283">
        <f t="shared" si="1"/>
        <v>66</v>
      </c>
      <c r="I289" s="284"/>
      <c r="J289" s="285">
        <v>75.0</v>
      </c>
      <c r="K289" s="286">
        <v>1.0</v>
      </c>
      <c r="L289" s="287">
        <f t="shared" si="4"/>
        <v>4950</v>
      </c>
      <c r="M289" s="306"/>
      <c r="N289" s="101"/>
      <c r="O289" s="101"/>
      <c r="P289" s="101"/>
      <c r="Q289" s="101"/>
      <c r="R289" s="101"/>
      <c r="S289" s="101"/>
      <c r="T289" s="101"/>
      <c r="U289" s="101"/>
      <c r="V289" s="101"/>
    </row>
    <row r="290" ht="15.75" customHeight="1">
      <c r="A290" s="31" t="s">
        <v>1057</v>
      </c>
      <c r="B290" s="31" t="s">
        <v>1058</v>
      </c>
      <c r="C290" s="31" t="s">
        <v>729</v>
      </c>
      <c r="D290" s="280">
        <v>48.0</v>
      </c>
      <c r="E290" s="281">
        <f>SUMIF(RM_Purchase_YTD!C:C,'RM Rollforward'!A290,RM_Purchase_YTD!E:E)</f>
        <v>0</v>
      </c>
      <c r="F290" s="281">
        <f>SUMIF(RM_InboundProd_YTD!B:B,'RM Rollforward'!A290,RM_InboundProd_YTD!D:D)</f>
        <v>0</v>
      </c>
      <c r="G290" s="282">
        <f>SUMIF(RM_Outbound_YTD!B:B,'RM Rollforward'!A290,RM_Outbound_YTD!D:D)</f>
        <v>0</v>
      </c>
      <c r="H290" s="283">
        <f t="shared" si="1"/>
        <v>48</v>
      </c>
      <c r="I290" s="284"/>
      <c r="J290" s="285">
        <v>75.0</v>
      </c>
      <c r="K290" s="286">
        <v>1.0</v>
      </c>
      <c r="L290" s="287">
        <f t="shared" si="4"/>
        <v>3600</v>
      </c>
      <c r="M290" s="306"/>
      <c r="N290" s="101"/>
      <c r="O290" s="101"/>
      <c r="P290" s="101"/>
      <c r="Q290" s="101"/>
      <c r="R290" s="101"/>
      <c r="S290" s="101"/>
      <c r="T290" s="101"/>
      <c r="U290" s="101"/>
      <c r="V290" s="101"/>
    </row>
    <row r="291" ht="15.75" customHeight="1">
      <c r="A291" s="31" t="s">
        <v>1059</v>
      </c>
      <c r="B291" s="31" t="s">
        <v>1060</v>
      </c>
      <c r="C291" s="31" t="s">
        <v>729</v>
      </c>
      <c r="D291" s="280">
        <v>0.0</v>
      </c>
      <c r="E291" s="281">
        <f>SUMIF(RM_Purchase_YTD!C:C,'RM Rollforward'!A291,RM_Purchase_YTD!E:E)</f>
        <v>0</v>
      </c>
      <c r="F291" s="281">
        <f>SUMIF(RM_InboundProd_YTD!B:B,'RM Rollforward'!A291,RM_InboundProd_YTD!D:D)</f>
        <v>0</v>
      </c>
      <c r="G291" s="282">
        <f>SUMIF(RM_Outbound_YTD!B:B,'RM Rollforward'!A291,RM_Outbound_YTD!D:D)</f>
        <v>0</v>
      </c>
      <c r="H291" s="283">
        <f t="shared" si="1"/>
        <v>0</v>
      </c>
      <c r="I291" s="284"/>
      <c r="J291" s="285">
        <v>75.0</v>
      </c>
      <c r="K291" s="286">
        <v>1.0</v>
      </c>
      <c r="L291" s="287">
        <f t="shared" si="4"/>
        <v>0</v>
      </c>
      <c r="M291" s="306"/>
      <c r="N291" s="101"/>
      <c r="O291" s="101"/>
      <c r="P291" s="101"/>
      <c r="Q291" s="101"/>
      <c r="R291" s="101"/>
      <c r="S291" s="101"/>
      <c r="T291" s="101"/>
      <c r="U291" s="101"/>
      <c r="V291" s="101"/>
    </row>
    <row r="292" ht="15.75" customHeight="1">
      <c r="A292" s="31" t="s">
        <v>1061</v>
      </c>
      <c r="B292" s="31" t="s">
        <v>1062</v>
      </c>
      <c r="C292" s="31" t="s">
        <v>729</v>
      </c>
      <c r="D292" s="280">
        <v>0.0</v>
      </c>
      <c r="E292" s="281">
        <f>SUMIF(RM_Purchase_YTD!C:C,'RM Rollforward'!A292,RM_Purchase_YTD!E:E)</f>
        <v>0</v>
      </c>
      <c r="F292" s="281">
        <f>SUMIF(RM_InboundProd_YTD!B:B,'RM Rollforward'!A292,RM_InboundProd_YTD!D:D)</f>
        <v>0</v>
      </c>
      <c r="G292" s="282">
        <f>SUMIF(RM_Outbound_YTD!B:B,'RM Rollforward'!A292,RM_Outbound_YTD!D:D)</f>
        <v>0</v>
      </c>
      <c r="H292" s="283">
        <f t="shared" si="1"/>
        <v>0</v>
      </c>
      <c r="I292" s="284"/>
      <c r="J292" s="285">
        <v>75.0</v>
      </c>
      <c r="K292" s="286">
        <v>1.0</v>
      </c>
      <c r="L292" s="287">
        <f t="shared" si="4"/>
        <v>0</v>
      </c>
      <c r="M292" s="306"/>
      <c r="N292" s="101"/>
      <c r="O292" s="101"/>
      <c r="P292" s="101"/>
      <c r="Q292" s="101"/>
      <c r="R292" s="101"/>
      <c r="S292" s="101"/>
      <c r="T292" s="101"/>
      <c r="U292" s="101"/>
      <c r="V292" s="101"/>
    </row>
    <row r="293" ht="15.75" customHeight="1">
      <c r="A293" s="31" t="s">
        <v>1063</v>
      </c>
      <c r="B293" s="31" t="s">
        <v>1064</v>
      </c>
      <c r="C293" s="31" t="s">
        <v>729</v>
      </c>
      <c r="D293" s="280">
        <v>64.0</v>
      </c>
      <c r="E293" s="281">
        <f>SUMIF(RM_Purchase_YTD!C:C,'RM Rollforward'!A293,RM_Purchase_YTD!E:E)</f>
        <v>0</v>
      </c>
      <c r="F293" s="281">
        <f>SUMIF(RM_InboundProd_YTD!B:B,'RM Rollforward'!A293,RM_InboundProd_YTD!D:D)</f>
        <v>0</v>
      </c>
      <c r="G293" s="282">
        <f>SUMIF(RM_Outbound_YTD!B:B,'RM Rollforward'!A293,RM_Outbound_YTD!D:D)</f>
        <v>0</v>
      </c>
      <c r="H293" s="283">
        <f t="shared" si="1"/>
        <v>64</v>
      </c>
      <c r="I293" s="284"/>
      <c r="J293" s="285">
        <v>75.0</v>
      </c>
      <c r="K293" s="286">
        <v>1.0</v>
      </c>
      <c r="L293" s="287">
        <f t="shared" si="4"/>
        <v>4800</v>
      </c>
      <c r="M293" s="306"/>
      <c r="N293" s="101"/>
      <c r="O293" s="101"/>
      <c r="P293" s="101"/>
      <c r="Q293" s="101"/>
      <c r="R293" s="101"/>
      <c r="S293" s="101"/>
      <c r="T293" s="101"/>
      <c r="U293" s="101"/>
      <c r="V293" s="101"/>
    </row>
    <row r="294" ht="15.75" customHeight="1">
      <c r="A294" s="47" t="s">
        <v>1065</v>
      </c>
      <c r="B294" s="47" t="s">
        <v>1066</v>
      </c>
      <c r="C294" s="31" t="s">
        <v>729</v>
      </c>
      <c r="D294" s="280">
        <v>0.0</v>
      </c>
      <c r="E294" s="281">
        <f>SUMIF(RM_Purchase_YTD!C:C,'RM Rollforward'!A294,RM_Purchase_YTD!E:E)</f>
        <v>0</v>
      </c>
      <c r="F294" s="281">
        <f>SUMIF(RM_InboundProd_YTD!B:B,'RM Rollforward'!A294,RM_InboundProd_YTD!D:D)</f>
        <v>0</v>
      </c>
      <c r="G294" s="282">
        <f>SUMIF(RM_Outbound_YTD!B:B,'RM Rollforward'!A294,RM_Outbound_YTD!D:D)</f>
        <v>0</v>
      </c>
      <c r="H294" s="283">
        <f t="shared" si="1"/>
        <v>0</v>
      </c>
      <c r="I294" s="284"/>
      <c r="J294" s="285">
        <v>75.0</v>
      </c>
      <c r="K294" s="286">
        <v>1.0</v>
      </c>
      <c r="L294" s="287">
        <f t="shared" si="4"/>
        <v>0</v>
      </c>
      <c r="M294" s="306"/>
      <c r="N294" s="101"/>
      <c r="O294" s="101"/>
      <c r="P294" s="101"/>
      <c r="Q294" s="101"/>
      <c r="R294" s="101"/>
      <c r="S294" s="101"/>
      <c r="T294" s="101"/>
      <c r="U294" s="101"/>
      <c r="V294" s="101"/>
    </row>
    <row r="295" ht="15.75" customHeight="1">
      <c r="A295" s="47" t="s">
        <v>1067</v>
      </c>
      <c r="B295" s="47" t="s">
        <v>1068</v>
      </c>
      <c r="C295" s="31" t="s">
        <v>729</v>
      </c>
      <c r="D295" s="280">
        <v>0.0</v>
      </c>
      <c r="E295" s="281">
        <f>SUMIF(RM_Purchase_YTD!C:C,'RM Rollforward'!A295,RM_Purchase_YTD!E:E)</f>
        <v>0</v>
      </c>
      <c r="F295" s="281">
        <f>SUMIF(RM_InboundProd_YTD!B:B,'RM Rollforward'!A295,RM_InboundProd_YTD!D:D)</f>
        <v>0</v>
      </c>
      <c r="G295" s="282">
        <f>SUMIF(RM_Outbound_YTD!B:B,'RM Rollforward'!A295,RM_Outbound_YTD!D:D)</f>
        <v>0</v>
      </c>
      <c r="H295" s="283">
        <f t="shared" si="1"/>
        <v>0</v>
      </c>
      <c r="I295" s="284"/>
      <c r="J295" s="285">
        <v>75.0</v>
      </c>
      <c r="K295" s="286">
        <v>1.0</v>
      </c>
      <c r="L295" s="287">
        <f t="shared" si="4"/>
        <v>0</v>
      </c>
      <c r="M295" s="306"/>
      <c r="N295" s="101"/>
      <c r="O295" s="101"/>
      <c r="P295" s="101"/>
      <c r="Q295" s="101"/>
      <c r="R295" s="101"/>
      <c r="S295" s="101"/>
      <c r="T295" s="101"/>
      <c r="U295" s="101"/>
      <c r="V295" s="101"/>
    </row>
    <row r="296" ht="15.75" customHeight="1">
      <c r="A296" s="31" t="s">
        <v>387</v>
      </c>
      <c r="B296" s="31" t="s">
        <v>388</v>
      </c>
      <c r="C296" s="31" t="s">
        <v>729</v>
      </c>
      <c r="D296" s="280">
        <v>0.0</v>
      </c>
      <c r="E296" s="281">
        <f>SUMIF(RM_Purchase_YTD!C:C,'RM Rollforward'!A296,RM_Purchase_YTD!E:E)</f>
        <v>0</v>
      </c>
      <c r="F296" s="281">
        <f>SUMIF(RM_InboundProd_YTD!B:B,'RM Rollforward'!A296,RM_InboundProd_YTD!D:D)</f>
        <v>62</v>
      </c>
      <c r="G296" s="282">
        <f>SUMIF(RM_Outbound_YTD!B:B,'RM Rollforward'!A296,RM_Outbound_YTD!D:D)</f>
        <v>56</v>
      </c>
      <c r="H296" s="283">
        <f t="shared" si="1"/>
        <v>6</v>
      </c>
      <c r="I296" s="284"/>
      <c r="J296" s="319">
        <v>0.25</v>
      </c>
      <c r="K296" s="286">
        <v>500.0</v>
      </c>
      <c r="L296" s="287">
        <f t="shared" si="4"/>
        <v>750</v>
      </c>
      <c r="M296" s="306"/>
      <c r="N296" s="101"/>
      <c r="O296" s="101"/>
      <c r="P296" s="101"/>
      <c r="Q296" s="101"/>
      <c r="R296" s="101"/>
      <c r="S296" s="101"/>
      <c r="T296" s="101"/>
      <c r="U296" s="101"/>
      <c r="V296" s="101"/>
    </row>
    <row r="297" ht="15.75" customHeight="1">
      <c r="A297" s="31" t="s">
        <v>301</v>
      </c>
      <c r="B297" s="31" t="s">
        <v>302</v>
      </c>
      <c r="C297" s="31" t="s">
        <v>729</v>
      </c>
      <c r="D297" s="280">
        <v>0.0</v>
      </c>
      <c r="E297" s="281">
        <f>SUMIF(RM_Purchase_YTD!C:C,'RM Rollforward'!A297,RM_Purchase_YTD!E:E)</f>
        <v>0</v>
      </c>
      <c r="F297" s="281">
        <f>SUMIF(RM_InboundProd_YTD!B:B,'RM Rollforward'!A297,RM_InboundProd_YTD!D:D)</f>
        <v>118</v>
      </c>
      <c r="G297" s="282">
        <f>SUMIF(RM_Outbound_YTD!B:B,'RM Rollforward'!A297,RM_Outbound_YTD!D:D)</f>
        <v>80</v>
      </c>
      <c r="H297" s="283">
        <f t="shared" si="1"/>
        <v>38</v>
      </c>
      <c r="I297" s="284"/>
      <c r="J297" s="319">
        <v>0.25</v>
      </c>
      <c r="K297" s="286">
        <v>500.0</v>
      </c>
      <c r="L297" s="287">
        <f t="shared" si="4"/>
        <v>4750</v>
      </c>
      <c r="M297" s="306"/>
      <c r="N297" s="101"/>
      <c r="O297" s="101"/>
      <c r="P297" s="101"/>
      <c r="Q297" s="101"/>
      <c r="R297" s="101"/>
      <c r="S297" s="101"/>
      <c r="T297" s="101"/>
      <c r="U297" s="101"/>
      <c r="V297" s="101"/>
    </row>
    <row r="298" ht="15.75" customHeight="1">
      <c r="A298" s="31" t="s">
        <v>339</v>
      </c>
      <c r="B298" s="31" t="s">
        <v>340</v>
      </c>
      <c r="C298" s="31" t="s">
        <v>729</v>
      </c>
      <c r="D298" s="280">
        <v>0.0</v>
      </c>
      <c r="E298" s="281">
        <f>SUMIF(RM_Purchase_YTD!C:C,'RM Rollforward'!A298,RM_Purchase_YTD!E:E)</f>
        <v>0</v>
      </c>
      <c r="F298" s="281">
        <f>SUMIF(RM_InboundProd_YTD!B:B,'RM Rollforward'!A298,RM_InboundProd_YTD!D:D)</f>
        <v>33</v>
      </c>
      <c r="G298" s="282">
        <f>SUMIF(RM_Outbound_YTD!B:B,'RM Rollforward'!A298,RM_Outbound_YTD!D:D)</f>
        <v>24</v>
      </c>
      <c r="H298" s="283">
        <f t="shared" si="1"/>
        <v>9</v>
      </c>
      <c r="I298" s="284"/>
      <c r="J298" s="319">
        <v>0.25</v>
      </c>
      <c r="K298" s="286">
        <v>500.0</v>
      </c>
      <c r="L298" s="287">
        <f t="shared" si="4"/>
        <v>1125</v>
      </c>
      <c r="M298" s="306"/>
      <c r="N298" s="101"/>
      <c r="O298" s="101"/>
      <c r="P298" s="101"/>
      <c r="Q298" s="101"/>
      <c r="R298" s="101"/>
      <c r="S298" s="101"/>
      <c r="T298" s="101"/>
      <c r="U298" s="101"/>
      <c r="V298" s="101"/>
    </row>
    <row r="299" ht="15.75" customHeight="1">
      <c r="A299" s="31" t="s">
        <v>335</v>
      </c>
      <c r="B299" s="31" t="s">
        <v>336</v>
      </c>
      <c r="C299" s="31" t="s">
        <v>729</v>
      </c>
      <c r="D299" s="280">
        <v>0.0</v>
      </c>
      <c r="E299" s="281">
        <f>SUMIF(RM_Purchase_YTD!C:C,'RM Rollforward'!A299,RM_Purchase_YTD!E:E)</f>
        <v>0</v>
      </c>
      <c r="F299" s="281">
        <f>SUMIF(RM_InboundProd_YTD!B:B,'RM Rollforward'!A299,RM_InboundProd_YTD!D:D)</f>
        <v>26</v>
      </c>
      <c r="G299" s="282">
        <f>SUMIF(RM_Outbound_YTD!B:B,'RM Rollforward'!A299,RM_Outbound_YTD!D:D)</f>
        <v>26</v>
      </c>
      <c r="H299" s="283">
        <f t="shared" si="1"/>
        <v>0</v>
      </c>
      <c r="I299" s="284"/>
      <c r="J299" s="319">
        <v>0.25</v>
      </c>
      <c r="K299" s="286">
        <v>500.0</v>
      </c>
      <c r="L299" s="287">
        <f t="shared" si="4"/>
        <v>0</v>
      </c>
      <c r="M299" s="306"/>
      <c r="N299" s="101"/>
      <c r="O299" s="101"/>
      <c r="P299" s="101"/>
      <c r="Q299" s="101"/>
      <c r="R299" s="101"/>
      <c r="S299" s="101"/>
      <c r="T299" s="101"/>
      <c r="U299" s="101"/>
      <c r="V299" s="101"/>
    </row>
    <row r="300" ht="15.75" customHeight="1">
      <c r="A300" s="31" t="s">
        <v>287</v>
      </c>
      <c r="B300" s="31" t="s">
        <v>288</v>
      </c>
      <c r="C300" s="31" t="s">
        <v>729</v>
      </c>
      <c r="D300" s="280">
        <v>0.0</v>
      </c>
      <c r="E300" s="281">
        <f>SUMIF(RM_Purchase_YTD!C:C,'RM Rollforward'!A300,RM_Purchase_YTD!E:E)</f>
        <v>0</v>
      </c>
      <c r="F300" s="281">
        <f>SUMIF(RM_InboundProd_YTD!B:B,'RM Rollforward'!A300,RM_InboundProd_YTD!D:D)</f>
        <v>37</v>
      </c>
      <c r="G300" s="282">
        <f>SUMIF(RM_Outbound_YTD!B:B,'RM Rollforward'!A300,RM_Outbound_YTD!D:D)</f>
        <v>0</v>
      </c>
      <c r="H300" s="283">
        <f t="shared" si="1"/>
        <v>37</v>
      </c>
      <c r="I300" s="284"/>
      <c r="J300" s="319">
        <v>0.25</v>
      </c>
      <c r="K300" s="286">
        <v>500.0</v>
      </c>
      <c r="L300" s="287">
        <f t="shared" si="4"/>
        <v>4625</v>
      </c>
      <c r="M300" s="169"/>
    </row>
    <row r="301" ht="15.75" customHeight="1">
      <c r="A301" s="31" t="s">
        <v>1069</v>
      </c>
      <c r="B301" s="31" t="s">
        <v>1070</v>
      </c>
      <c r="C301" s="31" t="s">
        <v>729</v>
      </c>
      <c r="D301" s="280">
        <v>59.0</v>
      </c>
      <c r="E301" s="281">
        <f>SUMIF(RM_Purchase_YTD!C:C,'RM Rollforward'!A301,RM_Purchase_YTD!E:E)</f>
        <v>0</v>
      </c>
      <c r="F301" s="281">
        <f>SUMIF(RM_InboundProd_YTD!B:B,'RM Rollforward'!A301,RM_InboundProd_YTD!D:D)</f>
        <v>0</v>
      </c>
      <c r="G301" s="282">
        <f>SUMIF(RM_Outbound_YTD!B:B,'RM Rollforward'!A301,RM_Outbound_YTD!D:D)</f>
        <v>0</v>
      </c>
      <c r="H301" s="283">
        <f t="shared" si="1"/>
        <v>59</v>
      </c>
      <c r="I301" s="284"/>
      <c r="J301" s="319">
        <v>0.25</v>
      </c>
      <c r="K301" s="286">
        <v>500.0</v>
      </c>
      <c r="L301" s="287">
        <f t="shared" si="4"/>
        <v>7375</v>
      </c>
      <c r="M301" s="320"/>
    </row>
    <row r="302" ht="15.75" customHeight="1">
      <c r="A302" s="31" t="s">
        <v>409</v>
      </c>
      <c r="B302" s="31" t="s">
        <v>410</v>
      </c>
      <c r="C302" s="31" t="s">
        <v>729</v>
      </c>
      <c r="D302" s="280">
        <v>11.0</v>
      </c>
      <c r="E302" s="281">
        <f>SUMIF(RM_Purchase_YTD!C:C,'RM Rollforward'!A302,RM_Purchase_YTD!E:E)</f>
        <v>0</v>
      </c>
      <c r="F302" s="281">
        <f>SUMIF(RM_InboundProd_YTD!B:B,'RM Rollforward'!A302,RM_InboundProd_YTD!D:D)</f>
        <v>89</v>
      </c>
      <c r="G302" s="282">
        <f>SUMIF(RM_Outbound_YTD!B:B,'RM Rollforward'!A302,RM_Outbound_YTD!D:D)</f>
        <v>80</v>
      </c>
      <c r="H302" s="283">
        <f t="shared" si="1"/>
        <v>20</v>
      </c>
      <c r="I302" s="284"/>
      <c r="J302" s="319">
        <v>0.25</v>
      </c>
      <c r="K302" s="286">
        <v>500.0</v>
      </c>
      <c r="L302" s="287">
        <f t="shared" si="4"/>
        <v>2500</v>
      </c>
      <c r="M302" s="320"/>
    </row>
    <row r="303" ht="15.75" customHeight="1">
      <c r="A303" s="31" t="s">
        <v>1071</v>
      </c>
      <c r="B303" s="31" t="s">
        <v>1072</v>
      </c>
      <c r="C303" s="31" t="s">
        <v>729</v>
      </c>
      <c r="D303" s="280">
        <v>3.0</v>
      </c>
      <c r="E303" s="281">
        <f>SUMIF(RM_Purchase_YTD!C:C,'RM Rollforward'!A303,RM_Purchase_YTD!E:E)</f>
        <v>0</v>
      </c>
      <c r="F303" s="281">
        <f>SUMIF(RM_InboundProd_YTD!B:B,'RM Rollforward'!A303,RM_InboundProd_YTD!D:D)</f>
        <v>0</v>
      </c>
      <c r="G303" s="282">
        <f>SUMIF(RM_Outbound_YTD!B:B,'RM Rollforward'!A303,RM_Outbound_YTD!D:D)</f>
        <v>0</v>
      </c>
      <c r="H303" s="283">
        <f t="shared" si="1"/>
        <v>3</v>
      </c>
      <c r="I303" s="284"/>
      <c r="J303" s="319">
        <v>0.25</v>
      </c>
      <c r="K303" s="286">
        <v>500.0</v>
      </c>
      <c r="L303" s="287">
        <f t="shared" si="4"/>
        <v>375</v>
      </c>
      <c r="M303" s="320"/>
    </row>
    <row r="304" ht="15.75" customHeight="1">
      <c r="A304" s="31" t="s">
        <v>1073</v>
      </c>
      <c r="B304" s="31" t="s">
        <v>710</v>
      </c>
      <c r="C304" s="31" t="s">
        <v>729</v>
      </c>
      <c r="D304" s="280">
        <v>0.0</v>
      </c>
      <c r="E304" s="281">
        <f>SUMIF(RM_Purchase_YTD!C:C,'RM Rollforward'!A304,RM_Purchase_YTD!E:E)</f>
        <v>0</v>
      </c>
      <c r="F304" s="281">
        <f>SUMIF(RM_InboundProd_YTD!B:B,'RM Rollforward'!A304,RM_InboundProd_YTD!D:D)</f>
        <v>0</v>
      </c>
      <c r="G304" s="282">
        <f>SUMIF(RM_Outbound_YTD!B:B,'RM Rollforward'!A304,RM_Outbound_YTD!D:D)</f>
        <v>0</v>
      </c>
      <c r="H304" s="283">
        <f t="shared" si="1"/>
        <v>0</v>
      </c>
      <c r="I304" s="284"/>
      <c r="J304" s="319">
        <v>0.25</v>
      </c>
      <c r="K304" s="286">
        <v>500.0</v>
      </c>
      <c r="L304" s="287">
        <f t="shared" si="4"/>
        <v>0</v>
      </c>
      <c r="M304" s="320"/>
    </row>
    <row r="305" ht="15.75" customHeight="1">
      <c r="A305" s="31" t="s">
        <v>1074</v>
      </c>
      <c r="B305" s="31" t="s">
        <v>1075</v>
      </c>
      <c r="C305" s="31" t="s">
        <v>729</v>
      </c>
      <c r="D305" s="280">
        <v>0.0</v>
      </c>
      <c r="E305" s="281">
        <f>SUMIF(RM_Purchase_YTD!C:C,'RM Rollforward'!A305,RM_Purchase_YTD!E:E)</f>
        <v>0</v>
      </c>
      <c r="F305" s="281">
        <f>SUMIF(RM_InboundProd_YTD!B:B,'RM Rollforward'!A305,RM_InboundProd_YTD!D:D)</f>
        <v>0</v>
      </c>
      <c r="G305" s="282">
        <f>SUMIF(RM_Outbound_YTD!B:B,'RM Rollforward'!A305,RM_Outbound_YTD!D:D)</f>
        <v>0</v>
      </c>
      <c r="H305" s="283">
        <f t="shared" si="1"/>
        <v>0</v>
      </c>
      <c r="I305" s="284"/>
      <c r="J305" s="319">
        <v>0.25</v>
      </c>
      <c r="K305" s="286">
        <v>500.0</v>
      </c>
      <c r="L305" s="287">
        <f t="shared" si="4"/>
        <v>0</v>
      </c>
      <c r="M305" s="320"/>
    </row>
    <row r="306" ht="15.75" customHeight="1">
      <c r="A306" s="31" t="s">
        <v>1076</v>
      </c>
      <c r="B306" s="31" t="s">
        <v>1077</v>
      </c>
      <c r="C306" s="31" t="s">
        <v>729</v>
      </c>
      <c r="D306" s="280">
        <v>20.0</v>
      </c>
      <c r="E306" s="281">
        <f>SUMIF(RM_Purchase_YTD!C:C,'RM Rollforward'!A306,RM_Purchase_YTD!E:E)</f>
        <v>0</v>
      </c>
      <c r="F306" s="281">
        <f>SUMIF(RM_InboundProd_YTD!B:B,'RM Rollforward'!A306,RM_InboundProd_YTD!D:D)</f>
        <v>0</v>
      </c>
      <c r="G306" s="282">
        <f>SUMIF(RM_Outbound_YTD!B:B,'RM Rollforward'!A306,RM_Outbound_YTD!D:D)</f>
        <v>0</v>
      </c>
      <c r="H306" s="283">
        <f t="shared" si="1"/>
        <v>20</v>
      </c>
      <c r="I306" s="284"/>
      <c r="J306" s="319">
        <v>0.25</v>
      </c>
      <c r="K306" s="286">
        <v>500.0</v>
      </c>
      <c r="L306" s="287">
        <f t="shared" si="4"/>
        <v>2500</v>
      </c>
      <c r="M306" s="320"/>
    </row>
    <row r="307" ht="15.75" customHeight="1">
      <c r="A307" s="31" t="s">
        <v>1078</v>
      </c>
      <c r="B307" s="31" t="s">
        <v>1079</v>
      </c>
      <c r="C307" s="31" t="s">
        <v>729</v>
      </c>
      <c r="D307" s="280">
        <v>0.0</v>
      </c>
      <c r="E307" s="281">
        <f>SUMIF(RM_Purchase_YTD!C:C,'RM Rollforward'!A307,RM_Purchase_YTD!E:E)</f>
        <v>0</v>
      </c>
      <c r="F307" s="281">
        <f>SUMIF(RM_InboundProd_YTD!B:B,'RM Rollforward'!A307,RM_InboundProd_YTD!D:D)</f>
        <v>0</v>
      </c>
      <c r="G307" s="282">
        <f>SUMIF(RM_Outbound_YTD!B:B,'RM Rollforward'!A307,RM_Outbound_YTD!D:D)</f>
        <v>0</v>
      </c>
      <c r="H307" s="283">
        <f t="shared" si="1"/>
        <v>0</v>
      </c>
      <c r="I307" s="284"/>
      <c r="J307" s="319">
        <v>0.25</v>
      </c>
      <c r="K307" s="286">
        <v>500.0</v>
      </c>
      <c r="L307" s="287">
        <f t="shared" si="4"/>
        <v>0</v>
      </c>
      <c r="M307" s="320"/>
    </row>
    <row r="308" ht="15.75" customHeight="1">
      <c r="A308" s="31" t="s">
        <v>1080</v>
      </c>
      <c r="B308" s="31" t="s">
        <v>1081</v>
      </c>
      <c r="C308" s="31" t="s">
        <v>1082</v>
      </c>
      <c r="D308" s="280">
        <v>0.0</v>
      </c>
      <c r="E308" s="281">
        <f>SUMIF(RM_Purchase_YTD!C:C,'RM Rollforward'!A308,RM_Purchase_YTD!E:E)</f>
        <v>0</v>
      </c>
      <c r="F308" s="281">
        <f>SUMIF(RM_InboundProd_YTD!B:B,'RM Rollforward'!A308,RM_InboundProd_YTD!D:D)</f>
        <v>0</v>
      </c>
      <c r="G308" s="282">
        <f>SUMIF(RM_Outbound_YTD!B:B,'RM Rollforward'!A308,RM_Outbound_YTD!D:D)</f>
        <v>0</v>
      </c>
      <c r="H308" s="283">
        <f t="shared" si="1"/>
        <v>0</v>
      </c>
      <c r="I308" s="284"/>
      <c r="J308" s="319">
        <v>0.25</v>
      </c>
      <c r="K308" s="286">
        <v>500.0</v>
      </c>
      <c r="L308" s="287">
        <f t="shared" si="4"/>
        <v>0</v>
      </c>
      <c r="M308" s="320"/>
    </row>
    <row r="309" ht="15.75" customHeight="1">
      <c r="A309" s="31" t="s">
        <v>1083</v>
      </c>
      <c r="B309" s="31" t="s">
        <v>1084</v>
      </c>
      <c r="C309" s="31" t="s">
        <v>1082</v>
      </c>
      <c r="D309" s="280">
        <v>0.0</v>
      </c>
      <c r="E309" s="281">
        <f>SUMIF(RM_Purchase_YTD!C:C,'RM Rollforward'!A309,RM_Purchase_YTD!E:E)</f>
        <v>0</v>
      </c>
      <c r="F309" s="281">
        <f>SUMIF(RM_InboundProd_YTD!B:B,'RM Rollforward'!A309,RM_InboundProd_YTD!D:D)</f>
        <v>0</v>
      </c>
      <c r="G309" s="282">
        <f>SUMIF(RM_Outbound_YTD!B:B,'RM Rollforward'!A309,RM_Outbound_YTD!D:D)</f>
        <v>0</v>
      </c>
      <c r="H309" s="283">
        <f t="shared" si="1"/>
        <v>0</v>
      </c>
      <c r="I309" s="284"/>
      <c r="J309" s="319">
        <v>0.25</v>
      </c>
      <c r="K309" s="286">
        <v>500.0</v>
      </c>
      <c r="L309" s="287">
        <f t="shared" si="4"/>
        <v>0</v>
      </c>
      <c r="M309" s="320"/>
    </row>
    <row r="310" ht="15.75" customHeight="1">
      <c r="A310" s="31" t="s">
        <v>1085</v>
      </c>
      <c r="B310" s="31" t="s">
        <v>1086</v>
      </c>
      <c r="C310" s="31" t="s">
        <v>1082</v>
      </c>
      <c r="D310" s="280">
        <v>0.0</v>
      </c>
      <c r="E310" s="281">
        <f>SUMIF(RM_Purchase_YTD!C:C,'RM Rollforward'!A310,RM_Purchase_YTD!E:E)</f>
        <v>0</v>
      </c>
      <c r="F310" s="281">
        <f>SUMIF(RM_InboundProd_YTD!B:B,'RM Rollforward'!A310,RM_InboundProd_YTD!D:D)</f>
        <v>0</v>
      </c>
      <c r="G310" s="282">
        <f>SUMIF(RM_Outbound_YTD!B:B,'RM Rollforward'!A310,RM_Outbound_YTD!D:D)</f>
        <v>0</v>
      </c>
      <c r="H310" s="283">
        <f t="shared" si="1"/>
        <v>0</v>
      </c>
      <c r="I310" s="284"/>
      <c r="J310" s="319">
        <v>0.25</v>
      </c>
      <c r="K310" s="286">
        <v>500.0</v>
      </c>
      <c r="L310" s="287">
        <f t="shared" si="4"/>
        <v>0</v>
      </c>
      <c r="M310" s="320"/>
    </row>
    <row r="311" ht="15.75" customHeight="1">
      <c r="A311" s="31" t="s">
        <v>1087</v>
      </c>
      <c r="B311" s="31" t="s">
        <v>1088</v>
      </c>
      <c r="C311" s="31" t="s">
        <v>1082</v>
      </c>
      <c r="D311" s="280">
        <v>0.0</v>
      </c>
      <c r="E311" s="281">
        <f>SUMIF(RM_Purchase_YTD!C:C,'RM Rollforward'!A311,RM_Purchase_YTD!E:E)</f>
        <v>0</v>
      </c>
      <c r="F311" s="281">
        <f>SUMIF(RM_InboundProd_YTD!B:B,'RM Rollforward'!A311,RM_InboundProd_YTD!D:D)</f>
        <v>0</v>
      </c>
      <c r="G311" s="282">
        <f>SUMIF(RM_Outbound_YTD!B:B,'RM Rollforward'!A311,RM_Outbound_YTD!D:D)</f>
        <v>0</v>
      </c>
      <c r="H311" s="283">
        <f t="shared" si="1"/>
        <v>0</v>
      </c>
      <c r="I311" s="284"/>
      <c r="J311" s="319">
        <v>0.25</v>
      </c>
      <c r="K311" s="286">
        <v>500.0</v>
      </c>
      <c r="L311" s="287">
        <f t="shared" si="4"/>
        <v>0</v>
      </c>
      <c r="M311" s="320"/>
    </row>
    <row r="312" ht="15.75" customHeight="1">
      <c r="A312" s="31" t="s">
        <v>1089</v>
      </c>
      <c r="B312" s="31" t="s">
        <v>1090</v>
      </c>
      <c r="C312" s="31" t="s">
        <v>1082</v>
      </c>
      <c r="D312" s="280">
        <v>0.0</v>
      </c>
      <c r="E312" s="281">
        <f>SUMIF(RM_Purchase_YTD!C:C,'RM Rollforward'!A312,RM_Purchase_YTD!E:E)</f>
        <v>0</v>
      </c>
      <c r="F312" s="281">
        <f>SUMIF(RM_InboundProd_YTD!B:B,'RM Rollforward'!A312,RM_InboundProd_YTD!D:D)</f>
        <v>0</v>
      </c>
      <c r="G312" s="282">
        <f>SUMIF(RM_Outbound_YTD!B:B,'RM Rollforward'!A312,RM_Outbound_YTD!D:D)</f>
        <v>0</v>
      </c>
      <c r="H312" s="283">
        <f t="shared" si="1"/>
        <v>0</v>
      </c>
      <c r="I312" s="284"/>
      <c r="J312" s="319">
        <v>0.25</v>
      </c>
      <c r="K312" s="286">
        <v>500.0</v>
      </c>
      <c r="L312" s="287">
        <f t="shared" si="4"/>
        <v>0</v>
      </c>
      <c r="M312" s="320"/>
    </row>
    <row r="313" ht="15.75" customHeight="1">
      <c r="A313" s="31" t="s">
        <v>305</v>
      </c>
      <c r="B313" s="31" t="s">
        <v>306</v>
      </c>
      <c r="C313" s="31" t="s">
        <v>1082</v>
      </c>
      <c r="D313" s="280">
        <v>3.0</v>
      </c>
      <c r="E313" s="281">
        <f>SUMIF(RM_Purchase_YTD!C:C,'RM Rollforward'!A313,RM_Purchase_YTD!E:E)</f>
        <v>0</v>
      </c>
      <c r="F313" s="281">
        <f>SUMIF(RM_InboundProd_YTD!B:B,'RM Rollforward'!A313,RM_InboundProd_YTD!D:D)</f>
        <v>45</v>
      </c>
      <c r="G313" s="282">
        <f>SUMIF(RM_Outbound_YTD!B:B,'RM Rollforward'!A313,RM_Outbound_YTD!D:D)</f>
        <v>37</v>
      </c>
      <c r="H313" s="283">
        <f t="shared" si="1"/>
        <v>11</v>
      </c>
      <c r="I313" s="284"/>
      <c r="J313" s="319">
        <v>0.25</v>
      </c>
      <c r="K313" s="286">
        <v>500.0</v>
      </c>
      <c r="L313" s="287">
        <f t="shared" si="4"/>
        <v>1375</v>
      </c>
      <c r="M313" s="320"/>
    </row>
    <row r="314" ht="15.75" customHeight="1">
      <c r="A314" s="31" t="s">
        <v>383</v>
      </c>
      <c r="B314" s="31" t="s">
        <v>384</v>
      </c>
      <c r="C314" s="31" t="s">
        <v>1082</v>
      </c>
      <c r="D314" s="280">
        <v>13.0</v>
      </c>
      <c r="E314" s="281">
        <f>SUMIF(RM_Purchase_YTD!C:C,'RM Rollforward'!A314,RM_Purchase_YTD!E:E)</f>
        <v>0</v>
      </c>
      <c r="F314" s="281">
        <f>SUMIF(RM_InboundProd_YTD!B:B,'RM Rollforward'!A314,RM_InboundProd_YTD!D:D)</f>
        <v>116</v>
      </c>
      <c r="G314" s="282">
        <f>SUMIF(RM_Outbound_YTD!B:B,'RM Rollforward'!A314,RM_Outbound_YTD!D:D)</f>
        <v>108</v>
      </c>
      <c r="H314" s="283">
        <f t="shared" si="1"/>
        <v>21</v>
      </c>
      <c r="I314" s="284"/>
      <c r="J314" s="319">
        <v>0.25</v>
      </c>
      <c r="K314" s="286">
        <v>500.0</v>
      </c>
      <c r="L314" s="287">
        <f t="shared" si="4"/>
        <v>2625</v>
      </c>
      <c r="M314" s="320"/>
    </row>
    <row r="315" ht="15.75" customHeight="1">
      <c r="A315" s="31" t="s">
        <v>371</v>
      </c>
      <c r="B315" s="31" t="s">
        <v>372</v>
      </c>
      <c r="C315" s="31" t="s">
        <v>1082</v>
      </c>
      <c r="D315" s="280">
        <v>0.0</v>
      </c>
      <c r="E315" s="281">
        <f>SUMIF(RM_Purchase_YTD!C:C,'RM Rollforward'!A315,RM_Purchase_YTD!E:E)</f>
        <v>0</v>
      </c>
      <c r="F315" s="281">
        <f>SUMIF(RM_InboundProd_YTD!B:B,'RM Rollforward'!A315,RM_InboundProd_YTD!D:D)</f>
        <v>39</v>
      </c>
      <c r="G315" s="282">
        <f>SUMIF(RM_Outbound_YTD!B:B,'RM Rollforward'!A315,RM_Outbound_YTD!D:D)</f>
        <v>11</v>
      </c>
      <c r="H315" s="283">
        <f t="shared" si="1"/>
        <v>28</v>
      </c>
      <c r="I315" s="284"/>
      <c r="J315" s="319">
        <v>0.25</v>
      </c>
      <c r="K315" s="286">
        <v>500.0</v>
      </c>
      <c r="L315" s="287">
        <f t="shared" si="4"/>
        <v>3500</v>
      </c>
      <c r="M315" s="320"/>
    </row>
    <row r="316" ht="15.75" customHeight="1">
      <c r="A316" s="31" t="s">
        <v>1091</v>
      </c>
      <c r="B316" s="31" t="s">
        <v>1092</v>
      </c>
      <c r="C316" s="31" t="s">
        <v>1082</v>
      </c>
      <c r="D316" s="280">
        <v>0.0</v>
      </c>
      <c r="E316" s="281">
        <f>SUMIF(RM_Purchase_YTD!C:C,'RM Rollforward'!A316,RM_Purchase_YTD!E:E)</f>
        <v>0</v>
      </c>
      <c r="F316" s="281">
        <f>SUMIF(RM_InboundProd_YTD!B:B,'RM Rollforward'!A316,RM_InboundProd_YTD!D:D)</f>
        <v>0</v>
      </c>
      <c r="G316" s="282">
        <f>SUMIF(RM_Outbound_YTD!B:B,'RM Rollforward'!A316,RM_Outbound_YTD!D:D)</f>
        <v>0</v>
      </c>
      <c r="H316" s="283">
        <f t="shared" si="1"/>
        <v>0</v>
      </c>
      <c r="I316" s="284"/>
      <c r="J316" s="319">
        <v>0.25</v>
      </c>
      <c r="K316" s="286">
        <v>500.0</v>
      </c>
      <c r="L316" s="287">
        <f t="shared" si="4"/>
        <v>0</v>
      </c>
      <c r="M316" s="320"/>
    </row>
    <row r="317" ht="16.5" customHeight="1">
      <c r="A317" s="31" t="s">
        <v>1093</v>
      </c>
      <c r="B317" s="31" t="s">
        <v>1094</v>
      </c>
      <c r="C317" s="31" t="s">
        <v>1082</v>
      </c>
      <c r="D317" s="280">
        <v>0.0</v>
      </c>
      <c r="E317" s="281">
        <f>SUMIF(RM_Purchase_YTD!C:C,'RM Rollforward'!A317,RM_Purchase_YTD!E:E)</f>
        <v>0</v>
      </c>
      <c r="F317" s="281">
        <f>SUMIF(RM_InboundProd_YTD!B:B,'RM Rollforward'!A317,RM_InboundProd_YTD!D:D)</f>
        <v>0</v>
      </c>
      <c r="G317" s="282">
        <f>SUMIF(RM_Outbound_YTD!B:B,'RM Rollforward'!A317,RM_Outbound_YTD!D:D)</f>
        <v>0</v>
      </c>
      <c r="H317" s="283">
        <f t="shared" si="1"/>
        <v>0</v>
      </c>
      <c r="I317" s="284"/>
      <c r="J317" s="319">
        <v>0.25</v>
      </c>
      <c r="K317" s="286">
        <v>500.0</v>
      </c>
      <c r="L317" s="287">
        <f t="shared" si="4"/>
        <v>0</v>
      </c>
      <c r="M317" s="320"/>
    </row>
    <row r="318" ht="15.75" customHeight="1">
      <c r="A318" s="31" t="s">
        <v>1095</v>
      </c>
      <c r="B318" s="31" t="s">
        <v>1096</v>
      </c>
      <c r="C318" s="31" t="s">
        <v>1082</v>
      </c>
      <c r="D318" s="280">
        <v>2.0</v>
      </c>
      <c r="E318" s="281">
        <f>SUMIF(RM_Purchase_YTD!C:C,'RM Rollforward'!A318,RM_Purchase_YTD!E:E)</f>
        <v>0</v>
      </c>
      <c r="F318" s="281">
        <f>SUMIF(RM_InboundProd_YTD!B:B,'RM Rollforward'!A318,RM_InboundProd_YTD!D:D)</f>
        <v>0</v>
      </c>
      <c r="G318" s="282">
        <f>SUMIF(RM_Outbound_YTD!B:B,'RM Rollforward'!A318,RM_Outbound_YTD!D:D)</f>
        <v>0</v>
      </c>
      <c r="H318" s="283">
        <f t="shared" si="1"/>
        <v>2</v>
      </c>
      <c r="I318" s="284"/>
      <c r="J318" s="319">
        <v>0.25</v>
      </c>
      <c r="K318" s="286">
        <v>500.0</v>
      </c>
      <c r="L318" s="287">
        <f t="shared" si="4"/>
        <v>250</v>
      </c>
      <c r="M318" s="320"/>
    </row>
    <row r="319" ht="15.75" customHeight="1">
      <c r="A319" s="31" t="s">
        <v>1097</v>
      </c>
      <c r="B319" s="31" t="s">
        <v>1098</v>
      </c>
      <c r="C319" s="31" t="s">
        <v>1082</v>
      </c>
      <c r="D319" s="280">
        <v>0.0</v>
      </c>
      <c r="E319" s="281">
        <f>SUMIF(RM_Purchase_YTD!C:C,'RM Rollforward'!A319,RM_Purchase_YTD!E:E)</f>
        <v>0</v>
      </c>
      <c r="F319" s="281">
        <f>SUMIF(RM_InboundProd_YTD!B:B,'RM Rollforward'!A319,RM_InboundProd_YTD!D:D)</f>
        <v>0</v>
      </c>
      <c r="G319" s="282">
        <f>SUMIF(RM_Outbound_YTD!B:B,'RM Rollforward'!A319,RM_Outbound_YTD!D:D)</f>
        <v>0</v>
      </c>
      <c r="H319" s="283">
        <f t="shared" si="1"/>
        <v>0</v>
      </c>
      <c r="I319" s="284"/>
      <c r="J319" s="319">
        <v>0.25</v>
      </c>
      <c r="K319" s="286">
        <v>500.0</v>
      </c>
      <c r="L319" s="287">
        <f t="shared" si="4"/>
        <v>0</v>
      </c>
      <c r="M319" s="320"/>
    </row>
    <row r="320" ht="15.75" customHeight="1">
      <c r="A320" s="31" t="s">
        <v>1099</v>
      </c>
      <c r="B320" s="31" t="s">
        <v>1100</v>
      </c>
      <c r="C320" s="31" t="s">
        <v>1082</v>
      </c>
      <c r="D320" s="280">
        <v>0.0</v>
      </c>
      <c r="E320" s="281">
        <f>SUMIF(RM_Purchase_YTD!C:C,'RM Rollforward'!A320,RM_Purchase_YTD!E:E)</f>
        <v>0</v>
      </c>
      <c r="F320" s="281">
        <f>SUMIF(RM_InboundProd_YTD!B:B,'RM Rollforward'!A320,RM_InboundProd_YTD!D:D)</f>
        <v>0</v>
      </c>
      <c r="G320" s="282">
        <f>SUMIF(RM_Outbound_YTD!B:B,'RM Rollforward'!A320,RM_Outbound_YTD!D:D)</f>
        <v>0</v>
      </c>
      <c r="H320" s="283">
        <f t="shared" si="1"/>
        <v>0</v>
      </c>
      <c r="I320" s="284"/>
      <c r="J320" s="319">
        <v>0.25</v>
      </c>
      <c r="K320" s="286">
        <v>500.0</v>
      </c>
      <c r="L320" s="287">
        <f t="shared" si="4"/>
        <v>0</v>
      </c>
      <c r="M320" s="320"/>
    </row>
    <row r="321" ht="15.75" customHeight="1">
      <c r="A321" s="31" t="s">
        <v>1101</v>
      </c>
      <c r="B321" s="31" t="s">
        <v>1102</v>
      </c>
      <c r="C321" s="31" t="s">
        <v>1082</v>
      </c>
      <c r="D321" s="280">
        <v>38.0</v>
      </c>
      <c r="E321" s="281">
        <f>SUMIF(RM_Purchase_YTD!C:C,'RM Rollforward'!A321,RM_Purchase_YTD!E:E)</f>
        <v>0</v>
      </c>
      <c r="F321" s="281">
        <f>SUMIF(RM_InboundProd_YTD!B:B,'RM Rollforward'!A321,RM_InboundProd_YTD!D:D)</f>
        <v>0</v>
      </c>
      <c r="G321" s="282">
        <f>SUMIF(RM_Outbound_YTD!B:B,'RM Rollforward'!A321,RM_Outbound_YTD!D:D)</f>
        <v>0</v>
      </c>
      <c r="H321" s="283">
        <f t="shared" si="1"/>
        <v>38</v>
      </c>
      <c r="I321" s="284"/>
      <c r="J321" s="319">
        <v>0.25</v>
      </c>
      <c r="K321" s="286">
        <v>500.0</v>
      </c>
      <c r="L321" s="287">
        <f t="shared" si="4"/>
        <v>4750</v>
      </c>
      <c r="M321" s="320"/>
    </row>
    <row r="322" ht="15.75" customHeight="1">
      <c r="A322" s="31" t="s">
        <v>1103</v>
      </c>
      <c r="B322" s="31" t="s">
        <v>1104</v>
      </c>
      <c r="C322" s="31" t="s">
        <v>1082</v>
      </c>
      <c r="D322" s="280">
        <v>7.0</v>
      </c>
      <c r="E322" s="281">
        <f>SUMIF(RM_Purchase_YTD!C:C,'RM Rollforward'!A322,RM_Purchase_YTD!E:E)</f>
        <v>0</v>
      </c>
      <c r="F322" s="281">
        <f>SUMIF(RM_InboundProd_YTD!B:B,'RM Rollforward'!A322,RM_InboundProd_YTD!D:D)</f>
        <v>0</v>
      </c>
      <c r="G322" s="282">
        <f>SUMIF(RM_Outbound_YTD!B:B,'RM Rollforward'!A322,RM_Outbound_YTD!D:D)</f>
        <v>0</v>
      </c>
      <c r="H322" s="283">
        <f t="shared" si="1"/>
        <v>7</v>
      </c>
      <c r="I322" s="284"/>
      <c r="J322" s="319">
        <v>0.25</v>
      </c>
      <c r="K322" s="286">
        <v>500.0</v>
      </c>
      <c r="L322" s="287">
        <f t="shared" si="4"/>
        <v>875</v>
      </c>
      <c r="M322" s="320"/>
    </row>
    <row r="323" ht="15.75" customHeight="1">
      <c r="A323" s="31" t="s">
        <v>1105</v>
      </c>
      <c r="B323" s="31" t="s">
        <v>1106</v>
      </c>
      <c r="C323" s="31" t="s">
        <v>1082</v>
      </c>
      <c r="D323" s="280">
        <v>61.0</v>
      </c>
      <c r="E323" s="281">
        <f>SUMIF(RM_Purchase_YTD!C:C,'RM Rollforward'!A323,RM_Purchase_YTD!E:E)</f>
        <v>0</v>
      </c>
      <c r="F323" s="281">
        <f>SUMIF(RM_InboundProd_YTD!B:B,'RM Rollforward'!A323,RM_InboundProd_YTD!D:D)</f>
        <v>0</v>
      </c>
      <c r="G323" s="282">
        <f>SUMIF(RM_Outbound_YTD!B:B,'RM Rollforward'!A323,RM_Outbound_YTD!D:D)</f>
        <v>0</v>
      </c>
      <c r="H323" s="283">
        <f t="shared" si="1"/>
        <v>61</v>
      </c>
      <c r="I323" s="284"/>
      <c r="J323" s="319">
        <v>0.25</v>
      </c>
      <c r="K323" s="286">
        <v>500.0</v>
      </c>
      <c r="L323" s="287">
        <f t="shared" si="4"/>
        <v>7625</v>
      </c>
      <c r="M323" s="320"/>
    </row>
    <row r="324" ht="15.75" customHeight="1">
      <c r="A324" s="31" t="s">
        <v>1107</v>
      </c>
      <c r="B324" s="31" t="s">
        <v>1108</v>
      </c>
      <c r="C324" s="31" t="s">
        <v>1082</v>
      </c>
      <c r="D324" s="280">
        <v>31.0</v>
      </c>
      <c r="E324" s="281">
        <f>SUMIF(RM_Purchase_YTD!C:C,'RM Rollforward'!A324,RM_Purchase_YTD!E:E)</f>
        <v>0</v>
      </c>
      <c r="F324" s="281">
        <f>SUMIF(RM_InboundProd_YTD!B:B,'RM Rollforward'!A324,RM_InboundProd_YTD!D:D)</f>
        <v>0</v>
      </c>
      <c r="G324" s="282">
        <f>SUMIF(RM_Outbound_YTD!B:B,'RM Rollforward'!A324,RM_Outbound_YTD!D:D)</f>
        <v>0</v>
      </c>
      <c r="H324" s="283">
        <f t="shared" si="1"/>
        <v>31</v>
      </c>
      <c r="I324" s="284"/>
      <c r="J324" s="319">
        <v>0.25</v>
      </c>
      <c r="K324" s="286">
        <v>500.0</v>
      </c>
      <c r="L324" s="287">
        <f t="shared" si="4"/>
        <v>3875</v>
      </c>
      <c r="M324" s="320"/>
    </row>
    <row r="325" ht="15.75" customHeight="1">
      <c r="A325" s="31" t="s">
        <v>1109</v>
      </c>
      <c r="B325" s="31" t="s">
        <v>1110</v>
      </c>
      <c r="C325" s="31" t="s">
        <v>1082</v>
      </c>
      <c r="D325" s="280">
        <v>0.0</v>
      </c>
      <c r="E325" s="281">
        <f>SUMIF(RM_Purchase_YTD!C:C,'RM Rollforward'!A325,RM_Purchase_YTD!E:E)</f>
        <v>0</v>
      </c>
      <c r="F325" s="281">
        <f>SUMIF(RM_InboundProd_YTD!B:B,'RM Rollforward'!A325,RM_InboundProd_YTD!D:D)</f>
        <v>0</v>
      </c>
      <c r="G325" s="282">
        <f>SUMIF(RM_Outbound_YTD!B:B,'RM Rollforward'!A325,RM_Outbound_YTD!D:D)</f>
        <v>0</v>
      </c>
      <c r="H325" s="283">
        <f t="shared" si="1"/>
        <v>0</v>
      </c>
      <c r="I325" s="284"/>
      <c r="J325" s="319">
        <v>0.25</v>
      </c>
      <c r="K325" s="286">
        <v>500.0</v>
      </c>
      <c r="L325" s="287">
        <f t="shared" si="4"/>
        <v>0</v>
      </c>
      <c r="M325" s="320"/>
    </row>
    <row r="326" ht="15.75" customHeight="1">
      <c r="A326" s="31" t="s">
        <v>329</v>
      </c>
      <c r="B326" s="31" t="s">
        <v>330</v>
      </c>
      <c r="C326" s="31" t="s">
        <v>1082</v>
      </c>
      <c r="D326" s="280">
        <v>0.0</v>
      </c>
      <c r="E326" s="281">
        <f>SUMIF(RM_Purchase_YTD!C:C,'RM Rollforward'!A326,RM_Purchase_YTD!E:E)</f>
        <v>0</v>
      </c>
      <c r="F326" s="281">
        <f>SUMIF(RM_InboundProd_YTD!B:B,'RM Rollforward'!A326,RM_InboundProd_YTD!D:D)</f>
        <v>32</v>
      </c>
      <c r="G326" s="282">
        <f>SUMIF(RM_Outbound_YTD!B:B,'RM Rollforward'!A326,RM_Outbound_YTD!D:D)</f>
        <v>0</v>
      </c>
      <c r="H326" s="283">
        <f t="shared" si="1"/>
        <v>32</v>
      </c>
      <c r="I326" s="284"/>
      <c r="J326" s="319">
        <v>0.25</v>
      </c>
      <c r="K326" s="286">
        <v>500.0</v>
      </c>
      <c r="L326" s="287">
        <f t="shared" si="4"/>
        <v>4000</v>
      </c>
      <c r="M326" s="320"/>
    </row>
    <row r="327" ht="15.75" customHeight="1">
      <c r="A327" s="31" t="s">
        <v>1111</v>
      </c>
      <c r="B327" s="31" t="s">
        <v>1112</v>
      </c>
      <c r="C327" s="31" t="s">
        <v>1082</v>
      </c>
      <c r="D327" s="280">
        <v>13.0</v>
      </c>
      <c r="E327" s="281">
        <f>SUMIF(RM_Purchase_YTD!C:C,'RM Rollforward'!A327,RM_Purchase_YTD!E:E)</f>
        <v>0</v>
      </c>
      <c r="F327" s="281">
        <f>SUMIF(RM_InboundProd_YTD!B:B,'RM Rollforward'!A327,RM_InboundProd_YTD!D:D)</f>
        <v>0</v>
      </c>
      <c r="G327" s="282">
        <f>SUMIF(RM_Outbound_YTD!B:B,'RM Rollforward'!A327,RM_Outbound_YTD!D:D)</f>
        <v>0</v>
      </c>
      <c r="H327" s="283">
        <f t="shared" si="1"/>
        <v>13</v>
      </c>
      <c r="I327" s="284"/>
      <c r="J327" s="319">
        <v>0.25</v>
      </c>
      <c r="K327" s="286">
        <v>500.0</v>
      </c>
      <c r="L327" s="287">
        <f t="shared" si="4"/>
        <v>1625</v>
      </c>
      <c r="M327" s="320"/>
    </row>
    <row r="328" ht="15.75" customHeight="1">
      <c r="A328" s="31" t="s">
        <v>359</v>
      </c>
      <c r="B328" s="31" t="s">
        <v>360</v>
      </c>
      <c r="C328" s="31" t="s">
        <v>1082</v>
      </c>
      <c r="D328" s="280">
        <v>0.0</v>
      </c>
      <c r="E328" s="281">
        <f>SUMIF(RM_Purchase_YTD!C:C,'RM Rollforward'!A328,RM_Purchase_YTD!E:E)</f>
        <v>0</v>
      </c>
      <c r="F328" s="281">
        <f>SUMIF(RM_InboundProd_YTD!B:B,'RM Rollforward'!A328,RM_InboundProd_YTD!D:D)</f>
        <v>40</v>
      </c>
      <c r="G328" s="282">
        <f>SUMIF(RM_Outbound_YTD!B:B,'RM Rollforward'!A328,RM_Outbound_YTD!D:D)</f>
        <v>23</v>
      </c>
      <c r="H328" s="283">
        <f t="shared" si="1"/>
        <v>17</v>
      </c>
      <c r="I328" s="284"/>
      <c r="J328" s="319">
        <v>0.25</v>
      </c>
      <c r="K328" s="286">
        <v>500.0</v>
      </c>
      <c r="L328" s="287">
        <f t="shared" si="4"/>
        <v>2125</v>
      </c>
      <c r="M328" s="320"/>
    </row>
    <row r="329" ht="15.75" customHeight="1">
      <c r="A329" s="31" t="s">
        <v>1113</v>
      </c>
      <c r="B329" s="31" t="s">
        <v>1114</v>
      </c>
      <c r="C329" s="31" t="s">
        <v>1082</v>
      </c>
      <c r="D329" s="280">
        <v>9.0</v>
      </c>
      <c r="E329" s="281">
        <f>SUMIF(RM_Purchase_YTD!C:C,'RM Rollforward'!A329,RM_Purchase_YTD!E:E)</f>
        <v>0</v>
      </c>
      <c r="F329" s="281">
        <f>SUMIF(RM_InboundProd_YTD!B:B,'RM Rollforward'!A329,RM_InboundProd_YTD!D:D)</f>
        <v>0</v>
      </c>
      <c r="G329" s="282">
        <f>SUMIF(RM_Outbound_YTD!B:B,'RM Rollforward'!A329,RM_Outbound_YTD!D:D)</f>
        <v>0</v>
      </c>
      <c r="H329" s="283">
        <f t="shared" si="1"/>
        <v>9</v>
      </c>
      <c r="I329" s="284"/>
      <c r="J329" s="319">
        <v>0.25</v>
      </c>
      <c r="K329" s="286">
        <v>500.0</v>
      </c>
      <c r="L329" s="287">
        <f t="shared" si="4"/>
        <v>1125</v>
      </c>
      <c r="M329" s="320"/>
    </row>
    <row r="330" ht="15.75" customHeight="1">
      <c r="A330" s="31" t="s">
        <v>321</v>
      </c>
      <c r="B330" s="31" t="s">
        <v>322</v>
      </c>
      <c r="C330" s="31" t="s">
        <v>1082</v>
      </c>
      <c r="D330" s="280">
        <v>2.0</v>
      </c>
      <c r="E330" s="281">
        <f>SUMIF(RM_Purchase_YTD!C:C,'RM Rollforward'!A330,RM_Purchase_YTD!E:E)</f>
        <v>0</v>
      </c>
      <c r="F330" s="281">
        <f>SUMIF(RM_InboundProd_YTD!B:B,'RM Rollforward'!A330,RM_InboundProd_YTD!D:D)</f>
        <v>154</v>
      </c>
      <c r="G330" s="282">
        <f>SUMIF(RM_Outbound_YTD!B:B,'RM Rollforward'!A330,RM_Outbound_YTD!D:D)</f>
        <v>123</v>
      </c>
      <c r="H330" s="283">
        <f t="shared" si="1"/>
        <v>33</v>
      </c>
      <c r="I330" s="284"/>
      <c r="J330" s="319">
        <v>0.25</v>
      </c>
      <c r="K330" s="286">
        <v>500.0</v>
      </c>
      <c r="L330" s="287">
        <f t="shared" si="4"/>
        <v>4125</v>
      </c>
      <c r="M330" s="320"/>
    </row>
    <row r="331" ht="15.75" customHeight="1">
      <c r="A331" s="31" t="s">
        <v>277</v>
      </c>
      <c r="B331" s="31" t="s">
        <v>278</v>
      </c>
      <c r="C331" s="31" t="s">
        <v>1082</v>
      </c>
      <c r="D331" s="280">
        <v>0.0</v>
      </c>
      <c r="E331" s="281">
        <f>SUMIF(RM_Purchase_YTD!C:C,'RM Rollforward'!A331,RM_Purchase_YTD!E:E)</f>
        <v>0</v>
      </c>
      <c r="F331" s="281">
        <f>SUMIF(RM_InboundProd_YTD!B:B,'RM Rollforward'!A331,RM_InboundProd_YTD!D:D)</f>
        <v>577</v>
      </c>
      <c r="G331" s="282">
        <f>SUMIF(RM_Outbound_YTD!B:B,'RM Rollforward'!A331,RM_Outbound_YTD!D:D)</f>
        <v>484</v>
      </c>
      <c r="H331" s="283">
        <f t="shared" si="1"/>
        <v>93</v>
      </c>
      <c r="I331" s="284"/>
      <c r="J331" s="319">
        <v>0.25</v>
      </c>
      <c r="K331" s="286">
        <v>500.0</v>
      </c>
      <c r="L331" s="287">
        <f t="shared" si="4"/>
        <v>11625</v>
      </c>
      <c r="M331" s="320"/>
    </row>
    <row r="332" ht="15.75" customHeight="1">
      <c r="A332" s="31" t="s">
        <v>331</v>
      </c>
      <c r="B332" s="31" t="s">
        <v>332</v>
      </c>
      <c r="C332" s="31" t="s">
        <v>1082</v>
      </c>
      <c r="D332" s="280">
        <v>0.0</v>
      </c>
      <c r="E332" s="281">
        <f>SUMIF(RM_Purchase_YTD!C:C,'RM Rollforward'!A332,RM_Purchase_YTD!E:E)</f>
        <v>0</v>
      </c>
      <c r="F332" s="281">
        <f>SUMIF(RM_InboundProd_YTD!B:B,'RM Rollforward'!A332,RM_InboundProd_YTD!D:D)</f>
        <v>104</v>
      </c>
      <c r="G332" s="282">
        <f>SUMIF(RM_Outbound_YTD!B:B,'RM Rollforward'!A332,RM_Outbound_YTD!D:D)</f>
        <v>83</v>
      </c>
      <c r="H332" s="283">
        <f t="shared" si="1"/>
        <v>21</v>
      </c>
      <c r="I332" s="284"/>
      <c r="J332" s="319">
        <v>0.25</v>
      </c>
      <c r="K332" s="286">
        <v>500.0</v>
      </c>
      <c r="L332" s="287">
        <f t="shared" si="4"/>
        <v>2625</v>
      </c>
      <c r="M332" s="320"/>
    </row>
    <row r="333" ht="15.75" customHeight="1">
      <c r="A333" s="31" t="s">
        <v>337</v>
      </c>
      <c r="B333" s="31" t="s">
        <v>338</v>
      </c>
      <c r="C333" s="31" t="s">
        <v>1082</v>
      </c>
      <c r="D333" s="280">
        <v>0.0</v>
      </c>
      <c r="E333" s="281">
        <f>SUMIF(RM_Purchase_YTD!C:C,'RM Rollforward'!A333,RM_Purchase_YTD!E:E)</f>
        <v>0</v>
      </c>
      <c r="F333" s="281">
        <f>SUMIF(RM_InboundProd_YTD!B:B,'RM Rollforward'!A333,RM_InboundProd_YTD!D:D)</f>
        <v>98</v>
      </c>
      <c r="G333" s="282">
        <f>SUMIF(RM_Outbound_YTD!B:B,'RM Rollforward'!A333,RM_Outbound_YTD!D:D)</f>
        <v>85</v>
      </c>
      <c r="H333" s="283">
        <f t="shared" si="1"/>
        <v>13</v>
      </c>
      <c r="I333" s="284"/>
      <c r="J333" s="319">
        <v>0.25</v>
      </c>
      <c r="K333" s="286">
        <v>500.0</v>
      </c>
      <c r="L333" s="287">
        <f t="shared" si="4"/>
        <v>1625</v>
      </c>
      <c r="M333" s="320"/>
    </row>
    <row r="334" ht="15.75" customHeight="1">
      <c r="A334" s="31" t="s">
        <v>367</v>
      </c>
      <c r="B334" s="31" t="s">
        <v>368</v>
      </c>
      <c r="C334" s="31" t="s">
        <v>1082</v>
      </c>
      <c r="D334" s="280">
        <v>0.0</v>
      </c>
      <c r="E334" s="281">
        <f>SUMIF(RM_Purchase_YTD!C:C,'RM Rollforward'!A334,RM_Purchase_YTD!E:E)</f>
        <v>0</v>
      </c>
      <c r="F334" s="281">
        <f>SUMIF(RM_InboundProd_YTD!B:B,'RM Rollforward'!A334,RM_InboundProd_YTD!D:D)</f>
        <v>81</v>
      </c>
      <c r="G334" s="282">
        <f>SUMIF(RM_Outbound_YTD!B:B,'RM Rollforward'!A334,RM_Outbound_YTD!D:D)</f>
        <v>77</v>
      </c>
      <c r="H334" s="283">
        <f t="shared" si="1"/>
        <v>4</v>
      </c>
      <c r="I334" s="284"/>
      <c r="J334" s="319">
        <v>0.25</v>
      </c>
      <c r="K334" s="286">
        <v>500.0</v>
      </c>
      <c r="L334" s="287">
        <f t="shared" si="4"/>
        <v>500</v>
      </c>
      <c r="M334" s="320"/>
    </row>
    <row r="335" ht="15.75" customHeight="1">
      <c r="A335" s="31" t="s">
        <v>369</v>
      </c>
      <c r="B335" s="31" t="s">
        <v>370</v>
      </c>
      <c r="C335" s="31" t="s">
        <v>1082</v>
      </c>
      <c r="D335" s="280">
        <v>0.0</v>
      </c>
      <c r="E335" s="281">
        <f>SUMIF(RM_Purchase_YTD!C:C,'RM Rollforward'!A335,RM_Purchase_YTD!E:E)</f>
        <v>0</v>
      </c>
      <c r="F335" s="281">
        <f>SUMIF(RM_InboundProd_YTD!B:B,'RM Rollforward'!A335,RM_InboundProd_YTD!D:D)</f>
        <v>33</v>
      </c>
      <c r="G335" s="282">
        <f>SUMIF(RM_Outbound_YTD!B:B,'RM Rollforward'!A335,RM_Outbound_YTD!D:D)</f>
        <v>33</v>
      </c>
      <c r="H335" s="283">
        <f t="shared" si="1"/>
        <v>0</v>
      </c>
      <c r="I335" s="284"/>
      <c r="J335" s="319">
        <v>0.25</v>
      </c>
      <c r="K335" s="286">
        <v>500.0</v>
      </c>
      <c r="L335" s="287">
        <f t="shared" si="4"/>
        <v>0</v>
      </c>
      <c r="M335" s="320"/>
    </row>
    <row r="336" ht="15.75" customHeight="1">
      <c r="A336" s="31" t="s">
        <v>1115</v>
      </c>
      <c r="B336" s="31" t="s">
        <v>1116</v>
      </c>
      <c r="C336" s="31" t="s">
        <v>1082</v>
      </c>
      <c r="D336" s="280">
        <v>0.0</v>
      </c>
      <c r="E336" s="281">
        <f>SUMIF(RM_Purchase_YTD!C:C,'RM Rollforward'!A336,RM_Purchase_YTD!E:E)</f>
        <v>0</v>
      </c>
      <c r="F336" s="281">
        <f>SUMIF(RM_InboundProd_YTD!B:B,'RM Rollforward'!A336,RM_InboundProd_YTD!D:D)</f>
        <v>0</v>
      </c>
      <c r="G336" s="282">
        <f>SUMIF(RM_Outbound_YTD!B:B,'RM Rollforward'!A336,RM_Outbound_YTD!D:D)</f>
        <v>0</v>
      </c>
      <c r="H336" s="283">
        <f t="shared" si="1"/>
        <v>0</v>
      </c>
      <c r="I336" s="284"/>
      <c r="J336" s="319">
        <v>0.25</v>
      </c>
      <c r="K336" s="286">
        <v>500.0</v>
      </c>
      <c r="L336" s="287">
        <f t="shared" si="4"/>
        <v>0</v>
      </c>
      <c r="M336" s="320"/>
    </row>
    <row r="337" ht="15.75" customHeight="1">
      <c r="A337" s="31" t="s">
        <v>1117</v>
      </c>
      <c r="B337" s="31" t="s">
        <v>1118</v>
      </c>
      <c r="C337" s="31" t="s">
        <v>1082</v>
      </c>
      <c r="D337" s="280">
        <v>0.0</v>
      </c>
      <c r="E337" s="281">
        <f>SUMIF(RM_Purchase_YTD!C:C,'RM Rollforward'!A337,RM_Purchase_YTD!E:E)</f>
        <v>0</v>
      </c>
      <c r="F337" s="281">
        <f>SUMIF(RM_InboundProd_YTD!B:B,'RM Rollforward'!A337,RM_InboundProd_YTD!D:D)</f>
        <v>0</v>
      </c>
      <c r="G337" s="282">
        <f>SUMIF(RM_Outbound_YTD!B:B,'RM Rollforward'!A337,RM_Outbound_YTD!D:D)</f>
        <v>0</v>
      </c>
      <c r="H337" s="283">
        <f t="shared" si="1"/>
        <v>0</v>
      </c>
      <c r="I337" s="284"/>
      <c r="J337" s="319">
        <v>0.25</v>
      </c>
      <c r="K337" s="286">
        <v>500.0</v>
      </c>
      <c r="L337" s="287">
        <f t="shared" si="4"/>
        <v>0</v>
      </c>
      <c r="M337" s="320"/>
    </row>
    <row r="338" ht="15.75" customHeight="1">
      <c r="A338" s="31" t="s">
        <v>1119</v>
      </c>
      <c r="B338" s="31" t="s">
        <v>1120</v>
      </c>
      <c r="C338" s="31" t="s">
        <v>1082</v>
      </c>
      <c r="D338" s="280">
        <v>0.0</v>
      </c>
      <c r="E338" s="281">
        <f>SUMIF(RM_Purchase_YTD!C:C,'RM Rollforward'!A338,RM_Purchase_YTD!E:E)</f>
        <v>0</v>
      </c>
      <c r="F338" s="281">
        <f>SUMIF(RM_InboundProd_YTD!B:B,'RM Rollforward'!A338,RM_InboundProd_YTD!D:D)</f>
        <v>0</v>
      </c>
      <c r="G338" s="282">
        <f>SUMIF(RM_Outbound_YTD!B:B,'RM Rollforward'!A338,RM_Outbound_YTD!D:D)</f>
        <v>0</v>
      </c>
      <c r="H338" s="283">
        <f t="shared" si="1"/>
        <v>0</v>
      </c>
      <c r="I338" s="284"/>
      <c r="J338" s="319">
        <v>0.25</v>
      </c>
      <c r="K338" s="286">
        <v>500.0</v>
      </c>
      <c r="L338" s="287">
        <f t="shared" si="4"/>
        <v>0</v>
      </c>
      <c r="M338" s="320"/>
    </row>
    <row r="339" ht="15.75" customHeight="1">
      <c r="A339" s="31" t="s">
        <v>1121</v>
      </c>
      <c r="B339" s="31" t="s">
        <v>1122</v>
      </c>
      <c r="C339" s="31" t="s">
        <v>1082</v>
      </c>
      <c r="D339" s="280">
        <v>68.0</v>
      </c>
      <c r="E339" s="281">
        <f>SUMIF(RM_Purchase_YTD!C:C,'RM Rollforward'!A339,RM_Purchase_YTD!E:E)</f>
        <v>0</v>
      </c>
      <c r="F339" s="281">
        <f>SUMIF(RM_InboundProd_YTD!B:B,'RM Rollforward'!A339,RM_InboundProd_YTD!D:D)</f>
        <v>0</v>
      </c>
      <c r="G339" s="282">
        <f>SUMIF(RM_Outbound_YTD!B:B,'RM Rollforward'!A339,RM_Outbound_YTD!D:D)</f>
        <v>0</v>
      </c>
      <c r="H339" s="283">
        <f t="shared" si="1"/>
        <v>68</v>
      </c>
      <c r="I339" s="284"/>
      <c r="J339" s="319">
        <v>0.25</v>
      </c>
      <c r="K339" s="286">
        <v>500.0</v>
      </c>
      <c r="L339" s="287">
        <f t="shared" si="4"/>
        <v>8500</v>
      </c>
      <c r="M339" s="320"/>
    </row>
    <row r="340" ht="15.75" customHeight="1">
      <c r="A340" s="31" t="s">
        <v>1123</v>
      </c>
      <c r="B340" s="31" t="s">
        <v>1124</v>
      </c>
      <c r="C340" s="31" t="s">
        <v>1082</v>
      </c>
      <c r="D340" s="280">
        <v>20.0</v>
      </c>
      <c r="E340" s="281">
        <f>SUMIF(RM_Purchase_YTD!C:C,'RM Rollforward'!A340,RM_Purchase_YTD!E:E)</f>
        <v>0</v>
      </c>
      <c r="F340" s="281">
        <f>SUMIF(RM_InboundProd_YTD!B:B,'RM Rollforward'!A340,RM_InboundProd_YTD!D:D)</f>
        <v>0</v>
      </c>
      <c r="G340" s="282">
        <f>SUMIF(RM_Outbound_YTD!B:B,'RM Rollforward'!A340,RM_Outbound_YTD!D:D)</f>
        <v>0</v>
      </c>
      <c r="H340" s="283">
        <f t="shared" si="1"/>
        <v>20</v>
      </c>
      <c r="I340" s="284"/>
      <c r="J340" s="319">
        <v>0.25</v>
      </c>
      <c r="K340" s="286">
        <v>500.0</v>
      </c>
      <c r="L340" s="287">
        <f t="shared" si="4"/>
        <v>2500</v>
      </c>
      <c r="M340" s="320"/>
    </row>
    <row r="341" ht="15.75" customHeight="1">
      <c r="A341" s="31" t="s">
        <v>1125</v>
      </c>
      <c r="B341" s="31" t="s">
        <v>1126</v>
      </c>
      <c r="C341" s="31" t="s">
        <v>1082</v>
      </c>
      <c r="D341" s="280">
        <v>54.0</v>
      </c>
      <c r="E341" s="281">
        <f>SUMIF(RM_Purchase_YTD!C:C,'RM Rollforward'!A341,RM_Purchase_YTD!E:E)</f>
        <v>0</v>
      </c>
      <c r="F341" s="281">
        <f>SUMIF(RM_InboundProd_YTD!B:B,'RM Rollforward'!A341,RM_InboundProd_YTD!D:D)</f>
        <v>0</v>
      </c>
      <c r="G341" s="282">
        <f>SUMIF(RM_Outbound_YTD!B:B,'RM Rollforward'!A341,RM_Outbound_YTD!D:D)</f>
        <v>0</v>
      </c>
      <c r="H341" s="283">
        <f t="shared" si="1"/>
        <v>54</v>
      </c>
      <c r="I341" s="284"/>
      <c r="J341" s="319">
        <v>0.25</v>
      </c>
      <c r="K341" s="286">
        <v>500.0</v>
      </c>
      <c r="L341" s="287">
        <f t="shared" si="4"/>
        <v>6750</v>
      </c>
      <c r="M341" s="320"/>
    </row>
    <row r="342" ht="15.75" customHeight="1">
      <c r="A342" s="31" t="s">
        <v>1127</v>
      </c>
      <c r="B342" s="31" t="s">
        <v>1128</v>
      </c>
      <c r="C342" s="31" t="s">
        <v>1082</v>
      </c>
      <c r="D342" s="280">
        <v>50.0</v>
      </c>
      <c r="E342" s="281">
        <f>SUMIF(RM_Purchase_YTD!C:C,'RM Rollforward'!A342,RM_Purchase_YTD!E:E)</f>
        <v>0</v>
      </c>
      <c r="F342" s="281">
        <f>SUMIF(RM_InboundProd_YTD!B:B,'RM Rollforward'!A342,RM_InboundProd_YTD!D:D)</f>
        <v>0</v>
      </c>
      <c r="G342" s="282">
        <f>SUMIF(RM_Outbound_YTD!B:B,'RM Rollforward'!A342,RM_Outbound_YTD!D:D)</f>
        <v>0</v>
      </c>
      <c r="H342" s="283">
        <f t="shared" si="1"/>
        <v>50</v>
      </c>
      <c r="I342" s="284"/>
      <c r="J342" s="319">
        <v>0.25</v>
      </c>
      <c r="K342" s="286">
        <v>500.0</v>
      </c>
      <c r="L342" s="287">
        <f t="shared" si="4"/>
        <v>6250</v>
      </c>
      <c r="M342" s="320"/>
    </row>
    <row r="343" ht="15.75" customHeight="1">
      <c r="A343" s="31" t="s">
        <v>1129</v>
      </c>
      <c r="B343" s="31" t="s">
        <v>1130</v>
      </c>
      <c r="C343" s="31" t="s">
        <v>1082</v>
      </c>
      <c r="D343" s="280">
        <v>2.0</v>
      </c>
      <c r="E343" s="281">
        <f>SUMIF(RM_Purchase_YTD!C:C,'RM Rollforward'!A343,RM_Purchase_YTD!E:E)</f>
        <v>0</v>
      </c>
      <c r="F343" s="281">
        <f>SUMIF(RM_InboundProd_YTD!B:B,'RM Rollforward'!A343,RM_InboundProd_YTD!D:D)</f>
        <v>0</v>
      </c>
      <c r="G343" s="282">
        <f>SUMIF(RM_Outbound_YTD!B:B,'RM Rollforward'!A343,RM_Outbound_YTD!D:D)</f>
        <v>0</v>
      </c>
      <c r="H343" s="283">
        <f t="shared" si="1"/>
        <v>2</v>
      </c>
      <c r="I343" s="284"/>
      <c r="J343" s="319">
        <v>0.25</v>
      </c>
      <c r="K343" s="286">
        <v>500.0</v>
      </c>
      <c r="L343" s="287">
        <f t="shared" si="4"/>
        <v>250</v>
      </c>
      <c r="M343" s="320"/>
    </row>
    <row r="344" ht="15.75" customHeight="1">
      <c r="A344" s="31" t="s">
        <v>1131</v>
      </c>
      <c r="B344" s="31" t="s">
        <v>1132</v>
      </c>
      <c r="C344" s="31" t="s">
        <v>1082</v>
      </c>
      <c r="D344" s="280">
        <v>13.0</v>
      </c>
      <c r="E344" s="281">
        <f>SUMIF(RM_Purchase_YTD!C:C,'RM Rollforward'!A344,RM_Purchase_YTD!E:E)</f>
        <v>0</v>
      </c>
      <c r="F344" s="281">
        <f>SUMIF(RM_InboundProd_YTD!B:B,'RM Rollforward'!A344,RM_InboundProd_YTD!D:D)</f>
        <v>0</v>
      </c>
      <c r="G344" s="282">
        <f>SUMIF(RM_Outbound_YTD!B:B,'RM Rollforward'!A344,RM_Outbound_YTD!D:D)</f>
        <v>0</v>
      </c>
      <c r="H344" s="283">
        <f t="shared" si="1"/>
        <v>13</v>
      </c>
      <c r="I344" s="284"/>
      <c r="J344" s="319">
        <v>0.25</v>
      </c>
      <c r="K344" s="286">
        <v>500.0</v>
      </c>
      <c r="L344" s="287">
        <f t="shared" si="4"/>
        <v>1625</v>
      </c>
      <c r="M344" s="320"/>
    </row>
    <row r="345" ht="15.75" customHeight="1">
      <c r="A345" s="31" t="s">
        <v>1133</v>
      </c>
      <c r="B345" s="31" t="s">
        <v>1134</v>
      </c>
      <c r="C345" s="31" t="s">
        <v>1082</v>
      </c>
      <c r="D345" s="280">
        <v>15.0</v>
      </c>
      <c r="E345" s="281">
        <f>SUMIF(RM_Purchase_YTD!C:C,'RM Rollforward'!A345,RM_Purchase_YTD!E:E)</f>
        <v>0</v>
      </c>
      <c r="F345" s="281">
        <f>SUMIF(RM_InboundProd_YTD!B:B,'RM Rollforward'!A345,RM_InboundProd_YTD!D:D)</f>
        <v>0</v>
      </c>
      <c r="G345" s="282">
        <f>SUMIF(RM_Outbound_YTD!B:B,'RM Rollforward'!A345,RM_Outbound_YTD!D:D)</f>
        <v>0</v>
      </c>
      <c r="H345" s="283">
        <f t="shared" si="1"/>
        <v>15</v>
      </c>
      <c r="I345" s="284"/>
      <c r="J345" s="319">
        <v>0.25</v>
      </c>
      <c r="K345" s="286">
        <v>500.0</v>
      </c>
      <c r="L345" s="287">
        <f t="shared" si="4"/>
        <v>1875</v>
      </c>
      <c r="M345" s="320"/>
    </row>
    <row r="346" ht="15.75" customHeight="1">
      <c r="A346" s="31" t="s">
        <v>1135</v>
      </c>
      <c r="B346" s="31" t="s">
        <v>1136</v>
      </c>
      <c r="C346" s="31" t="s">
        <v>1082</v>
      </c>
      <c r="D346" s="280">
        <v>114.0</v>
      </c>
      <c r="E346" s="281">
        <f>SUMIF(RM_Purchase_YTD!C:C,'RM Rollforward'!A346,RM_Purchase_YTD!E:E)</f>
        <v>0</v>
      </c>
      <c r="F346" s="281">
        <f>SUMIF(RM_InboundProd_YTD!B:B,'RM Rollforward'!A346,RM_InboundProd_YTD!D:D)</f>
        <v>0</v>
      </c>
      <c r="G346" s="282">
        <f>SUMIF(RM_Outbound_YTD!B:B,'RM Rollforward'!A346,RM_Outbound_YTD!D:D)</f>
        <v>0</v>
      </c>
      <c r="H346" s="283">
        <f t="shared" si="1"/>
        <v>114</v>
      </c>
      <c r="I346" s="284"/>
      <c r="J346" s="319">
        <v>0.25</v>
      </c>
      <c r="K346" s="286">
        <v>500.0</v>
      </c>
      <c r="L346" s="287">
        <f t="shared" si="4"/>
        <v>14250</v>
      </c>
      <c r="M346" s="320"/>
    </row>
    <row r="347" ht="15.75" customHeight="1">
      <c r="A347" s="31" t="s">
        <v>1137</v>
      </c>
      <c r="B347" s="31" t="s">
        <v>1138</v>
      </c>
      <c r="C347" s="31" t="s">
        <v>1082</v>
      </c>
      <c r="D347" s="280">
        <v>82.0</v>
      </c>
      <c r="E347" s="281">
        <f>SUMIF(RM_Purchase_YTD!C:C,'RM Rollforward'!A347,RM_Purchase_YTD!E:E)</f>
        <v>0</v>
      </c>
      <c r="F347" s="281">
        <f>SUMIF(RM_InboundProd_YTD!B:B,'RM Rollforward'!A347,RM_InboundProd_YTD!D:D)</f>
        <v>0</v>
      </c>
      <c r="G347" s="282">
        <f>SUMIF(RM_Outbound_YTD!B:B,'RM Rollforward'!A347,RM_Outbound_YTD!D:D)</f>
        <v>0</v>
      </c>
      <c r="H347" s="283">
        <f t="shared" si="1"/>
        <v>82</v>
      </c>
      <c r="I347" s="284"/>
      <c r="J347" s="319">
        <v>0.25</v>
      </c>
      <c r="K347" s="286">
        <v>500.0</v>
      </c>
      <c r="L347" s="287">
        <f t="shared" si="4"/>
        <v>10250</v>
      </c>
      <c r="M347" s="320"/>
    </row>
    <row r="348" ht="15.75" customHeight="1">
      <c r="A348" s="31" t="s">
        <v>1139</v>
      </c>
      <c r="B348" s="31" t="s">
        <v>1140</v>
      </c>
      <c r="C348" s="31" t="s">
        <v>1082</v>
      </c>
      <c r="D348" s="280">
        <v>34.0</v>
      </c>
      <c r="E348" s="281">
        <f>SUMIF(RM_Purchase_YTD!C:C,'RM Rollforward'!A348,RM_Purchase_YTD!E:E)</f>
        <v>0</v>
      </c>
      <c r="F348" s="281">
        <f>SUMIF(RM_InboundProd_YTD!B:B,'RM Rollforward'!A348,RM_InboundProd_YTD!D:D)</f>
        <v>0</v>
      </c>
      <c r="G348" s="282">
        <f>SUMIF(RM_Outbound_YTD!B:B,'RM Rollforward'!A348,RM_Outbound_YTD!D:D)</f>
        <v>0</v>
      </c>
      <c r="H348" s="283">
        <f t="shared" si="1"/>
        <v>34</v>
      </c>
      <c r="I348" s="284"/>
      <c r="J348" s="319">
        <v>0.25</v>
      </c>
      <c r="K348" s="286">
        <v>500.0</v>
      </c>
      <c r="L348" s="287">
        <f t="shared" si="4"/>
        <v>4250</v>
      </c>
      <c r="M348" s="320"/>
    </row>
    <row r="349" ht="15.75" customHeight="1">
      <c r="A349" s="31" t="s">
        <v>1141</v>
      </c>
      <c r="B349" s="31" t="s">
        <v>1142</v>
      </c>
      <c r="C349" s="31" t="s">
        <v>1082</v>
      </c>
      <c r="D349" s="280">
        <v>59.0</v>
      </c>
      <c r="E349" s="281">
        <f>SUMIF(RM_Purchase_YTD!C:C,'RM Rollforward'!A349,RM_Purchase_YTD!E:E)</f>
        <v>0</v>
      </c>
      <c r="F349" s="281">
        <f>SUMIF(RM_InboundProd_YTD!B:B,'RM Rollforward'!A349,RM_InboundProd_YTD!D:D)</f>
        <v>0</v>
      </c>
      <c r="G349" s="282">
        <f>SUMIF(RM_Outbound_YTD!B:B,'RM Rollforward'!A349,RM_Outbound_YTD!D:D)</f>
        <v>0</v>
      </c>
      <c r="H349" s="283">
        <f t="shared" si="1"/>
        <v>59</v>
      </c>
      <c r="I349" s="284"/>
      <c r="J349" s="319">
        <v>0.25</v>
      </c>
      <c r="K349" s="286">
        <v>500.0</v>
      </c>
      <c r="L349" s="287">
        <f t="shared" si="4"/>
        <v>7375</v>
      </c>
      <c r="M349" s="320"/>
    </row>
    <row r="350" ht="15.75" customHeight="1">
      <c r="A350" s="31" t="s">
        <v>1143</v>
      </c>
      <c r="B350" s="31" t="s">
        <v>1144</v>
      </c>
      <c r="C350" s="31" t="s">
        <v>1082</v>
      </c>
      <c r="D350" s="280">
        <v>50.0</v>
      </c>
      <c r="E350" s="281">
        <f>SUMIF(RM_Purchase_YTD!C:C,'RM Rollforward'!A350,RM_Purchase_YTD!E:E)</f>
        <v>0</v>
      </c>
      <c r="F350" s="281">
        <f>SUMIF(RM_InboundProd_YTD!B:B,'RM Rollforward'!A350,RM_InboundProd_YTD!D:D)</f>
        <v>0</v>
      </c>
      <c r="G350" s="282">
        <f>SUMIF(RM_Outbound_YTD!B:B,'RM Rollforward'!A350,RM_Outbound_YTD!D:D)</f>
        <v>0</v>
      </c>
      <c r="H350" s="283">
        <f t="shared" si="1"/>
        <v>50</v>
      </c>
      <c r="I350" s="284"/>
      <c r="J350" s="319">
        <v>0.25</v>
      </c>
      <c r="K350" s="286">
        <v>500.0</v>
      </c>
      <c r="L350" s="287">
        <f t="shared" si="4"/>
        <v>6250</v>
      </c>
      <c r="M350" s="320"/>
    </row>
    <row r="351" ht="15.75" customHeight="1">
      <c r="A351" s="31" t="s">
        <v>1145</v>
      </c>
      <c r="B351" s="31" t="s">
        <v>1146</v>
      </c>
      <c r="C351" s="31" t="s">
        <v>1082</v>
      </c>
      <c r="D351" s="280">
        <v>84.0</v>
      </c>
      <c r="E351" s="281">
        <f>SUMIF(RM_Purchase_YTD!C:C,'RM Rollforward'!A351,RM_Purchase_YTD!E:E)</f>
        <v>0</v>
      </c>
      <c r="F351" s="281">
        <f>SUMIF(RM_InboundProd_YTD!B:B,'RM Rollforward'!A351,RM_InboundProd_YTD!D:D)</f>
        <v>0</v>
      </c>
      <c r="G351" s="282">
        <f>SUMIF(RM_Outbound_YTD!B:B,'RM Rollforward'!A351,RM_Outbound_YTD!D:D)</f>
        <v>0</v>
      </c>
      <c r="H351" s="283">
        <f t="shared" si="1"/>
        <v>84</v>
      </c>
      <c r="I351" s="284"/>
      <c r="J351" s="319">
        <v>0.25</v>
      </c>
      <c r="K351" s="286">
        <v>500.0</v>
      </c>
      <c r="L351" s="287">
        <f t="shared" si="4"/>
        <v>10500</v>
      </c>
      <c r="M351" s="320"/>
    </row>
    <row r="352" ht="15.75" customHeight="1">
      <c r="A352" s="31" t="s">
        <v>1147</v>
      </c>
      <c r="B352" s="31" t="s">
        <v>1148</v>
      </c>
      <c r="C352" s="31" t="s">
        <v>1082</v>
      </c>
      <c r="D352" s="280">
        <v>37.0</v>
      </c>
      <c r="E352" s="281">
        <f>SUMIF(RM_Purchase_YTD!C:C,'RM Rollforward'!A352,RM_Purchase_YTD!E:E)</f>
        <v>0</v>
      </c>
      <c r="F352" s="281">
        <f>SUMIF(RM_InboundProd_YTD!B:B,'RM Rollforward'!A352,RM_InboundProd_YTD!D:D)</f>
        <v>0</v>
      </c>
      <c r="G352" s="282">
        <f>SUMIF(RM_Outbound_YTD!B:B,'RM Rollforward'!A352,RM_Outbound_YTD!D:D)</f>
        <v>0</v>
      </c>
      <c r="H352" s="283">
        <f t="shared" si="1"/>
        <v>37</v>
      </c>
      <c r="I352" s="284"/>
      <c r="J352" s="319">
        <v>0.25</v>
      </c>
      <c r="K352" s="286">
        <v>500.0</v>
      </c>
      <c r="L352" s="287">
        <f t="shared" si="4"/>
        <v>4625</v>
      </c>
      <c r="M352" s="320"/>
    </row>
    <row r="353" ht="15.75" customHeight="1">
      <c r="A353" s="31" t="s">
        <v>1149</v>
      </c>
      <c r="B353" s="31" t="s">
        <v>1150</v>
      </c>
      <c r="C353" s="31" t="s">
        <v>1082</v>
      </c>
      <c r="D353" s="280">
        <v>19.0</v>
      </c>
      <c r="E353" s="281">
        <f>SUMIF(RM_Purchase_YTD!C:C,'RM Rollforward'!A353,RM_Purchase_YTD!E:E)</f>
        <v>0</v>
      </c>
      <c r="F353" s="281">
        <f>SUMIF(RM_InboundProd_YTD!B:B,'RM Rollforward'!A353,RM_InboundProd_YTD!D:D)</f>
        <v>0</v>
      </c>
      <c r="G353" s="282">
        <f>SUMIF(RM_Outbound_YTD!B:B,'RM Rollforward'!A353,RM_Outbound_YTD!D:D)</f>
        <v>0</v>
      </c>
      <c r="H353" s="283">
        <f t="shared" si="1"/>
        <v>19</v>
      </c>
      <c r="I353" s="284"/>
      <c r="J353" s="319">
        <v>0.25</v>
      </c>
      <c r="K353" s="286">
        <v>500.0</v>
      </c>
      <c r="L353" s="287">
        <f t="shared" si="4"/>
        <v>2375</v>
      </c>
      <c r="M353" s="320"/>
    </row>
    <row r="354" ht="15.75" customHeight="1">
      <c r="A354" s="31" t="s">
        <v>1151</v>
      </c>
      <c r="B354" s="31" t="s">
        <v>1152</v>
      </c>
      <c r="C354" s="31" t="s">
        <v>1082</v>
      </c>
      <c r="D354" s="280">
        <v>0.0</v>
      </c>
      <c r="E354" s="281">
        <f>SUMIF(RM_Purchase_YTD!C:C,'RM Rollforward'!A354,RM_Purchase_YTD!E:E)</f>
        <v>0</v>
      </c>
      <c r="F354" s="281">
        <f>SUMIF(RM_InboundProd_YTD!B:B,'RM Rollforward'!A354,RM_InboundProd_YTD!D:D)</f>
        <v>0</v>
      </c>
      <c r="G354" s="282">
        <f>SUMIF(RM_Outbound_YTD!B:B,'RM Rollforward'!A354,RM_Outbound_YTD!D:D)</f>
        <v>0</v>
      </c>
      <c r="H354" s="283">
        <f t="shared" si="1"/>
        <v>0</v>
      </c>
      <c r="I354" s="284"/>
      <c r="J354" s="319">
        <v>0.25</v>
      </c>
      <c r="K354" s="286">
        <v>500.0</v>
      </c>
      <c r="L354" s="287">
        <f t="shared" si="4"/>
        <v>0</v>
      </c>
      <c r="M354" s="320"/>
    </row>
    <row r="355" ht="15.75" customHeight="1">
      <c r="A355" s="31" t="s">
        <v>1153</v>
      </c>
      <c r="B355" s="31" t="s">
        <v>1154</v>
      </c>
      <c r="C355" s="31" t="s">
        <v>1082</v>
      </c>
      <c r="D355" s="280">
        <v>0.0</v>
      </c>
      <c r="E355" s="281">
        <f>SUMIF(RM_Purchase_YTD!C:C,'RM Rollforward'!A355,RM_Purchase_YTD!E:E)</f>
        <v>0</v>
      </c>
      <c r="F355" s="281">
        <f>SUMIF(RM_InboundProd_YTD!B:B,'RM Rollforward'!A355,RM_InboundProd_YTD!D:D)</f>
        <v>0</v>
      </c>
      <c r="G355" s="282">
        <f>SUMIF(RM_Outbound_YTD!B:B,'RM Rollforward'!A355,RM_Outbound_YTD!D:D)</f>
        <v>0</v>
      </c>
      <c r="H355" s="283">
        <f t="shared" si="1"/>
        <v>0</v>
      </c>
      <c r="I355" s="284"/>
      <c r="J355" s="319">
        <v>0.25</v>
      </c>
      <c r="K355" s="286">
        <v>500.0</v>
      </c>
      <c r="L355" s="287">
        <f t="shared" si="4"/>
        <v>0</v>
      </c>
      <c r="M355" s="320"/>
    </row>
    <row r="356" ht="15.75" customHeight="1">
      <c r="A356" s="31" t="s">
        <v>393</v>
      </c>
      <c r="B356" s="31" t="s">
        <v>394</v>
      </c>
      <c r="C356" s="31" t="s">
        <v>1082</v>
      </c>
      <c r="D356" s="280">
        <v>0.0</v>
      </c>
      <c r="E356" s="281">
        <f>SUMIF(RM_Purchase_YTD!C:C,'RM Rollforward'!A356,RM_Purchase_YTD!E:E)</f>
        <v>0</v>
      </c>
      <c r="F356" s="281">
        <f>SUMIF(RM_InboundProd_YTD!B:B,'RM Rollforward'!A356,RM_InboundProd_YTD!D:D)</f>
        <v>68</v>
      </c>
      <c r="G356" s="282">
        <f>SUMIF(RM_Outbound_YTD!B:B,'RM Rollforward'!A356,RM_Outbound_YTD!D:D)</f>
        <v>49</v>
      </c>
      <c r="H356" s="283">
        <f t="shared" si="1"/>
        <v>19</v>
      </c>
      <c r="I356" s="284"/>
      <c r="J356" s="319">
        <v>0.25</v>
      </c>
      <c r="K356" s="286">
        <v>500.0</v>
      </c>
      <c r="L356" s="287">
        <f t="shared" si="4"/>
        <v>2375</v>
      </c>
      <c r="M356" s="320"/>
    </row>
    <row r="357" ht="15.75" customHeight="1">
      <c r="A357" s="31" t="s">
        <v>311</v>
      </c>
      <c r="B357" s="31" t="s">
        <v>312</v>
      </c>
      <c r="C357" s="31" t="s">
        <v>1082</v>
      </c>
      <c r="D357" s="280">
        <v>0.0</v>
      </c>
      <c r="E357" s="281">
        <f>SUMIF(RM_Purchase_YTD!C:C,'RM Rollforward'!A357,RM_Purchase_YTD!E:E)</f>
        <v>0</v>
      </c>
      <c r="F357" s="281">
        <f>SUMIF(RM_InboundProd_YTD!B:B,'RM Rollforward'!A357,RM_InboundProd_YTD!D:D)</f>
        <v>32</v>
      </c>
      <c r="G357" s="282">
        <f>SUMIF(RM_Outbound_YTD!B:B,'RM Rollforward'!A357,RM_Outbound_YTD!D:D)</f>
        <v>14</v>
      </c>
      <c r="H357" s="283">
        <f t="shared" si="1"/>
        <v>18</v>
      </c>
      <c r="I357" s="284"/>
      <c r="J357" s="319">
        <v>0.25</v>
      </c>
      <c r="K357" s="286">
        <v>500.0</v>
      </c>
      <c r="L357" s="287">
        <f t="shared" si="4"/>
        <v>2250</v>
      </c>
      <c r="M357" s="320"/>
    </row>
    <row r="358" ht="15.75" customHeight="1">
      <c r="A358" s="31" t="s">
        <v>1155</v>
      </c>
      <c r="B358" s="31" t="s">
        <v>1156</v>
      </c>
      <c r="C358" s="31" t="s">
        <v>1082</v>
      </c>
      <c r="D358" s="280">
        <v>0.0</v>
      </c>
      <c r="E358" s="281">
        <f>SUMIF(RM_Purchase_YTD!C:C,'RM Rollforward'!A358,RM_Purchase_YTD!E:E)</f>
        <v>0</v>
      </c>
      <c r="F358" s="281">
        <f>SUMIF(RM_InboundProd_YTD!B:B,'RM Rollforward'!A358,RM_InboundProd_YTD!D:D)</f>
        <v>0</v>
      </c>
      <c r="G358" s="282">
        <f>SUMIF(RM_Outbound_YTD!B:B,'RM Rollforward'!A358,RM_Outbound_YTD!D:D)</f>
        <v>0</v>
      </c>
      <c r="H358" s="283">
        <f t="shared" si="1"/>
        <v>0</v>
      </c>
      <c r="I358" s="284"/>
      <c r="J358" s="319">
        <v>0.25</v>
      </c>
      <c r="K358" s="286">
        <v>500.0</v>
      </c>
      <c r="L358" s="287">
        <f t="shared" si="4"/>
        <v>0</v>
      </c>
      <c r="M358" s="320"/>
    </row>
    <row r="359" ht="15.75" customHeight="1">
      <c r="A359" s="31" t="s">
        <v>1157</v>
      </c>
      <c r="B359" s="31" t="s">
        <v>1158</v>
      </c>
      <c r="C359" s="31" t="s">
        <v>1082</v>
      </c>
      <c r="D359" s="280">
        <v>0.0</v>
      </c>
      <c r="E359" s="281">
        <f>SUMIF(RM_Purchase_YTD!C:C,'RM Rollforward'!A359,RM_Purchase_YTD!E:E)</f>
        <v>0</v>
      </c>
      <c r="F359" s="281">
        <f>SUMIF(RM_InboundProd_YTD!B:B,'RM Rollforward'!A359,RM_InboundProd_YTD!D:D)</f>
        <v>0</v>
      </c>
      <c r="G359" s="282">
        <f>SUMIF(RM_Outbound_YTD!B:B,'RM Rollforward'!A359,RM_Outbound_YTD!D:D)</f>
        <v>0</v>
      </c>
      <c r="H359" s="283">
        <f t="shared" si="1"/>
        <v>0</v>
      </c>
      <c r="I359" s="284"/>
      <c r="J359" s="319">
        <v>0.25</v>
      </c>
      <c r="K359" s="286">
        <v>500.0</v>
      </c>
      <c r="L359" s="287">
        <f t="shared" si="4"/>
        <v>0</v>
      </c>
      <c r="M359" s="320"/>
    </row>
    <row r="360" ht="15.75" customHeight="1">
      <c r="A360" s="31" t="s">
        <v>1159</v>
      </c>
      <c r="B360" s="31" t="s">
        <v>1160</v>
      </c>
      <c r="C360" s="31" t="s">
        <v>1082</v>
      </c>
      <c r="D360" s="280">
        <v>0.0</v>
      </c>
      <c r="E360" s="281">
        <f>SUMIF(RM_Purchase_YTD!C:C,'RM Rollforward'!A360,RM_Purchase_YTD!E:E)</f>
        <v>0</v>
      </c>
      <c r="F360" s="281">
        <f>SUMIF(RM_InboundProd_YTD!B:B,'RM Rollforward'!A360,RM_InboundProd_YTD!D:D)</f>
        <v>0</v>
      </c>
      <c r="G360" s="282">
        <f>SUMIF(RM_Outbound_YTD!B:B,'RM Rollforward'!A360,RM_Outbound_YTD!D:D)</f>
        <v>0</v>
      </c>
      <c r="H360" s="283">
        <f t="shared" si="1"/>
        <v>0</v>
      </c>
      <c r="I360" s="284"/>
      <c r="J360" s="319">
        <v>0.25</v>
      </c>
      <c r="K360" s="286">
        <v>500.0</v>
      </c>
      <c r="L360" s="287">
        <f t="shared" si="4"/>
        <v>0</v>
      </c>
      <c r="M360" s="320"/>
    </row>
    <row r="361" ht="15.75" customHeight="1">
      <c r="A361" s="31" t="s">
        <v>1161</v>
      </c>
      <c r="B361" s="31" t="s">
        <v>1162</v>
      </c>
      <c r="C361" s="31" t="s">
        <v>1082</v>
      </c>
      <c r="D361" s="280">
        <v>7.0</v>
      </c>
      <c r="E361" s="281">
        <f>SUMIF(RM_Purchase_YTD!C:C,'RM Rollforward'!A361,RM_Purchase_YTD!E:E)</f>
        <v>0</v>
      </c>
      <c r="F361" s="281">
        <f>SUMIF(RM_InboundProd_YTD!B:B,'RM Rollforward'!A361,RM_InboundProd_YTD!D:D)</f>
        <v>0</v>
      </c>
      <c r="G361" s="282">
        <f>SUMIF(RM_Outbound_YTD!B:B,'RM Rollforward'!A361,RM_Outbound_YTD!D:D)</f>
        <v>0</v>
      </c>
      <c r="H361" s="283">
        <f t="shared" si="1"/>
        <v>7</v>
      </c>
      <c r="I361" s="284"/>
      <c r="J361" s="319">
        <v>0.25</v>
      </c>
      <c r="K361" s="286">
        <v>500.0</v>
      </c>
      <c r="L361" s="287">
        <f t="shared" si="4"/>
        <v>875</v>
      </c>
      <c r="M361" s="320"/>
    </row>
    <row r="362" ht="15.75" customHeight="1">
      <c r="A362" s="31" t="s">
        <v>1163</v>
      </c>
      <c r="B362" s="31" t="s">
        <v>1164</v>
      </c>
      <c r="C362" s="31" t="s">
        <v>1082</v>
      </c>
      <c r="D362" s="280">
        <v>0.0</v>
      </c>
      <c r="E362" s="281">
        <f>SUMIF(RM_Purchase_YTD!C:C,'RM Rollforward'!A362,RM_Purchase_YTD!E:E)</f>
        <v>0</v>
      </c>
      <c r="F362" s="281">
        <f>SUMIF(RM_InboundProd_YTD!B:B,'RM Rollforward'!A362,RM_InboundProd_YTD!D:D)</f>
        <v>0</v>
      </c>
      <c r="G362" s="282">
        <f>SUMIF(RM_Outbound_YTD!B:B,'RM Rollforward'!A362,RM_Outbound_YTD!D:D)</f>
        <v>0</v>
      </c>
      <c r="H362" s="283">
        <f t="shared" si="1"/>
        <v>0</v>
      </c>
      <c r="I362" s="284"/>
      <c r="J362" s="319">
        <v>0.25</v>
      </c>
      <c r="K362" s="286">
        <v>500.0</v>
      </c>
      <c r="L362" s="287">
        <f t="shared" si="4"/>
        <v>0</v>
      </c>
      <c r="M362" s="320"/>
    </row>
    <row r="363" ht="15.75" customHeight="1">
      <c r="A363" s="31" t="s">
        <v>1165</v>
      </c>
      <c r="B363" s="31" t="s">
        <v>1166</v>
      </c>
      <c r="C363" s="31" t="s">
        <v>1082</v>
      </c>
      <c r="D363" s="280">
        <v>5.0</v>
      </c>
      <c r="E363" s="281">
        <f>SUMIF(RM_Purchase_YTD!C:C,'RM Rollforward'!A363,RM_Purchase_YTD!E:E)</f>
        <v>0</v>
      </c>
      <c r="F363" s="281">
        <f>SUMIF(RM_InboundProd_YTD!B:B,'RM Rollforward'!A363,RM_InboundProd_YTD!D:D)</f>
        <v>0</v>
      </c>
      <c r="G363" s="282">
        <f>SUMIF(RM_Outbound_YTD!B:B,'RM Rollforward'!A363,RM_Outbound_YTD!D:D)</f>
        <v>0</v>
      </c>
      <c r="H363" s="283">
        <f t="shared" si="1"/>
        <v>5</v>
      </c>
      <c r="I363" s="284"/>
      <c r="J363" s="319">
        <v>0.25</v>
      </c>
      <c r="K363" s="286">
        <v>500.0</v>
      </c>
      <c r="L363" s="287">
        <f t="shared" si="4"/>
        <v>625</v>
      </c>
      <c r="M363" s="320"/>
    </row>
    <row r="364" ht="15.75" customHeight="1">
      <c r="A364" s="31" t="s">
        <v>377</v>
      </c>
      <c r="B364" s="31" t="s">
        <v>378</v>
      </c>
      <c r="C364" s="31" t="s">
        <v>1082</v>
      </c>
      <c r="D364" s="280">
        <v>6.0</v>
      </c>
      <c r="E364" s="281">
        <f>SUMIF(RM_Purchase_YTD!C:C,'RM Rollforward'!A364,RM_Purchase_YTD!E:E)</f>
        <v>0</v>
      </c>
      <c r="F364" s="281">
        <f>SUMIF(RM_InboundProd_YTD!B:B,'RM Rollforward'!A364,RM_InboundProd_YTD!D:D)</f>
        <v>77</v>
      </c>
      <c r="G364" s="282">
        <f>SUMIF(RM_Outbound_YTD!B:B,'RM Rollforward'!A364,RM_Outbound_YTD!D:D)</f>
        <v>35</v>
      </c>
      <c r="H364" s="283">
        <f t="shared" si="1"/>
        <v>48</v>
      </c>
      <c r="I364" s="284"/>
      <c r="J364" s="319">
        <v>0.25</v>
      </c>
      <c r="K364" s="286">
        <v>500.0</v>
      </c>
      <c r="L364" s="287">
        <f t="shared" si="4"/>
        <v>6000</v>
      </c>
      <c r="M364" s="320"/>
    </row>
    <row r="365" ht="15.75" customHeight="1">
      <c r="A365" s="31" t="s">
        <v>395</v>
      </c>
      <c r="B365" s="31" t="s">
        <v>396</v>
      </c>
      <c r="C365" s="31" t="s">
        <v>1082</v>
      </c>
      <c r="D365" s="280">
        <v>0.0</v>
      </c>
      <c r="E365" s="281">
        <f>SUMIF(RM_Purchase_YTD!C:C,'RM Rollforward'!A365,RM_Purchase_YTD!E:E)</f>
        <v>0</v>
      </c>
      <c r="F365" s="281">
        <f>SUMIF(RM_InboundProd_YTD!B:B,'RM Rollforward'!A365,RM_InboundProd_YTD!D:D)</f>
        <v>68</v>
      </c>
      <c r="G365" s="282">
        <f>SUMIF(RM_Outbound_YTD!B:B,'RM Rollforward'!A365,RM_Outbound_YTD!D:D)</f>
        <v>40</v>
      </c>
      <c r="H365" s="283">
        <f t="shared" si="1"/>
        <v>28</v>
      </c>
      <c r="I365" s="284"/>
      <c r="J365" s="319">
        <v>0.25</v>
      </c>
      <c r="K365" s="286">
        <v>500.0</v>
      </c>
      <c r="L365" s="287">
        <f t="shared" si="4"/>
        <v>3500</v>
      </c>
      <c r="M365" s="320"/>
    </row>
    <row r="366" ht="15.75" customHeight="1">
      <c r="A366" s="31" t="s">
        <v>407</v>
      </c>
      <c r="B366" s="31" t="s">
        <v>408</v>
      </c>
      <c r="C366" s="31" t="s">
        <v>1082</v>
      </c>
      <c r="D366" s="280">
        <v>0.0</v>
      </c>
      <c r="E366" s="281">
        <f>SUMIF(RM_Purchase_YTD!C:C,'RM Rollforward'!A366,RM_Purchase_YTD!E:E)</f>
        <v>0</v>
      </c>
      <c r="F366" s="281">
        <f>SUMIF(RM_InboundProd_YTD!B:B,'RM Rollforward'!A366,RM_InboundProd_YTD!D:D)</f>
        <v>10</v>
      </c>
      <c r="G366" s="282">
        <f>SUMIF(RM_Outbound_YTD!B:B,'RM Rollforward'!A366,RM_Outbound_YTD!D:D)</f>
        <v>10</v>
      </c>
      <c r="H366" s="283">
        <f t="shared" si="1"/>
        <v>0</v>
      </c>
      <c r="I366" s="284"/>
      <c r="J366" s="319">
        <v>0.25</v>
      </c>
      <c r="K366" s="286">
        <v>500.0</v>
      </c>
      <c r="L366" s="287">
        <f t="shared" si="4"/>
        <v>0</v>
      </c>
      <c r="M366" s="320"/>
    </row>
    <row r="367" ht="15.75" customHeight="1">
      <c r="A367" s="31" t="s">
        <v>1167</v>
      </c>
      <c r="B367" s="31" t="s">
        <v>1168</v>
      </c>
      <c r="C367" s="31" t="s">
        <v>1082</v>
      </c>
      <c r="D367" s="280">
        <v>4.0</v>
      </c>
      <c r="E367" s="281">
        <f>SUMIF(RM_Purchase_YTD!C:C,'RM Rollforward'!A367,RM_Purchase_YTD!E:E)</f>
        <v>0</v>
      </c>
      <c r="F367" s="281">
        <f>SUMIF(RM_InboundProd_YTD!B:B,'RM Rollforward'!A367,RM_InboundProd_YTD!D:D)</f>
        <v>0</v>
      </c>
      <c r="G367" s="282">
        <f>SUMIF(RM_Outbound_YTD!B:B,'RM Rollforward'!A367,RM_Outbound_YTD!D:D)</f>
        <v>0</v>
      </c>
      <c r="H367" s="283">
        <f t="shared" si="1"/>
        <v>4</v>
      </c>
      <c r="I367" s="284"/>
      <c r="J367" s="319">
        <v>0.25</v>
      </c>
      <c r="K367" s="286">
        <v>500.0</v>
      </c>
      <c r="L367" s="287">
        <f t="shared" si="4"/>
        <v>500</v>
      </c>
      <c r="M367" s="320"/>
    </row>
    <row r="368" ht="15.75" customHeight="1">
      <c r="A368" s="31" t="s">
        <v>1169</v>
      </c>
      <c r="B368" s="31" t="s">
        <v>1170</v>
      </c>
      <c r="C368" s="31" t="s">
        <v>1082</v>
      </c>
      <c r="D368" s="280">
        <v>42.0</v>
      </c>
      <c r="E368" s="281">
        <f>SUMIF(RM_Purchase_YTD!C:C,'RM Rollforward'!A368,RM_Purchase_YTD!E:E)</f>
        <v>0</v>
      </c>
      <c r="F368" s="281">
        <f>SUMIF(RM_InboundProd_YTD!B:B,'RM Rollforward'!A368,RM_InboundProd_YTD!D:D)</f>
        <v>0</v>
      </c>
      <c r="G368" s="282">
        <f>SUMIF(RM_Outbound_YTD!B:B,'RM Rollforward'!A368,RM_Outbound_YTD!D:D)</f>
        <v>0</v>
      </c>
      <c r="H368" s="283">
        <f t="shared" si="1"/>
        <v>42</v>
      </c>
      <c r="I368" s="284"/>
      <c r="J368" s="319">
        <v>0.25</v>
      </c>
      <c r="K368" s="286">
        <v>500.0</v>
      </c>
      <c r="L368" s="287">
        <f t="shared" si="4"/>
        <v>5250</v>
      </c>
      <c r="M368" s="320"/>
    </row>
    <row r="369" ht="15.75" customHeight="1">
      <c r="A369" s="31" t="s">
        <v>1171</v>
      </c>
      <c r="B369" s="31" t="s">
        <v>1172</v>
      </c>
      <c r="C369" s="31" t="s">
        <v>1082</v>
      </c>
      <c r="D369" s="280">
        <v>19.0</v>
      </c>
      <c r="E369" s="281">
        <f>SUMIF(RM_Purchase_YTD!C:C,'RM Rollforward'!A369,RM_Purchase_YTD!E:E)</f>
        <v>0</v>
      </c>
      <c r="F369" s="281">
        <f>SUMIF(RM_InboundProd_YTD!B:B,'RM Rollforward'!A369,RM_InboundProd_YTD!D:D)</f>
        <v>0</v>
      </c>
      <c r="G369" s="282">
        <f>SUMIF(RM_Outbound_YTD!B:B,'RM Rollforward'!A369,RM_Outbound_YTD!D:D)</f>
        <v>0</v>
      </c>
      <c r="H369" s="283">
        <f t="shared" si="1"/>
        <v>19</v>
      </c>
      <c r="I369" s="284"/>
      <c r="J369" s="319">
        <v>0.25</v>
      </c>
      <c r="K369" s="286">
        <v>500.0</v>
      </c>
      <c r="L369" s="287">
        <f t="shared" si="4"/>
        <v>2375</v>
      </c>
      <c r="M369" s="320"/>
    </row>
    <row r="370" ht="15.75" customHeight="1">
      <c r="A370" s="31" t="s">
        <v>1173</v>
      </c>
      <c r="B370" s="31" t="s">
        <v>1174</v>
      </c>
      <c r="C370" s="31" t="s">
        <v>1082</v>
      </c>
      <c r="D370" s="280">
        <v>14.0</v>
      </c>
      <c r="E370" s="281">
        <f>SUMIF(RM_Purchase_YTD!C:C,'RM Rollforward'!A370,RM_Purchase_YTD!E:E)</f>
        <v>0</v>
      </c>
      <c r="F370" s="281">
        <f>SUMIF(RM_InboundProd_YTD!B:B,'RM Rollforward'!A370,RM_InboundProd_YTD!D:D)</f>
        <v>0</v>
      </c>
      <c r="G370" s="282">
        <f>SUMIF(RM_Outbound_YTD!B:B,'RM Rollforward'!A370,RM_Outbound_YTD!D:D)</f>
        <v>0</v>
      </c>
      <c r="H370" s="283">
        <f t="shared" si="1"/>
        <v>14</v>
      </c>
      <c r="I370" s="284"/>
      <c r="J370" s="319">
        <v>0.25</v>
      </c>
      <c r="K370" s="286">
        <v>500.0</v>
      </c>
      <c r="L370" s="287">
        <f t="shared" si="4"/>
        <v>1750</v>
      </c>
      <c r="M370" s="320"/>
    </row>
    <row r="371" ht="15.75" customHeight="1">
      <c r="A371" s="31" t="s">
        <v>1175</v>
      </c>
      <c r="B371" s="31" t="s">
        <v>1176</v>
      </c>
      <c r="C371" s="31" t="s">
        <v>1082</v>
      </c>
      <c r="D371" s="280">
        <v>11.0</v>
      </c>
      <c r="E371" s="281">
        <f>SUMIF(RM_Purchase_YTD!C:C,'RM Rollforward'!A371,RM_Purchase_YTD!E:E)</f>
        <v>0</v>
      </c>
      <c r="F371" s="281">
        <f>SUMIF(RM_InboundProd_YTD!B:B,'RM Rollforward'!A371,RM_InboundProd_YTD!D:D)</f>
        <v>0</v>
      </c>
      <c r="G371" s="282">
        <f>SUMIF(RM_Outbound_YTD!B:B,'RM Rollforward'!A371,RM_Outbound_YTD!D:D)</f>
        <v>0</v>
      </c>
      <c r="H371" s="283">
        <f t="shared" si="1"/>
        <v>11</v>
      </c>
      <c r="I371" s="284"/>
      <c r="J371" s="319">
        <v>0.25</v>
      </c>
      <c r="K371" s="286">
        <v>500.0</v>
      </c>
      <c r="L371" s="287">
        <f t="shared" si="4"/>
        <v>1375</v>
      </c>
      <c r="M371" s="320"/>
    </row>
    <row r="372" ht="15.75" customHeight="1">
      <c r="A372" s="31" t="s">
        <v>1177</v>
      </c>
      <c r="B372" s="31" t="s">
        <v>1178</v>
      </c>
      <c r="C372" s="31" t="s">
        <v>1082</v>
      </c>
      <c r="D372" s="280">
        <v>0.0</v>
      </c>
      <c r="E372" s="281">
        <f>SUMIF(RM_Purchase_YTD!C:C,'RM Rollforward'!A372,RM_Purchase_YTD!E:E)</f>
        <v>0</v>
      </c>
      <c r="F372" s="281">
        <f>SUMIF(RM_InboundProd_YTD!B:B,'RM Rollforward'!A372,RM_InboundProd_YTD!D:D)</f>
        <v>0</v>
      </c>
      <c r="G372" s="282">
        <f>SUMIF(RM_Outbound_YTD!B:B,'RM Rollforward'!A372,RM_Outbound_YTD!D:D)</f>
        <v>0</v>
      </c>
      <c r="H372" s="283">
        <f t="shared" si="1"/>
        <v>0</v>
      </c>
      <c r="I372" s="284"/>
      <c r="J372" s="319">
        <v>0.25</v>
      </c>
      <c r="K372" s="286">
        <v>500.0</v>
      </c>
      <c r="L372" s="287">
        <f t="shared" si="4"/>
        <v>0</v>
      </c>
      <c r="M372" s="320"/>
    </row>
    <row r="373" ht="15.75" customHeight="1">
      <c r="A373" s="31" t="s">
        <v>1179</v>
      </c>
      <c r="B373" s="31" t="s">
        <v>1180</v>
      </c>
      <c r="C373" s="31" t="s">
        <v>1082</v>
      </c>
      <c r="D373" s="280">
        <v>0.0</v>
      </c>
      <c r="E373" s="281">
        <f>SUMIF(RM_Purchase_YTD!C:C,'RM Rollforward'!A373,RM_Purchase_YTD!E:E)</f>
        <v>0</v>
      </c>
      <c r="F373" s="281">
        <f>SUMIF(RM_InboundProd_YTD!B:B,'RM Rollforward'!A373,RM_InboundProd_YTD!D:D)</f>
        <v>0</v>
      </c>
      <c r="G373" s="282">
        <f>SUMIF(RM_Outbound_YTD!B:B,'RM Rollforward'!A373,RM_Outbound_YTD!D:D)</f>
        <v>0</v>
      </c>
      <c r="H373" s="283">
        <f t="shared" si="1"/>
        <v>0</v>
      </c>
      <c r="I373" s="284"/>
      <c r="J373" s="319">
        <v>0.25</v>
      </c>
      <c r="K373" s="286">
        <v>500.0</v>
      </c>
      <c r="L373" s="287">
        <f t="shared" si="4"/>
        <v>0</v>
      </c>
      <c r="M373" s="320"/>
    </row>
    <row r="374" ht="15.75" customHeight="1">
      <c r="A374" s="31" t="s">
        <v>1181</v>
      </c>
      <c r="B374" s="31" t="s">
        <v>1182</v>
      </c>
      <c r="C374" s="31" t="s">
        <v>1082</v>
      </c>
      <c r="D374" s="280">
        <v>0.0</v>
      </c>
      <c r="E374" s="281">
        <f>SUMIF(RM_Purchase_YTD!C:C,'RM Rollforward'!A374,RM_Purchase_YTD!E:E)</f>
        <v>0</v>
      </c>
      <c r="F374" s="281">
        <f>SUMIF(RM_InboundProd_YTD!B:B,'RM Rollforward'!A374,RM_InboundProd_YTD!D:D)</f>
        <v>0</v>
      </c>
      <c r="G374" s="282">
        <f>SUMIF(RM_Outbound_YTD!B:B,'RM Rollforward'!A374,RM_Outbound_YTD!D:D)</f>
        <v>0</v>
      </c>
      <c r="H374" s="283">
        <f t="shared" si="1"/>
        <v>0</v>
      </c>
      <c r="I374" s="284"/>
      <c r="J374" s="319">
        <v>0.25</v>
      </c>
      <c r="K374" s="286">
        <v>500.0</v>
      </c>
      <c r="L374" s="287">
        <f t="shared" si="4"/>
        <v>0</v>
      </c>
      <c r="M374" s="320"/>
    </row>
    <row r="375" ht="15.75" customHeight="1">
      <c r="A375" s="31" t="s">
        <v>1183</v>
      </c>
      <c r="B375" s="31" t="s">
        <v>1184</v>
      </c>
      <c r="C375" s="31" t="s">
        <v>1082</v>
      </c>
      <c r="D375" s="280">
        <v>0.0</v>
      </c>
      <c r="E375" s="281">
        <f>SUMIF(RM_Purchase_YTD!C:C,'RM Rollforward'!A375,RM_Purchase_YTD!E:E)</f>
        <v>0</v>
      </c>
      <c r="F375" s="281">
        <f>SUMIF(RM_InboundProd_YTD!B:B,'RM Rollforward'!A375,RM_InboundProd_YTD!D:D)</f>
        <v>0</v>
      </c>
      <c r="G375" s="282">
        <f>SUMIF(RM_Outbound_YTD!B:B,'RM Rollforward'!A375,RM_Outbound_YTD!D:D)</f>
        <v>0</v>
      </c>
      <c r="H375" s="283">
        <f t="shared" si="1"/>
        <v>0</v>
      </c>
      <c r="I375" s="284"/>
      <c r="J375" s="319">
        <v>0.25</v>
      </c>
      <c r="K375" s="286">
        <v>500.0</v>
      </c>
      <c r="L375" s="287">
        <f t="shared" si="4"/>
        <v>0</v>
      </c>
      <c r="M375" s="320"/>
    </row>
    <row r="376" ht="15.75" customHeight="1">
      <c r="A376" s="31" t="s">
        <v>307</v>
      </c>
      <c r="B376" s="31" t="s">
        <v>308</v>
      </c>
      <c r="C376" s="31" t="s">
        <v>1082</v>
      </c>
      <c r="D376" s="280">
        <v>22.0</v>
      </c>
      <c r="E376" s="281">
        <f>SUMIF(RM_Purchase_YTD!C:C,'RM Rollforward'!A376,RM_Purchase_YTD!E:E)</f>
        <v>0</v>
      </c>
      <c r="F376" s="281">
        <f>SUMIF(RM_InboundProd_YTD!B:B,'RM Rollforward'!A376,RM_InboundProd_YTD!D:D)</f>
        <v>40</v>
      </c>
      <c r="G376" s="282">
        <f>SUMIF(RM_Outbound_YTD!B:B,'RM Rollforward'!A376,RM_Outbound_YTD!D:D)</f>
        <v>43</v>
      </c>
      <c r="H376" s="283">
        <f t="shared" si="1"/>
        <v>19</v>
      </c>
      <c r="I376" s="284"/>
      <c r="J376" s="319">
        <v>0.25</v>
      </c>
      <c r="K376" s="286">
        <v>500.0</v>
      </c>
      <c r="L376" s="287">
        <f t="shared" si="4"/>
        <v>2375</v>
      </c>
      <c r="M376" s="320"/>
    </row>
    <row r="377" ht="15.75" customHeight="1">
      <c r="A377" s="31" t="s">
        <v>281</v>
      </c>
      <c r="B377" s="31" t="s">
        <v>282</v>
      </c>
      <c r="C377" s="31" t="s">
        <v>1082</v>
      </c>
      <c r="D377" s="280">
        <v>0.0</v>
      </c>
      <c r="E377" s="281">
        <f>SUMIF(RM_Purchase_YTD!C:C,'RM Rollforward'!A377,RM_Purchase_YTD!E:E)</f>
        <v>0</v>
      </c>
      <c r="F377" s="281">
        <f>SUMIF(RM_InboundProd_YTD!B:B,'RM Rollforward'!A377,RM_InboundProd_YTD!D:D)</f>
        <v>136</v>
      </c>
      <c r="G377" s="282">
        <f>SUMIF(RM_Outbound_YTD!B:B,'RM Rollforward'!A377,RM_Outbound_YTD!D:D)</f>
        <v>99</v>
      </c>
      <c r="H377" s="283">
        <f t="shared" si="1"/>
        <v>37</v>
      </c>
      <c r="I377" s="284"/>
      <c r="J377" s="319">
        <v>0.25</v>
      </c>
      <c r="K377" s="286">
        <v>500.0</v>
      </c>
      <c r="L377" s="287">
        <f t="shared" si="4"/>
        <v>4625</v>
      </c>
      <c r="M377" s="320"/>
    </row>
    <row r="378" ht="15.75" customHeight="1">
      <c r="A378" s="31" t="s">
        <v>313</v>
      </c>
      <c r="B378" s="31" t="s">
        <v>314</v>
      </c>
      <c r="C378" s="31" t="s">
        <v>1082</v>
      </c>
      <c r="D378" s="280">
        <v>0.0</v>
      </c>
      <c r="E378" s="281">
        <f>SUMIF(RM_Purchase_YTD!C:C,'RM Rollforward'!A378,RM_Purchase_YTD!E:E)</f>
        <v>0</v>
      </c>
      <c r="F378" s="281">
        <f>SUMIF(RM_InboundProd_YTD!B:B,'RM Rollforward'!A378,RM_InboundProd_YTD!D:D)</f>
        <v>39</v>
      </c>
      <c r="G378" s="282">
        <f>SUMIF(RM_Outbound_YTD!B:B,'RM Rollforward'!A378,RM_Outbound_YTD!D:D)</f>
        <v>47</v>
      </c>
      <c r="H378" s="283">
        <f t="shared" si="1"/>
        <v>-8</v>
      </c>
      <c r="I378" s="284"/>
      <c r="J378" s="319">
        <v>0.25</v>
      </c>
      <c r="K378" s="286">
        <v>500.0</v>
      </c>
      <c r="L378" s="287">
        <f t="shared" si="4"/>
        <v>-1000</v>
      </c>
      <c r="M378" s="320"/>
    </row>
    <row r="379" ht="15.75" customHeight="1">
      <c r="A379" s="31" t="s">
        <v>1185</v>
      </c>
      <c r="B379" s="31" t="s">
        <v>1186</v>
      </c>
      <c r="C379" s="31" t="s">
        <v>1082</v>
      </c>
      <c r="D379" s="280">
        <v>0.0</v>
      </c>
      <c r="E379" s="281">
        <f>SUMIF(RM_Purchase_YTD!C:C,'RM Rollforward'!A379,RM_Purchase_YTD!E:E)</f>
        <v>0</v>
      </c>
      <c r="F379" s="281">
        <f>SUMIF(RM_InboundProd_YTD!B:B,'RM Rollforward'!A379,RM_InboundProd_YTD!D:D)</f>
        <v>0</v>
      </c>
      <c r="G379" s="282">
        <f>SUMIF(RM_Outbound_YTD!B:B,'RM Rollforward'!A379,RM_Outbound_YTD!D:D)</f>
        <v>0</v>
      </c>
      <c r="H379" s="283">
        <f t="shared" si="1"/>
        <v>0</v>
      </c>
      <c r="I379" s="284"/>
      <c r="J379" s="319">
        <v>0.25</v>
      </c>
      <c r="K379" s="286">
        <v>500.0</v>
      </c>
      <c r="L379" s="287">
        <f t="shared" si="4"/>
        <v>0</v>
      </c>
      <c r="M379" s="320"/>
    </row>
    <row r="380" ht="15.75" customHeight="1">
      <c r="A380" s="31" t="s">
        <v>1187</v>
      </c>
      <c r="B380" s="31" t="s">
        <v>1188</v>
      </c>
      <c r="C380" s="31" t="s">
        <v>1082</v>
      </c>
      <c r="D380" s="280">
        <v>35.0</v>
      </c>
      <c r="E380" s="281">
        <f>SUMIF(RM_Purchase_YTD!C:C,'RM Rollforward'!A380,RM_Purchase_YTD!E:E)</f>
        <v>0</v>
      </c>
      <c r="F380" s="281">
        <f>SUMIF(RM_InboundProd_YTD!B:B,'RM Rollforward'!A380,RM_InboundProd_YTD!D:D)</f>
        <v>0</v>
      </c>
      <c r="G380" s="282">
        <f>SUMIF(RM_Outbound_YTD!B:B,'RM Rollforward'!A380,RM_Outbound_YTD!D:D)</f>
        <v>0</v>
      </c>
      <c r="H380" s="283">
        <f t="shared" si="1"/>
        <v>35</v>
      </c>
      <c r="I380" s="284"/>
      <c r="J380" s="319">
        <v>0.25</v>
      </c>
      <c r="K380" s="286">
        <v>500.0</v>
      </c>
      <c r="L380" s="287">
        <f t="shared" si="4"/>
        <v>4375</v>
      </c>
      <c r="M380" s="320"/>
    </row>
    <row r="381" ht="15.75" customHeight="1">
      <c r="A381" s="31" t="s">
        <v>704</v>
      </c>
      <c r="B381" s="31" t="s">
        <v>705</v>
      </c>
      <c r="C381" s="31" t="s">
        <v>1082</v>
      </c>
      <c r="D381" s="280">
        <v>23.0</v>
      </c>
      <c r="E381" s="281">
        <f>SUMIF(RM_Purchase_YTD!C:C,'RM Rollforward'!A381,RM_Purchase_YTD!E:E)</f>
        <v>0</v>
      </c>
      <c r="F381" s="281">
        <f>SUMIF(RM_InboundProd_YTD!B:B,'RM Rollforward'!A381,RM_InboundProd_YTD!D:D)</f>
        <v>0</v>
      </c>
      <c r="G381" s="282">
        <f>SUMIF(RM_Outbound_YTD!B:B,'RM Rollforward'!A381,RM_Outbound_YTD!D:D)</f>
        <v>14</v>
      </c>
      <c r="H381" s="283">
        <f t="shared" si="1"/>
        <v>9</v>
      </c>
      <c r="I381" s="284"/>
      <c r="J381" s="319">
        <v>0.25</v>
      </c>
      <c r="K381" s="286">
        <v>500.0</v>
      </c>
      <c r="L381" s="287">
        <f t="shared" si="4"/>
        <v>1125</v>
      </c>
      <c r="M381" s="320"/>
    </row>
    <row r="382" ht="15.75" customHeight="1">
      <c r="A382" s="31" t="s">
        <v>1189</v>
      </c>
      <c r="B382" s="31" t="s">
        <v>1190</v>
      </c>
      <c r="C382" s="31" t="s">
        <v>1082</v>
      </c>
      <c r="D382" s="280">
        <v>3.0</v>
      </c>
      <c r="E382" s="281">
        <f>SUMIF(RM_Purchase_YTD!C:C,'RM Rollforward'!A382,RM_Purchase_YTD!E:E)</f>
        <v>0</v>
      </c>
      <c r="F382" s="281">
        <f>SUMIF(RM_InboundProd_YTD!B:B,'RM Rollforward'!A382,RM_InboundProd_YTD!D:D)</f>
        <v>0</v>
      </c>
      <c r="G382" s="282">
        <f>SUMIF(RM_Outbound_YTD!B:B,'RM Rollforward'!A382,RM_Outbound_YTD!D:D)</f>
        <v>0</v>
      </c>
      <c r="H382" s="283">
        <f t="shared" si="1"/>
        <v>3</v>
      </c>
      <c r="I382" s="284"/>
      <c r="J382" s="319">
        <v>0.25</v>
      </c>
      <c r="K382" s="286">
        <v>500.0</v>
      </c>
      <c r="L382" s="287">
        <f t="shared" si="4"/>
        <v>375</v>
      </c>
      <c r="M382" s="320"/>
    </row>
    <row r="383" ht="15.75" customHeight="1">
      <c r="A383" s="31" t="s">
        <v>1191</v>
      </c>
      <c r="B383" s="31" t="s">
        <v>1192</v>
      </c>
      <c r="C383" s="31" t="s">
        <v>1082</v>
      </c>
      <c r="D383" s="280">
        <v>0.0</v>
      </c>
      <c r="E383" s="281">
        <f>SUMIF(RM_Purchase_YTD!C:C,'RM Rollforward'!A383,RM_Purchase_YTD!E:E)</f>
        <v>0</v>
      </c>
      <c r="F383" s="281">
        <f>SUMIF(RM_InboundProd_YTD!B:B,'RM Rollforward'!A383,RM_InboundProd_YTD!D:D)</f>
        <v>0</v>
      </c>
      <c r="G383" s="282">
        <f>SUMIF(RM_Outbound_YTD!B:B,'RM Rollforward'!A383,RM_Outbound_YTD!D:D)</f>
        <v>0</v>
      </c>
      <c r="H383" s="283">
        <f t="shared" si="1"/>
        <v>0</v>
      </c>
      <c r="I383" s="284"/>
      <c r="J383" s="319">
        <v>0.25</v>
      </c>
      <c r="K383" s="286">
        <v>500.0</v>
      </c>
      <c r="L383" s="287">
        <f t="shared" si="4"/>
        <v>0</v>
      </c>
      <c r="M383" s="320"/>
    </row>
    <row r="384" ht="15.75" customHeight="1">
      <c r="A384" s="31" t="s">
        <v>706</v>
      </c>
      <c r="B384" s="31" t="s">
        <v>707</v>
      </c>
      <c r="C384" s="31" t="s">
        <v>1082</v>
      </c>
      <c r="D384" s="280">
        <v>35.0</v>
      </c>
      <c r="E384" s="281">
        <f>SUMIF(RM_Purchase_YTD!C:C,'RM Rollforward'!A384,RM_Purchase_YTD!E:E)</f>
        <v>0</v>
      </c>
      <c r="F384" s="281">
        <f>SUMIF(RM_InboundProd_YTD!B:B,'RM Rollforward'!A384,RM_InboundProd_YTD!D:D)</f>
        <v>0</v>
      </c>
      <c r="G384" s="282">
        <f>SUMIF(RM_Outbound_YTD!B:B,'RM Rollforward'!A384,RM_Outbound_YTD!D:D)</f>
        <v>38</v>
      </c>
      <c r="H384" s="283">
        <f t="shared" si="1"/>
        <v>-3</v>
      </c>
      <c r="I384" s="284"/>
      <c r="J384" s="319">
        <v>0.25</v>
      </c>
      <c r="K384" s="286">
        <v>500.0</v>
      </c>
      <c r="L384" s="287">
        <f t="shared" si="4"/>
        <v>-375</v>
      </c>
      <c r="M384" s="320"/>
    </row>
    <row r="385" ht="15.75" customHeight="1">
      <c r="A385" s="31" t="s">
        <v>1193</v>
      </c>
      <c r="B385" s="31" t="s">
        <v>1194</v>
      </c>
      <c r="C385" s="31" t="s">
        <v>1082</v>
      </c>
      <c r="D385" s="280">
        <v>61.0</v>
      </c>
      <c r="E385" s="281">
        <f>SUMIF(RM_Purchase_YTD!C:C,'RM Rollforward'!A385,RM_Purchase_YTD!E:E)</f>
        <v>0</v>
      </c>
      <c r="F385" s="281">
        <f>SUMIF(RM_InboundProd_YTD!B:B,'RM Rollforward'!A385,RM_InboundProd_YTD!D:D)</f>
        <v>0</v>
      </c>
      <c r="G385" s="282">
        <f>SUMIF(RM_Outbound_YTD!B:B,'RM Rollforward'!A385,RM_Outbound_YTD!D:D)</f>
        <v>0</v>
      </c>
      <c r="H385" s="283">
        <f t="shared" si="1"/>
        <v>61</v>
      </c>
      <c r="I385" s="284"/>
      <c r="J385" s="319">
        <v>0.25</v>
      </c>
      <c r="K385" s="286">
        <v>500.0</v>
      </c>
      <c r="L385" s="287">
        <f t="shared" si="4"/>
        <v>7625</v>
      </c>
      <c r="M385" s="320"/>
    </row>
    <row r="386" ht="15.75" customHeight="1">
      <c r="A386" s="31" t="s">
        <v>1195</v>
      </c>
      <c r="B386" s="31" t="s">
        <v>1196</v>
      </c>
      <c r="C386" s="31" t="s">
        <v>1082</v>
      </c>
      <c r="D386" s="280">
        <v>0.0</v>
      </c>
      <c r="E386" s="281">
        <f>SUMIF(RM_Purchase_YTD!C:C,'RM Rollforward'!A386,RM_Purchase_YTD!E:E)</f>
        <v>0</v>
      </c>
      <c r="F386" s="281">
        <f>SUMIF(RM_InboundProd_YTD!B:B,'RM Rollforward'!A386,RM_InboundProd_YTD!D:D)</f>
        <v>0</v>
      </c>
      <c r="G386" s="282">
        <f>SUMIF(RM_Outbound_YTD!B:B,'RM Rollforward'!A386,RM_Outbound_YTD!D:D)</f>
        <v>0</v>
      </c>
      <c r="H386" s="283">
        <f t="shared" si="1"/>
        <v>0</v>
      </c>
      <c r="I386" s="284"/>
      <c r="J386" s="319">
        <v>0.25</v>
      </c>
      <c r="K386" s="286">
        <v>500.0</v>
      </c>
      <c r="L386" s="287">
        <f t="shared" si="4"/>
        <v>0</v>
      </c>
      <c r="M386" s="320"/>
    </row>
    <row r="387" ht="15.75" customHeight="1">
      <c r="A387" s="31" t="s">
        <v>702</v>
      </c>
      <c r="B387" s="31" t="s">
        <v>703</v>
      </c>
      <c r="C387" s="31" t="s">
        <v>1082</v>
      </c>
      <c r="D387" s="280">
        <v>0.0</v>
      </c>
      <c r="E387" s="281">
        <f>SUMIF(RM_Purchase_YTD!C:C,'RM Rollforward'!A387,RM_Purchase_YTD!E:E)</f>
        <v>0</v>
      </c>
      <c r="F387" s="281">
        <f>SUMIF(RM_InboundProd_YTD!B:B,'RM Rollforward'!A387,RM_InboundProd_YTD!D:D)</f>
        <v>0</v>
      </c>
      <c r="G387" s="282">
        <f>SUMIF(RM_Outbound_YTD!B:B,'RM Rollforward'!A387,RM_Outbound_YTD!D:D)</f>
        <v>5</v>
      </c>
      <c r="H387" s="283">
        <f t="shared" si="1"/>
        <v>-5</v>
      </c>
      <c r="I387" s="284"/>
      <c r="J387" s="319">
        <v>0.25</v>
      </c>
      <c r="K387" s="286">
        <v>500.0</v>
      </c>
      <c r="L387" s="287">
        <f t="shared" si="4"/>
        <v>-625</v>
      </c>
      <c r="M387" s="320"/>
    </row>
    <row r="388" ht="15.75" customHeight="1">
      <c r="A388" s="31" t="s">
        <v>341</v>
      </c>
      <c r="B388" s="31" t="s">
        <v>342</v>
      </c>
      <c r="C388" s="31" t="s">
        <v>1082</v>
      </c>
      <c r="D388" s="280">
        <v>5.0</v>
      </c>
      <c r="E388" s="281">
        <f>SUMIF(RM_Purchase_YTD!C:C,'RM Rollforward'!A388,RM_Purchase_YTD!E:E)</f>
        <v>0</v>
      </c>
      <c r="F388" s="281">
        <f>SUMIF(RM_InboundProd_YTD!B:B,'RM Rollforward'!A388,RM_InboundProd_YTD!D:D)</f>
        <v>29</v>
      </c>
      <c r="G388" s="282">
        <f>SUMIF(RM_Outbound_YTD!B:B,'RM Rollforward'!A388,RM_Outbound_YTD!D:D)</f>
        <v>15</v>
      </c>
      <c r="H388" s="283">
        <f t="shared" si="1"/>
        <v>19</v>
      </c>
      <c r="I388" s="284"/>
      <c r="J388" s="319">
        <v>0.25</v>
      </c>
      <c r="K388" s="286">
        <v>500.0</v>
      </c>
      <c r="L388" s="287">
        <f t="shared" si="4"/>
        <v>2375</v>
      </c>
      <c r="M388" s="320"/>
    </row>
    <row r="389" ht="15.75" customHeight="1">
      <c r="A389" s="31" t="s">
        <v>403</v>
      </c>
      <c r="B389" s="31" t="s">
        <v>404</v>
      </c>
      <c r="C389" s="31" t="s">
        <v>1082</v>
      </c>
      <c r="D389" s="280">
        <v>5.0</v>
      </c>
      <c r="E389" s="281">
        <f>SUMIF(RM_Purchase_YTD!C:C,'RM Rollforward'!A389,RM_Purchase_YTD!E:E)</f>
        <v>0</v>
      </c>
      <c r="F389" s="281">
        <f>SUMIF(RM_InboundProd_YTD!B:B,'RM Rollforward'!A389,RM_InboundProd_YTD!D:D)</f>
        <v>104</v>
      </c>
      <c r="G389" s="282">
        <f>SUMIF(RM_Outbound_YTD!B:B,'RM Rollforward'!A389,RM_Outbound_YTD!D:D)</f>
        <v>42</v>
      </c>
      <c r="H389" s="283">
        <f t="shared" si="1"/>
        <v>67</v>
      </c>
      <c r="I389" s="284"/>
      <c r="J389" s="319">
        <v>0.25</v>
      </c>
      <c r="K389" s="286">
        <v>500.0</v>
      </c>
      <c r="L389" s="287">
        <f t="shared" si="4"/>
        <v>8375</v>
      </c>
      <c r="M389" s="320"/>
    </row>
    <row r="390" ht="15.75" customHeight="1">
      <c r="A390" s="31" t="s">
        <v>389</v>
      </c>
      <c r="B390" s="31" t="s">
        <v>390</v>
      </c>
      <c r="C390" s="31" t="s">
        <v>1082</v>
      </c>
      <c r="D390" s="280">
        <v>0.0</v>
      </c>
      <c r="E390" s="281">
        <f>SUMIF(RM_Purchase_YTD!C:C,'RM Rollforward'!A390,RM_Purchase_YTD!E:E)</f>
        <v>0</v>
      </c>
      <c r="F390" s="281">
        <f>SUMIF(RM_InboundProd_YTD!B:B,'RM Rollforward'!A390,RM_InboundProd_YTD!D:D)</f>
        <v>29</v>
      </c>
      <c r="G390" s="282">
        <f>SUMIF(RM_Outbound_YTD!B:B,'RM Rollforward'!A390,RM_Outbound_YTD!D:D)</f>
        <v>16</v>
      </c>
      <c r="H390" s="283">
        <f t="shared" si="1"/>
        <v>13</v>
      </c>
      <c r="I390" s="284"/>
      <c r="J390" s="319">
        <v>0.25</v>
      </c>
      <c r="K390" s="286">
        <v>500.0</v>
      </c>
      <c r="L390" s="287">
        <f t="shared" si="4"/>
        <v>1625</v>
      </c>
      <c r="M390" s="320"/>
    </row>
    <row r="391" ht="15.75" customHeight="1">
      <c r="A391" s="31" t="s">
        <v>1197</v>
      </c>
      <c r="B391" s="31" t="s">
        <v>1198</v>
      </c>
      <c r="C391" s="31" t="s">
        <v>1082</v>
      </c>
      <c r="D391" s="280">
        <v>0.0</v>
      </c>
      <c r="E391" s="281">
        <f>SUMIF(RM_Purchase_YTD!C:C,'RM Rollforward'!A391,RM_Purchase_YTD!E:E)</f>
        <v>0</v>
      </c>
      <c r="F391" s="281">
        <f>SUMIF(RM_InboundProd_YTD!B:B,'RM Rollforward'!A391,RM_InboundProd_YTD!D:D)</f>
        <v>0</v>
      </c>
      <c r="G391" s="282">
        <f>SUMIF(RM_Outbound_YTD!B:B,'RM Rollforward'!A391,RM_Outbound_YTD!D:D)</f>
        <v>0</v>
      </c>
      <c r="H391" s="283">
        <f t="shared" si="1"/>
        <v>0</v>
      </c>
      <c r="I391" s="284"/>
      <c r="J391" s="319">
        <v>0.25</v>
      </c>
      <c r="K391" s="286">
        <v>500.0</v>
      </c>
      <c r="L391" s="287">
        <f t="shared" si="4"/>
        <v>0</v>
      </c>
      <c r="M391" s="320"/>
    </row>
    <row r="392" ht="15.75" customHeight="1">
      <c r="A392" s="31" t="s">
        <v>1199</v>
      </c>
      <c r="B392" s="31" t="s">
        <v>1200</v>
      </c>
      <c r="C392" s="31" t="s">
        <v>1082</v>
      </c>
      <c r="D392" s="280">
        <v>0.0</v>
      </c>
      <c r="E392" s="281">
        <f>SUMIF(RM_Purchase_YTD!C:C,'RM Rollforward'!A392,RM_Purchase_YTD!E:E)</f>
        <v>0</v>
      </c>
      <c r="F392" s="281">
        <f>SUMIF(RM_InboundProd_YTD!B:B,'RM Rollforward'!A392,RM_InboundProd_YTD!D:D)</f>
        <v>0</v>
      </c>
      <c r="G392" s="282">
        <f>SUMIF(RM_Outbound_YTD!B:B,'RM Rollforward'!A392,RM_Outbound_YTD!D:D)</f>
        <v>0</v>
      </c>
      <c r="H392" s="283">
        <f t="shared" si="1"/>
        <v>0</v>
      </c>
      <c r="I392" s="284"/>
      <c r="J392" s="319">
        <v>0.25</v>
      </c>
      <c r="K392" s="286">
        <v>500.0</v>
      </c>
      <c r="L392" s="287">
        <f t="shared" si="4"/>
        <v>0</v>
      </c>
      <c r="M392" s="320"/>
    </row>
    <row r="393" ht="15.75" customHeight="1">
      <c r="A393" s="31" t="s">
        <v>1201</v>
      </c>
      <c r="B393" s="31" t="s">
        <v>1202</v>
      </c>
      <c r="C393" s="31" t="s">
        <v>1082</v>
      </c>
      <c r="D393" s="280">
        <v>23.0</v>
      </c>
      <c r="E393" s="281">
        <f>SUMIF(RM_Purchase_YTD!C:C,'RM Rollforward'!A393,RM_Purchase_YTD!E:E)</f>
        <v>0</v>
      </c>
      <c r="F393" s="281">
        <f>SUMIF(RM_InboundProd_YTD!B:B,'RM Rollforward'!A393,RM_InboundProd_YTD!D:D)</f>
        <v>0</v>
      </c>
      <c r="G393" s="282">
        <f>SUMIF(RM_Outbound_YTD!B:B,'RM Rollforward'!A393,RM_Outbound_YTD!D:D)</f>
        <v>0</v>
      </c>
      <c r="H393" s="283">
        <f t="shared" si="1"/>
        <v>23</v>
      </c>
      <c r="I393" s="284"/>
      <c r="J393" s="319">
        <v>0.25</v>
      </c>
      <c r="K393" s="286">
        <v>500.0</v>
      </c>
      <c r="L393" s="287">
        <f t="shared" si="4"/>
        <v>2875</v>
      </c>
      <c r="M393" s="320"/>
    </row>
    <row r="394" ht="15.75" customHeight="1">
      <c r="A394" s="31" t="s">
        <v>1203</v>
      </c>
      <c r="B394" s="31" t="s">
        <v>1204</v>
      </c>
      <c r="C394" s="31" t="s">
        <v>1082</v>
      </c>
      <c r="D394" s="280">
        <v>0.0</v>
      </c>
      <c r="E394" s="281">
        <f>SUMIF(RM_Purchase_YTD!C:C,'RM Rollforward'!A394,RM_Purchase_YTD!E:E)</f>
        <v>0</v>
      </c>
      <c r="F394" s="281">
        <f>SUMIF(RM_InboundProd_YTD!B:B,'RM Rollforward'!A394,RM_InboundProd_YTD!D:D)</f>
        <v>0</v>
      </c>
      <c r="G394" s="282">
        <f>SUMIF(RM_Outbound_YTD!B:B,'RM Rollforward'!A394,RM_Outbound_YTD!D:D)</f>
        <v>0</v>
      </c>
      <c r="H394" s="283">
        <f t="shared" si="1"/>
        <v>0</v>
      </c>
      <c r="I394" s="284"/>
      <c r="J394" s="319">
        <v>0.25</v>
      </c>
      <c r="K394" s="286">
        <v>500.0</v>
      </c>
      <c r="L394" s="287">
        <f t="shared" si="4"/>
        <v>0</v>
      </c>
      <c r="M394" s="320"/>
    </row>
    <row r="395" ht="15.75" customHeight="1">
      <c r="A395" s="31" t="s">
        <v>323</v>
      </c>
      <c r="B395" s="31" t="s">
        <v>324</v>
      </c>
      <c r="C395" s="31" t="s">
        <v>1082</v>
      </c>
      <c r="D395" s="280">
        <v>0.0</v>
      </c>
      <c r="E395" s="281">
        <f>SUMIF(RM_Purchase_YTD!C:C,'RM Rollforward'!A395,RM_Purchase_YTD!E:E)</f>
        <v>0</v>
      </c>
      <c r="F395" s="281">
        <f>SUMIF(RM_InboundProd_YTD!B:B,'RM Rollforward'!A395,RM_InboundProd_YTD!D:D)</f>
        <v>44</v>
      </c>
      <c r="G395" s="282">
        <f>SUMIF(RM_Outbound_YTD!B:B,'RM Rollforward'!A395,RM_Outbound_YTD!D:D)</f>
        <v>26</v>
      </c>
      <c r="H395" s="283">
        <f t="shared" si="1"/>
        <v>18</v>
      </c>
      <c r="I395" s="284"/>
      <c r="J395" s="319">
        <v>0.25</v>
      </c>
      <c r="K395" s="286">
        <v>500.0</v>
      </c>
      <c r="L395" s="287">
        <f t="shared" si="4"/>
        <v>2250</v>
      </c>
      <c r="M395" s="320"/>
    </row>
    <row r="396" ht="15.75" customHeight="1">
      <c r="A396" s="31" t="s">
        <v>1205</v>
      </c>
      <c r="B396" s="31" t="s">
        <v>1206</v>
      </c>
      <c r="C396" s="31" t="s">
        <v>1082</v>
      </c>
      <c r="D396" s="280">
        <v>0.0</v>
      </c>
      <c r="E396" s="281">
        <f>SUMIF(RM_Purchase_YTD!C:C,'RM Rollforward'!A396,RM_Purchase_YTD!E:E)</f>
        <v>0</v>
      </c>
      <c r="F396" s="281">
        <f>SUMIF(RM_InboundProd_YTD!B:B,'RM Rollforward'!A396,RM_InboundProd_YTD!D:D)</f>
        <v>0</v>
      </c>
      <c r="G396" s="282">
        <f>SUMIF(RM_Outbound_YTD!B:B,'RM Rollforward'!A396,RM_Outbound_YTD!D:D)</f>
        <v>0</v>
      </c>
      <c r="H396" s="283">
        <f t="shared" si="1"/>
        <v>0</v>
      </c>
      <c r="I396" s="284"/>
      <c r="J396" s="319">
        <v>0.25</v>
      </c>
      <c r="K396" s="286">
        <v>500.0</v>
      </c>
      <c r="L396" s="287">
        <f t="shared" si="4"/>
        <v>0</v>
      </c>
      <c r="M396" s="320"/>
    </row>
    <row r="397" ht="15.75" customHeight="1">
      <c r="A397" s="31" t="s">
        <v>1207</v>
      </c>
      <c r="B397" s="31" t="s">
        <v>1208</v>
      </c>
      <c r="C397" s="31" t="s">
        <v>1082</v>
      </c>
      <c r="D397" s="280">
        <v>0.0</v>
      </c>
      <c r="E397" s="281">
        <f>SUMIF(RM_Purchase_YTD!C:C,'RM Rollforward'!A397,RM_Purchase_YTD!E:E)</f>
        <v>0</v>
      </c>
      <c r="F397" s="281">
        <f>SUMIF(RM_InboundProd_YTD!B:B,'RM Rollforward'!A397,RM_InboundProd_YTD!D:D)</f>
        <v>0</v>
      </c>
      <c r="G397" s="282">
        <f>SUMIF(RM_Outbound_YTD!B:B,'RM Rollforward'!A397,RM_Outbound_YTD!D:D)</f>
        <v>0</v>
      </c>
      <c r="H397" s="283">
        <f t="shared" si="1"/>
        <v>0</v>
      </c>
      <c r="I397" s="284"/>
      <c r="J397" s="319">
        <v>0.25</v>
      </c>
      <c r="K397" s="286">
        <v>500.0</v>
      </c>
      <c r="L397" s="287">
        <f t="shared" si="4"/>
        <v>0</v>
      </c>
      <c r="M397" s="320"/>
    </row>
    <row r="398" ht="15.75" customHeight="1">
      <c r="A398" s="31" t="s">
        <v>297</v>
      </c>
      <c r="B398" s="31" t="s">
        <v>298</v>
      </c>
      <c r="C398" s="31" t="s">
        <v>1082</v>
      </c>
      <c r="D398" s="280">
        <v>0.0</v>
      </c>
      <c r="E398" s="281">
        <f>SUMIF(RM_Purchase_YTD!C:C,'RM Rollforward'!A398,RM_Purchase_YTD!E:E)</f>
        <v>0</v>
      </c>
      <c r="F398" s="281">
        <f>SUMIF(RM_InboundProd_YTD!B:B,'RM Rollforward'!A398,RM_InboundProd_YTD!D:D)</f>
        <v>6</v>
      </c>
      <c r="G398" s="282">
        <f>SUMIF(RM_Outbound_YTD!B:B,'RM Rollforward'!A398,RM_Outbound_YTD!D:D)</f>
        <v>6</v>
      </c>
      <c r="H398" s="283">
        <f t="shared" si="1"/>
        <v>0</v>
      </c>
      <c r="I398" s="284"/>
      <c r="J398" s="319">
        <v>0.25</v>
      </c>
      <c r="K398" s="286">
        <v>500.0</v>
      </c>
      <c r="L398" s="287">
        <f t="shared" si="4"/>
        <v>0</v>
      </c>
      <c r="M398" s="320"/>
    </row>
    <row r="399" ht="15.75" customHeight="1">
      <c r="A399" s="31" t="s">
        <v>1209</v>
      </c>
      <c r="B399" s="31" t="s">
        <v>1210</v>
      </c>
      <c r="C399" s="31" t="s">
        <v>1082</v>
      </c>
      <c r="D399" s="280">
        <v>0.0</v>
      </c>
      <c r="E399" s="281">
        <f>SUMIF(RM_Purchase_YTD!C:C,'RM Rollforward'!A399,RM_Purchase_YTD!E:E)</f>
        <v>0</v>
      </c>
      <c r="F399" s="281">
        <f>SUMIF(RM_InboundProd_YTD!B:B,'RM Rollforward'!A399,RM_InboundProd_YTD!D:D)</f>
        <v>0</v>
      </c>
      <c r="G399" s="282">
        <f>SUMIF(RM_Outbound_YTD!B:B,'RM Rollforward'!A399,RM_Outbound_YTD!D:D)</f>
        <v>0</v>
      </c>
      <c r="H399" s="283">
        <f t="shared" si="1"/>
        <v>0</v>
      </c>
      <c r="I399" s="284"/>
      <c r="J399" s="319">
        <v>0.25</v>
      </c>
      <c r="K399" s="286">
        <v>500.0</v>
      </c>
      <c r="L399" s="287">
        <f t="shared" si="4"/>
        <v>0</v>
      </c>
      <c r="M399" s="320"/>
    </row>
    <row r="400" ht="15.0" customHeight="1">
      <c r="A400" s="31" t="s">
        <v>1211</v>
      </c>
      <c r="B400" s="31" t="s">
        <v>1212</v>
      </c>
      <c r="C400" s="31" t="s">
        <v>1082</v>
      </c>
      <c r="D400" s="280">
        <v>0.0</v>
      </c>
      <c r="E400" s="281">
        <f>SUMIF(RM_Purchase_YTD!C:C,'RM Rollforward'!A400,RM_Purchase_YTD!E:E)</f>
        <v>0</v>
      </c>
      <c r="F400" s="281">
        <f>SUMIF(RM_InboundProd_YTD!B:B,'RM Rollforward'!A400,RM_InboundProd_YTD!D:D)</f>
        <v>0</v>
      </c>
      <c r="G400" s="282">
        <f>SUMIF(RM_Outbound_YTD!B:B,'RM Rollforward'!A400,RM_Outbound_YTD!D:D)</f>
        <v>0</v>
      </c>
      <c r="H400" s="283">
        <f t="shared" si="1"/>
        <v>0</v>
      </c>
      <c r="I400" s="284"/>
      <c r="J400" s="319">
        <v>0.25</v>
      </c>
      <c r="K400" s="286">
        <v>500.0</v>
      </c>
      <c r="L400" s="287">
        <f t="shared" si="4"/>
        <v>0</v>
      </c>
      <c r="M400" s="320"/>
    </row>
    <row r="401" ht="15.75" customHeight="1">
      <c r="A401" s="31" t="s">
        <v>1213</v>
      </c>
      <c r="B401" s="31" t="s">
        <v>1214</v>
      </c>
      <c r="C401" s="31" t="s">
        <v>1082</v>
      </c>
      <c r="D401" s="280">
        <v>0.0</v>
      </c>
      <c r="E401" s="281">
        <f>SUMIF(RM_Purchase_YTD!C:C,'RM Rollforward'!A401,RM_Purchase_YTD!E:E)</f>
        <v>0</v>
      </c>
      <c r="F401" s="281">
        <f>SUMIF(RM_InboundProd_YTD!B:B,'RM Rollforward'!A401,RM_InboundProd_YTD!D:D)</f>
        <v>0</v>
      </c>
      <c r="G401" s="282">
        <f>SUMIF(RM_Outbound_YTD!B:B,'RM Rollforward'!A401,RM_Outbound_YTD!D:D)</f>
        <v>0</v>
      </c>
      <c r="H401" s="283">
        <f t="shared" si="1"/>
        <v>0</v>
      </c>
      <c r="I401" s="284"/>
      <c r="J401" s="319">
        <v>0.25</v>
      </c>
      <c r="K401" s="286">
        <v>500.0</v>
      </c>
      <c r="L401" s="287">
        <f t="shared" si="4"/>
        <v>0</v>
      </c>
      <c r="M401" s="320"/>
    </row>
    <row r="402" ht="15.75" customHeight="1">
      <c r="A402" s="31" t="s">
        <v>1215</v>
      </c>
      <c r="B402" s="31" t="s">
        <v>1216</v>
      </c>
      <c r="C402" s="31" t="s">
        <v>1082</v>
      </c>
      <c r="D402" s="280">
        <v>0.0</v>
      </c>
      <c r="E402" s="281">
        <f>SUMIF(RM_Purchase_YTD!C:C,'RM Rollforward'!A402,RM_Purchase_YTD!E:E)</f>
        <v>0</v>
      </c>
      <c r="F402" s="281">
        <f>SUMIF(RM_InboundProd_YTD!B:B,'RM Rollforward'!A402,RM_InboundProd_YTD!D:D)</f>
        <v>0</v>
      </c>
      <c r="G402" s="282">
        <f>SUMIF(RM_Outbound_YTD!B:B,'RM Rollforward'!A402,RM_Outbound_YTD!D:D)</f>
        <v>0</v>
      </c>
      <c r="H402" s="283">
        <f t="shared" si="1"/>
        <v>0</v>
      </c>
      <c r="I402" s="284"/>
      <c r="J402" s="319">
        <v>0.25</v>
      </c>
      <c r="K402" s="286">
        <v>500.0</v>
      </c>
      <c r="L402" s="287">
        <f t="shared" si="4"/>
        <v>0</v>
      </c>
      <c r="M402" s="320"/>
    </row>
    <row r="403" ht="15.75" customHeight="1">
      <c r="A403" s="31" t="s">
        <v>1217</v>
      </c>
      <c r="B403" s="31" t="s">
        <v>1218</v>
      </c>
      <c r="C403" s="31" t="s">
        <v>1082</v>
      </c>
      <c r="D403" s="280">
        <v>0.0</v>
      </c>
      <c r="E403" s="281">
        <f>SUMIF(RM_Purchase_YTD!C:C,'RM Rollforward'!A403,RM_Purchase_YTD!E:E)</f>
        <v>0</v>
      </c>
      <c r="F403" s="281">
        <f>SUMIF(RM_InboundProd_YTD!B:B,'RM Rollforward'!A403,RM_InboundProd_YTD!D:D)</f>
        <v>0</v>
      </c>
      <c r="G403" s="282">
        <f>SUMIF(RM_Outbound_YTD!B:B,'RM Rollforward'!A403,RM_Outbound_YTD!D:D)</f>
        <v>0</v>
      </c>
      <c r="H403" s="283">
        <f t="shared" si="1"/>
        <v>0</v>
      </c>
      <c r="I403" s="284"/>
      <c r="J403" s="319">
        <v>0.25</v>
      </c>
      <c r="K403" s="286">
        <v>500.0</v>
      </c>
      <c r="L403" s="287">
        <f t="shared" si="4"/>
        <v>0</v>
      </c>
      <c r="M403" s="320"/>
    </row>
    <row r="404" ht="15.75" customHeight="1">
      <c r="A404" s="31" t="s">
        <v>385</v>
      </c>
      <c r="B404" s="31" t="s">
        <v>386</v>
      </c>
      <c r="C404" s="31" t="s">
        <v>1082</v>
      </c>
      <c r="D404" s="280">
        <v>0.0</v>
      </c>
      <c r="E404" s="281">
        <f>SUMIF(RM_Purchase_YTD!C:C,'RM Rollforward'!A404,RM_Purchase_YTD!E:E)</f>
        <v>0</v>
      </c>
      <c r="F404" s="281">
        <f>SUMIF(RM_InboundProd_YTD!B:B,'RM Rollforward'!A404,RM_InboundProd_YTD!D:D)</f>
        <v>10</v>
      </c>
      <c r="G404" s="282">
        <f>SUMIF(RM_Outbound_YTD!B:B,'RM Rollforward'!A404,RM_Outbound_YTD!D:D)</f>
        <v>10</v>
      </c>
      <c r="H404" s="283">
        <f t="shared" si="1"/>
        <v>0</v>
      </c>
      <c r="I404" s="284"/>
      <c r="J404" s="319">
        <v>0.25</v>
      </c>
      <c r="K404" s="286">
        <v>500.0</v>
      </c>
      <c r="L404" s="287">
        <f t="shared" si="4"/>
        <v>0</v>
      </c>
      <c r="M404" s="320"/>
    </row>
    <row r="405" ht="15.75" customHeight="1">
      <c r="A405" s="31" t="s">
        <v>1219</v>
      </c>
      <c r="B405" s="31" t="s">
        <v>1220</v>
      </c>
      <c r="C405" s="31" t="s">
        <v>1082</v>
      </c>
      <c r="D405" s="280">
        <v>0.0</v>
      </c>
      <c r="E405" s="281">
        <f>SUMIF(RM_Purchase_YTD!C:C,'RM Rollforward'!A405,RM_Purchase_YTD!E:E)</f>
        <v>0</v>
      </c>
      <c r="F405" s="281">
        <f>SUMIF(RM_InboundProd_YTD!B:B,'RM Rollforward'!A405,RM_InboundProd_YTD!D:D)</f>
        <v>0</v>
      </c>
      <c r="G405" s="282">
        <f>SUMIF(RM_Outbound_YTD!B:B,'RM Rollforward'!A405,RM_Outbound_YTD!D:D)</f>
        <v>0</v>
      </c>
      <c r="H405" s="283">
        <f t="shared" si="1"/>
        <v>0</v>
      </c>
      <c r="I405" s="284"/>
      <c r="J405" s="319">
        <v>0.25</v>
      </c>
      <c r="K405" s="286">
        <v>500.0</v>
      </c>
      <c r="L405" s="287">
        <f t="shared" si="4"/>
        <v>0</v>
      </c>
      <c r="M405" s="320"/>
    </row>
    <row r="406" ht="15.75" customHeight="1">
      <c r="A406" s="31" t="s">
        <v>1221</v>
      </c>
      <c r="B406" s="31" t="s">
        <v>1222</v>
      </c>
      <c r="C406" s="31" t="s">
        <v>1082</v>
      </c>
      <c r="D406" s="280">
        <v>0.0</v>
      </c>
      <c r="E406" s="281">
        <f>SUMIF(RM_Purchase_YTD!C:C,'RM Rollforward'!A406,RM_Purchase_YTD!E:E)</f>
        <v>0</v>
      </c>
      <c r="F406" s="281">
        <f>SUMIF(RM_InboundProd_YTD!B:B,'RM Rollforward'!A406,RM_InboundProd_YTD!D:D)</f>
        <v>0</v>
      </c>
      <c r="G406" s="282">
        <f>SUMIF(RM_Outbound_YTD!B:B,'RM Rollforward'!A406,RM_Outbound_YTD!D:D)</f>
        <v>0</v>
      </c>
      <c r="H406" s="283">
        <f t="shared" si="1"/>
        <v>0</v>
      </c>
      <c r="I406" s="284"/>
      <c r="J406" s="319">
        <v>0.25</v>
      </c>
      <c r="K406" s="286">
        <v>500.0</v>
      </c>
      <c r="L406" s="287">
        <f t="shared" si="4"/>
        <v>0</v>
      </c>
      <c r="M406" s="320"/>
    </row>
    <row r="407" ht="15.75" customHeight="1">
      <c r="A407" s="31" t="s">
        <v>1223</v>
      </c>
      <c r="B407" s="31" t="s">
        <v>1224</v>
      </c>
      <c r="C407" s="31" t="s">
        <v>1082</v>
      </c>
      <c r="D407" s="280">
        <v>0.0</v>
      </c>
      <c r="E407" s="281">
        <f>SUMIF(RM_Purchase_YTD!C:C,'RM Rollforward'!A407,RM_Purchase_YTD!E:E)</f>
        <v>0</v>
      </c>
      <c r="F407" s="281">
        <f>SUMIF(RM_InboundProd_YTD!B:B,'RM Rollforward'!A407,RM_InboundProd_YTD!D:D)</f>
        <v>0</v>
      </c>
      <c r="G407" s="282">
        <f>SUMIF(RM_Outbound_YTD!B:B,'RM Rollforward'!A407,RM_Outbound_YTD!D:D)</f>
        <v>0</v>
      </c>
      <c r="H407" s="283">
        <f t="shared" si="1"/>
        <v>0</v>
      </c>
      <c r="I407" s="284"/>
      <c r="J407" s="319">
        <v>0.25</v>
      </c>
      <c r="K407" s="286">
        <v>500.0</v>
      </c>
      <c r="L407" s="287">
        <f t="shared" si="4"/>
        <v>0</v>
      </c>
      <c r="M407" s="320"/>
    </row>
    <row r="408" ht="15.75" customHeight="1">
      <c r="A408" s="31" t="s">
        <v>1225</v>
      </c>
      <c r="B408" s="31" t="s">
        <v>1226</v>
      </c>
      <c r="C408" s="31" t="s">
        <v>1082</v>
      </c>
      <c r="D408" s="280">
        <v>0.0</v>
      </c>
      <c r="E408" s="281">
        <f>SUMIF(RM_Purchase_YTD!C:C,'RM Rollforward'!A408,RM_Purchase_YTD!E:E)</f>
        <v>0</v>
      </c>
      <c r="F408" s="281">
        <f>SUMIF(RM_InboundProd_YTD!B:B,'RM Rollforward'!A408,RM_InboundProd_YTD!D:D)</f>
        <v>0</v>
      </c>
      <c r="G408" s="282">
        <f>SUMIF(RM_Outbound_YTD!B:B,'RM Rollforward'!A408,RM_Outbound_YTD!D:D)</f>
        <v>0</v>
      </c>
      <c r="H408" s="283">
        <f t="shared" si="1"/>
        <v>0</v>
      </c>
      <c r="I408" s="284"/>
      <c r="J408" s="319">
        <v>0.25</v>
      </c>
      <c r="K408" s="286">
        <v>500.0</v>
      </c>
      <c r="L408" s="287">
        <f t="shared" si="4"/>
        <v>0</v>
      </c>
      <c r="M408" s="320"/>
    </row>
    <row r="409" ht="15.75" customHeight="1">
      <c r="A409" s="31" t="s">
        <v>1227</v>
      </c>
      <c r="B409" s="31" t="s">
        <v>1228</v>
      </c>
      <c r="C409" s="31" t="s">
        <v>1082</v>
      </c>
      <c r="D409" s="280">
        <v>0.0</v>
      </c>
      <c r="E409" s="281">
        <f>SUMIF(RM_Purchase_YTD!C:C,'RM Rollforward'!A409,RM_Purchase_YTD!E:E)</f>
        <v>0</v>
      </c>
      <c r="F409" s="281">
        <f>SUMIF(RM_InboundProd_YTD!B:B,'RM Rollforward'!A409,RM_InboundProd_YTD!D:D)</f>
        <v>0</v>
      </c>
      <c r="G409" s="282">
        <f>SUMIF(RM_Outbound_YTD!B:B,'RM Rollforward'!A409,RM_Outbound_YTD!D:D)</f>
        <v>0</v>
      </c>
      <c r="H409" s="283">
        <f t="shared" si="1"/>
        <v>0</v>
      </c>
      <c r="I409" s="284"/>
      <c r="J409" s="319">
        <v>0.25</v>
      </c>
      <c r="K409" s="286">
        <v>500.0</v>
      </c>
      <c r="L409" s="287">
        <f t="shared" si="4"/>
        <v>0</v>
      </c>
      <c r="M409" s="320"/>
    </row>
    <row r="410" ht="15.75" customHeight="1">
      <c r="A410" s="31" t="s">
        <v>1229</v>
      </c>
      <c r="B410" s="31" t="s">
        <v>1230</v>
      </c>
      <c r="C410" s="31" t="s">
        <v>1082</v>
      </c>
      <c r="D410" s="280">
        <v>0.0</v>
      </c>
      <c r="E410" s="281">
        <f>SUMIF(RM_Purchase_YTD!C:C,'RM Rollforward'!A410,RM_Purchase_YTD!E:E)</f>
        <v>0</v>
      </c>
      <c r="F410" s="281">
        <f>SUMIF(RM_InboundProd_YTD!B:B,'RM Rollforward'!A410,RM_InboundProd_YTD!D:D)</f>
        <v>0</v>
      </c>
      <c r="G410" s="282">
        <f>SUMIF(RM_Outbound_YTD!B:B,'RM Rollforward'!A410,RM_Outbound_YTD!D:D)</f>
        <v>0</v>
      </c>
      <c r="H410" s="283">
        <f t="shared" si="1"/>
        <v>0</v>
      </c>
      <c r="I410" s="284"/>
      <c r="J410" s="319">
        <v>0.25</v>
      </c>
      <c r="K410" s="286">
        <v>500.0</v>
      </c>
      <c r="L410" s="287">
        <f t="shared" si="4"/>
        <v>0</v>
      </c>
      <c r="M410" s="320"/>
    </row>
    <row r="411" ht="15.75" customHeight="1">
      <c r="A411" s="31" t="s">
        <v>1231</v>
      </c>
      <c r="B411" s="31" t="s">
        <v>1232</v>
      </c>
      <c r="C411" s="31" t="s">
        <v>1082</v>
      </c>
      <c r="D411" s="280">
        <v>0.0</v>
      </c>
      <c r="E411" s="281">
        <f>SUMIF(RM_Purchase_YTD!C:C,'RM Rollforward'!A411,RM_Purchase_YTD!E:E)</f>
        <v>0</v>
      </c>
      <c r="F411" s="281">
        <f>SUMIF(RM_InboundProd_YTD!B:B,'RM Rollforward'!A411,RM_InboundProd_YTD!D:D)</f>
        <v>0</v>
      </c>
      <c r="G411" s="282">
        <f>SUMIF(RM_Outbound_YTD!B:B,'RM Rollforward'!A411,RM_Outbound_YTD!D:D)</f>
        <v>0</v>
      </c>
      <c r="H411" s="283">
        <f t="shared" si="1"/>
        <v>0</v>
      </c>
      <c r="I411" s="284"/>
      <c r="J411" s="319">
        <v>0.25</v>
      </c>
      <c r="K411" s="286">
        <v>500.0</v>
      </c>
      <c r="L411" s="287">
        <f t="shared" si="4"/>
        <v>0</v>
      </c>
      <c r="M411" s="320"/>
    </row>
    <row r="412" ht="15.75" customHeight="1">
      <c r="A412" s="31" t="s">
        <v>1233</v>
      </c>
      <c r="B412" s="31" t="s">
        <v>1234</v>
      </c>
      <c r="C412" s="31" t="s">
        <v>1082</v>
      </c>
      <c r="D412" s="280">
        <v>0.0</v>
      </c>
      <c r="E412" s="281">
        <f>SUMIF(RM_Purchase_YTD!C:C,'RM Rollforward'!A412,RM_Purchase_YTD!E:E)</f>
        <v>0</v>
      </c>
      <c r="F412" s="281">
        <f>SUMIF(RM_InboundProd_YTD!B:B,'RM Rollforward'!A412,RM_InboundProd_YTD!D:D)</f>
        <v>0</v>
      </c>
      <c r="G412" s="282">
        <f>SUMIF(RM_Outbound_YTD!B:B,'RM Rollforward'!A412,RM_Outbound_YTD!D:D)</f>
        <v>0</v>
      </c>
      <c r="H412" s="283">
        <f t="shared" si="1"/>
        <v>0</v>
      </c>
      <c r="I412" s="284"/>
      <c r="J412" s="319">
        <v>0.25</v>
      </c>
      <c r="K412" s="286">
        <v>500.0</v>
      </c>
      <c r="L412" s="287">
        <f t="shared" si="4"/>
        <v>0</v>
      </c>
      <c r="M412" s="320"/>
    </row>
    <row r="413" ht="15.75" customHeight="1">
      <c r="A413" s="31" t="s">
        <v>1235</v>
      </c>
      <c r="B413" s="31" t="s">
        <v>1236</v>
      </c>
      <c r="C413" s="31" t="s">
        <v>1082</v>
      </c>
      <c r="D413" s="280">
        <v>0.0</v>
      </c>
      <c r="E413" s="281">
        <f>SUMIF(RM_Purchase_YTD!C:C,'RM Rollforward'!A413,RM_Purchase_YTD!E:E)</f>
        <v>0</v>
      </c>
      <c r="F413" s="281">
        <f>SUMIF(RM_InboundProd_YTD!B:B,'RM Rollforward'!A413,RM_InboundProd_YTD!D:D)</f>
        <v>0</v>
      </c>
      <c r="G413" s="282">
        <f>SUMIF(RM_Outbound_YTD!B:B,'RM Rollforward'!A413,RM_Outbound_YTD!D:D)</f>
        <v>0</v>
      </c>
      <c r="H413" s="283">
        <f t="shared" si="1"/>
        <v>0</v>
      </c>
      <c r="I413" s="284"/>
      <c r="J413" s="319">
        <v>0.25</v>
      </c>
      <c r="K413" s="286">
        <v>500.0</v>
      </c>
      <c r="L413" s="287">
        <f t="shared" si="4"/>
        <v>0</v>
      </c>
      <c r="M413" s="320"/>
    </row>
    <row r="414" ht="15.75" customHeight="1">
      <c r="A414" s="31" t="s">
        <v>1237</v>
      </c>
      <c r="B414" s="31" t="s">
        <v>1238</v>
      </c>
      <c r="C414" s="31" t="s">
        <v>1082</v>
      </c>
      <c r="D414" s="280">
        <v>0.0</v>
      </c>
      <c r="E414" s="281">
        <f>SUMIF(RM_Purchase_YTD!C:C,'RM Rollforward'!A414,RM_Purchase_YTD!E:E)</f>
        <v>0</v>
      </c>
      <c r="F414" s="281">
        <f>SUMIF(RM_InboundProd_YTD!B:B,'RM Rollforward'!A414,RM_InboundProd_YTD!D:D)</f>
        <v>0</v>
      </c>
      <c r="G414" s="282">
        <f>SUMIF(RM_Outbound_YTD!B:B,'RM Rollforward'!A414,RM_Outbound_YTD!D:D)</f>
        <v>0</v>
      </c>
      <c r="H414" s="283">
        <f t="shared" si="1"/>
        <v>0</v>
      </c>
      <c r="I414" s="284"/>
      <c r="J414" s="319">
        <v>0.25</v>
      </c>
      <c r="K414" s="286">
        <v>500.0</v>
      </c>
      <c r="L414" s="287">
        <f t="shared" si="4"/>
        <v>0</v>
      </c>
      <c r="M414" s="320"/>
    </row>
    <row r="415" ht="15.75" customHeight="1">
      <c r="A415" s="31" t="s">
        <v>1239</v>
      </c>
      <c r="B415" s="31" t="s">
        <v>1240</v>
      </c>
      <c r="C415" s="31" t="s">
        <v>1082</v>
      </c>
      <c r="D415" s="280">
        <v>0.0</v>
      </c>
      <c r="E415" s="281">
        <f>SUMIF(RM_Purchase_YTD!C:C,'RM Rollforward'!A415,RM_Purchase_YTD!E:E)</f>
        <v>0</v>
      </c>
      <c r="F415" s="281">
        <f>SUMIF(RM_InboundProd_YTD!B:B,'RM Rollforward'!A415,RM_InboundProd_YTD!D:D)</f>
        <v>0</v>
      </c>
      <c r="G415" s="282">
        <f>SUMIF(RM_Outbound_YTD!B:B,'RM Rollforward'!A415,RM_Outbound_YTD!D:D)</f>
        <v>0</v>
      </c>
      <c r="H415" s="283">
        <f t="shared" si="1"/>
        <v>0</v>
      </c>
      <c r="I415" s="284"/>
      <c r="J415" s="319">
        <v>0.25</v>
      </c>
      <c r="K415" s="286">
        <v>500.0</v>
      </c>
      <c r="L415" s="287">
        <f t="shared" si="4"/>
        <v>0</v>
      </c>
      <c r="M415" s="320"/>
    </row>
    <row r="416" ht="15.75" customHeight="1">
      <c r="A416" s="31" t="s">
        <v>1241</v>
      </c>
      <c r="B416" s="31" t="s">
        <v>1242</v>
      </c>
      <c r="C416" s="31" t="s">
        <v>1082</v>
      </c>
      <c r="D416" s="280">
        <v>8.0</v>
      </c>
      <c r="E416" s="281">
        <f>SUMIF(RM_Purchase_YTD!C:C,'RM Rollforward'!A416,RM_Purchase_YTD!E:E)</f>
        <v>0</v>
      </c>
      <c r="F416" s="281">
        <f>SUMIF(RM_InboundProd_YTD!B:B,'RM Rollforward'!A416,RM_InboundProd_YTD!D:D)</f>
        <v>0</v>
      </c>
      <c r="G416" s="282">
        <f>SUMIF(RM_Outbound_YTD!B:B,'RM Rollforward'!A416,RM_Outbound_YTD!D:D)</f>
        <v>0</v>
      </c>
      <c r="H416" s="283">
        <f t="shared" si="1"/>
        <v>8</v>
      </c>
      <c r="I416" s="284"/>
      <c r="J416" s="319">
        <v>0.25</v>
      </c>
      <c r="K416" s="286">
        <v>500.0</v>
      </c>
      <c r="L416" s="287">
        <f t="shared" si="4"/>
        <v>1000</v>
      </c>
      <c r="M416" s="320"/>
    </row>
    <row r="417" ht="15.75" customHeight="1">
      <c r="A417" s="31" t="s">
        <v>1243</v>
      </c>
      <c r="B417" s="31" t="s">
        <v>1244</v>
      </c>
      <c r="C417" s="31" t="s">
        <v>1082</v>
      </c>
      <c r="D417" s="280">
        <v>0.0</v>
      </c>
      <c r="E417" s="281">
        <f>SUMIF(RM_Purchase_YTD!C:C,'RM Rollforward'!A417,RM_Purchase_YTD!E:E)</f>
        <v>0</v>
      </c>
      <c r="F417" s="281">
        <f>SUMIF(RM_InboundProd_YTD!B:B,'RM Rollforward'!A417,RM_InboundProd_YTD!D:D)</f>
        <v>0</v>
      </c>
      <c r="G417" s="282">
        <f>SUMIF(RM_Outbound_YTD!B:B,'RM Rollforward'!A417,RM_Outbound_YTD!D:D)</f>
        <v>0</v>
      </c>
      <c r="H417" s="283">
        <f t="shared" si="1"/>
        <v>0</v>
      </c>
      <c r="I417" s="284"/>
      <c r="J417" s="319">
        <v>0.25</v>
      </c>
      <c r="K417" s="286">
        <v>500.0</v>
      </c>
      <c r="L417" s="287">
        <f t="shared" si="4"/>
        <v>0</v>
      </c>
      <c r="M417" s="320"/>
    </row>
    <row r="418" ht="15.75" customHeight="1">
      <c r="A418" s="31" t="s">
        <v>1245</v>
      </c>
      <c r="B418" s="31" t="s">
        <v>1246</v>
      </c>
      <c r="C418" s="31" t="s">
        <v>1082</v>
      </c>
      <c r="D418" s="280">
        <v>0.0</v>
      </c>
      <c r="E418" s="281">
        <f>SUMIF(RM_Purchase_YTD!C:C,'RM Rollforward'!A418,RM_Purchase_YTD!E:E)</f>
        <v>0</v>
      </c>
      <c r="F418" s="281">
        <f>SUMIF(RM_InboundProd_YTD!B:B,'RM Rollforward'!A418,RM_InboundProd_YTD!D:D)</f>
        <v>0</v>
      </c>
      <c r="G418" s="282">
        <f>SUMIF(RM_Outbound_YTD!B:B,'RM Rollforward'!A418,RM_Outbound_YTD!D:D)</f>
        <v>0</v>
      </c>
      <c r="H418" s="283">
        <f t="shared" si="1"/>
        <v>0</v>
      </c>
      <c r="I418" s="284"/>
      <c r="J418" s="319">
        <v>0.25</v>
      </c>
      <c r="K418" s="286">
        <v>500.0</v>
      </c>
      <c r="L418" s="287">
        <f t="shared" si="4"/>
        <v>0</v>
      </c>
      <c r="M418" s="320"/>
    </row>
    <row r="419" ht="15.75" customHeight="1">
      <c r="A419" s="31" t="s">
        <v>1247</v>
      </c>
      <c r="B419" s="31" t="s">
        <v>1248</v>
      </c>
      <c r="C419" s="31" t="s">
        <v>1082</v>
      </c>
      <c r="D419" s="280">
        <v>0.0</v>
      </c>
      <c r="E419" s="281">
        <f>SUMIF(RM_Purchase_YTD!C:C,'RM Rollforward'!A419,RM_Purchase_YTD!E:E)</f>
        <v>0</v>
      </c>
      <c r="F419" s="281">
        <f>SUMIF(RM_InboundProd_YTD!B:B,'RM Rollforward'!A419,RM_InboundProd_YTD!D:D)</f>
        <v>0</v>
      </c>
      <c r="G419" s="282">
        <f>SUMIF(RM_Outbound_YTD!B:B,'RM Rollforward'!A419,RM_Outbound_YTD!D:D)</f>
        <v>0</v>
      </c>
      <c r="H419" s="283">
        <f t="shared" si="1"/>
        <v>0</v>
      </c>
      <c r="I419" s="284"/>
      <c r="J419" s="319">
        <v>0.25</v>
      </c>
      <c r="K419" s="286">
        <v>500.0</v>
      </c>
      <c r="L419" s="287">
        <f t="shared" si="4"/>
        <v>0</v>
      </c>
      <c r="M419" s="320"/>
    </row>
    <row r="420" ht="15.75" customHeight="1">
      <c r="A420" s="31" t="s">
        <v>1249</v>
      </c>
      <c r="B420" s="31" t="s">
        <v>1250</v>
      </c>
      <c r="C420" s="31" t="s">
        <v>1082</v>
      </c>
      <c r="D420" s="280">
        <v>0.0</v>
      </c>
      <c r="E420" s="281">
        <f>SUMIF(RM_Purchase_YTD!C:C,'RM Rollforward'!A420,RM_Purchase_YTD!E:E)</f>
        <v>0</v>
      </c>
      <c r="F420" s="281">
        <f>SUMIF(RM_InboundProd_YTD!B:B,'RM Rollforward'!A420,RM_InboundProd_YTD!D:D)</f>
        <v>0</v>
      </c>
      <c r="G420" s="282">
        <f>SUMIF(RM_Outbound_YTD!B:B,'RM Rollforward'!A420,RM_Outbound_YTD!D:D)</f>
        <v>0</v>
      </c>
      <c r="H420" s="283">
        <f t="shared" si="1"/>
        <v>0</v>
      </c>
      <c r="I420" s="284"/>
      <c r="J420" s="319">
        <v>0.25</v>
      </c>
      <c r="K420" s="286">
        <v>500.0</v>
      </c>
      <c r="L420" s="287">
        <f t="shared" si="4"/>
        <v>0</v>
      </c>
      <c r="M420" s="320"/>
    </row>
    <row r="421" ht="15.75" customHeight="1">
      <c r="A421" s="31" t="s">
        <v>1251</v>
      </c>
      <c r="B421" s="31" t="s">
        <v>1252</v>
      </c>
      <c r="C421" s="31" t="s">
        <v>1082</v>
      </c>
      <c r="D421" s="280">
        <v>0.0</v>
      </c>
      <c r="E421" s="281">
        <f>SUMIF(RM_Purchase_YTD!C:C,'RM Rollforward'!A421,RM_Purchase_YTD!E:E)</f>
        <v>0</v>
      </c>
      <c r="F421" s="281">
        <f>SUMIF(RM_InboundProd_YTD!B:B,'RM Rollforward'!A421,RM_InboundProd_YTD!D:D)</f>
        <v>0</v>
      </c>
      <c r="G421" s="282">
        <f>SUMIF(RM_Outbound_YTD!B:B,'RM Rollforward'!A421,RM_Outbound_YTD!D:D)</f>
        <v>0</v>
      </c>
      <c r="H421" s="283">
        <f t="shared" si="1"/>
        <v>0</v>
      </c>
      <c r="I421" s="284"/>
      <c r="J421" s="319">
        <v>0.25</v>
      </c>
      <c r="K421" s="286">
        <v>500.0</v>
      </c>
      <c r="L421" s="287">
        <f t="shared" si="4"/>
        <v>0</v>
      </c>
      <c r="M421" s="320"/>
    </row>
    <row r="422" ht="15.75" customHeight="1">
      <c r="A422" s="31" t="s">
        <v>1253</v>
      </c>
      <c r="B422" s="31" t="s">
        <v>1254</v>
      </c>
      <c r="C422" s="31" t="s">
        <v>1082</v>
      </c>
      <c r="D422" s="280">
        <v>0.0</v>
      </c>
      <c r="E422" s="281">
        <f>SUMIF(RM_Purchase_YTD!C:C,'RM Rollforward'!A422,RM_Purchase_YTD!E:E)</f>
        <v>0</v>
      </c>
      <c r="F422" s="281">
        <f>SUMIF(RM_InboundProd_YTD!B:B,'RM Rollforward'!A422,RM_InboundProd_YTD!D:D)</f>
        <v>0</v>
      </c>
      <c r="G422" s="282">
        <f>SUMIF(RM_Outbound_YTD!B:B,'RM Rollforward'!A422,RM_Outbound_YTD!D:D)</f>
        <v>0</v>
      </c>
      <c r="H422" s="283">
        <f t="shared" si="1"/>
        <v>0</v>
      </c>
      <c r="I422" s="284"/>
      <c r="J422" s="319">
        <v>0.25</v>
      </c>
      <c r="K422" s="286">
        <v>500.0</v>
      </c>
      <c r="L422" s="287">
        <f t="shared" si="4"/>
        <v>0</v>
      </c>
      <c r="M422" s="320"/>
    </row>
    <row r="423" ht="15.75" customHeight="1">
      <c r="A423" s="31" t="s">
        <v>1255</v>
      </c>
      <c r="B423" s="31" t="s">
        <v>1256</v>
      </c>
      <c r="C423" s="31" t="s">
        <v>1082</v>
      </c>
      <c r="D423" s="280">
        <v>0.0</v>
      </c>
      <c r="E423" s="281">
        <f>SUMIF(RM_Purchase_YTD!C:C,'RM Rollforward'!A423,RM_Purchase_YTD!E:E)</f>
        <v>0</v>
      </c>
      <c r="F423" s="281">
        <f>SUMIF(RM_InboundProd_YTD!B:B,'RM Rollforward'!A423,RM_InboundProd_YTD!D:D)</f>
        <v>0</v>
      </c>
      <c r="G423" s="282">
        <f>SUMIF(RM_Outbound_YTD!B:B,'RM Rollforward'!A423,RM_Outbound_YTD!D:D)</f>
        <v>0</v>
      </c>
      <c r="H423" s="283">
        <f t="shared" si="1"/>
        <v>0</v>
      </c>
      <c r="I423" s="284"/>
      <c r="J423" s="319">
        <v>0.25</v>
      </c>
      <c r="K423" s="286">
        <v>500.0</v>
      </c>
      <c r="L423" s="287">
        <f t="shared" si="4"/>
        <v>0</v>
      </c>
      <c r="M423" s="320"/>
    </row>
    <row r="424" ht="15.75" customHeight="1">
      <c r="A424" s="31" t="s">
        <v>1257</v>
      </c>
      <c r="B424" s="31" t="s">
        <v>1258</v>
      </c>
      <c r="C424" s="31" t="s">
        <v>1082</v>
      </c>
      <c r="D424" s="280">
        <v>0.0</v>
      </c>
      <c r="E424" s="281">
        <f>SUMIF(RM_Purchase_YTD!C:C,'RM Rollforward'!A424,RM_Purchase_YTD!E:E)</f>
        <v>0</v>
      </c>
      <c r="F424" s="281">
        <f>SUMIF(RM_InboundProd_YTD!B:B,'RM Rollforward'!A424,RM_InboundProd_YTD!D:D)</f>
        <v>0</v>
      </c>
      <c r="G424" s="282">
        <f>SUMIF(RM_Outbound_YTD!B:B,'RM Rollforward'!A424,RM_Outbound_YTD!D:D)</f>
        <v>0</v>
      </c>
      <c r="H424" s="283">
        <f t="shared" si="1"/>
        <v>0</v>
      </c>
      <c r="I424" s="284"/>
      <c r="J424" s="319">
        <v>0.25</v>
      </c>
      <c r="K424" s="286">
        <v>500.0</v>
      </c>
      <c r="L424" s="287">
        <f t="shared" si="4"/>
        <v>0</v>
      </c>
      <c r="M424" s="320"/>
    </row>
    <row r="425" ht="15.75" customHeight="1">
      <c r="A425" s="31" t="s">
        <v>1259</v>
      </c>
      <c r="B425" s="31" t="s">
        <v>1260</v>
      </c>
      <c r="C425" s="31" t="s">
        <v>1082</v>
      </c>
      <c r="D425" s="280">
        <v>0.0</v>
      </c>
      <c r="E425" s="281">
        <f>SUMIF(RM_Purchase_YTD!C:C,'RM Rollforward'!A425,RM_Purchase_YTD!E:E)</f>
        <v>0</v>
      </c>
      <c r="F425" s="281">
        <f>SUMIF(RM_InboundProd_YTD!B:B,'RM Rollforward'!A425,RM_InboundProd_YTD!D:D)</f>
        <v>0</v>
      </c>
      <c r="G425" s="282">
        <f>SUMIF(RM_Outbound_YTD!B:B,'RM Rollforward'!A425,RM_Outbound_YTD!D:D)</f>
        <v>0</v>
      </c>
      <c r="H425" s="283">
        <f t="shared" si="1"/>
        <v>0</v>
      </c>
      <c r="I425" s="284"/>
      <c r="J425" s="319">
        <v>0.25</v>
      </c>
      <c r="K425" s="286">
        <v>500.0</v>
      </c>
      <c r="L425" s="287">
        <f t="shared" si="4"/>
        <v>0</v>
      </c>
      <c r="M425" s="320"/>
    </row>
    <row r="426" ht="15.75" customHeight="1">
      <c r="A426" s="31" t="s">
        <v>1261</v>
      </c>
      <c r="B426" s="31" t="s">
        <v>1262</v>
      </c>
      <c r="C426" s="31" t="s">
        <v>1082</v>
      </c>
      <c r="D426" s="280">
        <v>0.0</v>
      </c>
      <c r="E426" s="281">
        <f>SUMIF(RM_Purchase_YTD!C:C,'RM Rollforward'!A426,RM_Purchase_YTD!E:E)</f>
        <v>0</v>
      </c>
      <c r="F426" s="281">
        <f>SUMIF(RM_InboundProd_YTD!B:B,'RM Rollforward'!A426,RM_InboundProd_YTD!D:D)</f>
        <v>0</v>
      </c>
      <c r="G426" s="282">
        <f>SUMIF(RM_Outbound_YTD!B:B,'RM Rollforward'!A426,RM_Outbound_YTD!D:D)</f>
        <v>0</v>
      </c>
      <c r="H426" s="283">
        <f t="shared" si="1"/>
        <v>0</v>
      </c>
      <c r="I426" s="284"/>
      <c r="J426" s="319">
        <v>0.25</v>
      </c>
      <c r="K426" s="286">
        <v>500.0</v>
      </c>
      <c r="L426" s="287">
        <f t="shared" si="4"/>
        <v>0</v>
      </c>
      <c r="M426" s="320"/>
    </row>
    <row r="427" ht="15.75" customHeight="1">
      <c r="A427" s="31" t="s">
        <v>1263</v>
      </c>
      <c r="B427" s="31" t="s">
        <v>1264</v>
      </c>
      <c r="C427" s="31" t="s">
        <v>1082</v>
      </c>
      <c r="D427" s="280">
        <v>0.0</v>
      </c>
      <c r="E427" s="281">
        <f>SUMIF(RM_Purchase_YTD!C:C,'RM Rollforward'!A427,RM_Purchase_YTD!E:E)</f>
        <v>0</v>
      </c>
      <c r="F427" s="281">
        <f>SUMIF(RM_InboundProd_YTD!B:B,'RM Rollforward'!A427,RM_InboundProd_YTD!D:D)</f>
        <v>0</v>
      </c>
      <c r="G427" s="282">
        <f>SUMIF(RM_Outbound_YTD!B:B,'RM Rollforward'!A427,RM_Outbound_YTD!D:D)</f>
        <v>0</v>
      </c>
      <c r="H427" s="283">
        <f t="shared" si="1"/>
        <v>0</v>
      </c>
      <c r="I427" s="284"/>
      <c r="J427" s="319">
        <v>0.25</v>
      </c>
      <c r="K427" s="286">
        <v>500.0</v>
      </c>
      <c r="L427" s="287">
        <f t="shared" si="4"/>
        <v>0</v>
      </c>
      <c r="M427" s="320"/>
    </row>
    <row r="428" ht="15.75" customHeight="1">
      <c r="A428" s="31" t="s">
        <v>361</v>
      </c>
      <c r="B428" s="31" t="s">
        <v>362</v>
      </c>
      <c r="C428" s="31" t="s">
        <v>1082</v>
      </c>
      <c r="D428" s="280">
        <v>19.0</v>
      </c>
      <c r="E428" s="281">
        <f>SUMIF(RM_Purchase_YTD!C:C,'RM Rollforward'!A428,RM_Purchase_YTD!E:E)</f>
        <v>0</v>
      </c>
      <c r="F428" s="281">
        <f>SUMIF(RM_InboundProd_YTD!B:B,'RM Rollforward'!A428,RM_InboundProd_YTD!D:D)</f>
        <v>37</v>
      </c>
      <c r="G428" s="282">
        <f>SUMIF(RM_Outbound_YTD!B:B,'RM Rollforward'!A428,RM_Outbound_YTD!D:D)</f>
        <v>19</v>
      </c>
      <c r="H428" s="283">
        <f t="shared" si="1"/>
        <v>37</v>
      </c>
      <c r="I428" s="284"/>
      <c r="J428" s="319">
        <v>0.25</v>
      </c>
      <c r="K428" s="286">
        <v>500.0</v>
      </c>
      <c r="L428" s="287">
        <f t="shared" si="4"/>
        <v>4625</v>
      </c>
      <c r="M428" s="320"/>
    </row>
    <row r="429" ht="15.75" customHeight="1">
      <c r="A429" s="31" t="s">
        <v>1265</v>
      </c>
      <c r="B429" s="31" t="s">
        <v>1266</v>
      </c>
      <c r="C429" s="31" t="s">
        <v>1082</v>
      </c>
      <c r="D429" s="280">
        <v>15.0</v>
      </c>
      <c r="E429" s="281">
        <f>SUMIF(RM_Purchase_YTD!C:C,'RM Rollforward'!A429,RM_Purchase_YTD!E:E)</f>
        <v>0</v>
      </c>
      <c r="F429" s="281">
        <f>SUMIF(RM_InboundProd_YTD!B:B,'RM Rollforward'!A429,RM_InboundProd_YTD!D:D)</f>
        <v>0</v>
      </c>
      <c r="G429" s="282">
        <f>SUMIF(RM_Outbound_YTD!B:B,'RM Rollforward'!A429,RM_Outbound_YTD!D:D)</f>
        <v>0</v>
      </c>
      <c r="H429" s="283">
        <f t="shared" si="1"/>
        <v>15</v>
      </c>
      <c r="I429" s="284"/>
      <c r="J429" s="319">
        <v>0.25</v>
      </c>
      <c r="K429" s="286">
        <v>500.0</v>
      </c>
      <c r="L429" s="287">
        <f t="shared" si="4"/>
        <v>1875</v>
      </c>
      <c r="M429" s="320"/>
    </row>
    <row r="430" ht="15.75" customHeight="1">
      <c r="A430" s="31" t="s">
        <v>1267</v>
      </c>
      <c r="B430" s="31" t="s">
        <v>1268</v>
      </c>
      <c r="C430" s="31" t="s">
        <v>1082</v>
      </c>
      <c r="D430" s="280">
        <v>0.0</v>
      </c>
      <c r="E430" s="281">
        <f>SUMIF(RM_Purchase_YTD!C:C,'RM Rollforward'!A430,RM_Purchase_YTD!E:E)</f>
        <v>0</v>
      </c>
      <c r="F430" s="281">
        <f>SUMIF(RM_InboundProd_YTD!B:B,'RM Rollforward'!A430,RM_InboundProd_YTD!D:D)</f>
        <v>0</v>
      </c>
      <c r="G430" s="282">
        <f>SUMIF(RM_Outbound_YTD!B:B,'RM Rollforward'!A430,RM_Outbound_YTD!D:D)</f>
        <v>0</v>
      </c>
      <c r="H430" s="283">
        <f t="shared" si="1"/>
        <v>0</v>
      </c>
      <c r="I430" s="284"/>
      <c r="J430" s="319">
        <v>0.25</v>
      </c>
      <c r="K430" s="286">
        <v>500.0</v>
      </c>
      <c r="L430" s="287">
        <f t="shared" si="4"/>
        <v>0</v>
      </c>
      <c r="M430" s="320"/>
    </row>
    <row r="431" ht="15.75" customHeight="1">
      <c r="A431" s="31" t="s">
        <v>1269</v>
      </c>
      <c r="B431" s="31" t="s">
        <v>1270</v>
      </c>
      <c r="C431" s="31" t="s">
        <v>1082</v>
      </c>
      <c r="D431" s="280">
        <v>0.0</v>
      </c>
      <c r="E431" s="281">
        <f>SUMIF(RM_Purchase_YTD!C:C,'RM Rollforward'!A431,RM_Purchase_YTD!E:E)</f>
        <v>0</v>
      </c>
      <c r="F431" s="281">
        <f>SUMIF(RM_InboundProd_YTD!B:B,'RM Rollforward'!A431,RM_InboundProd_YTD!D:D)</f>
        <v>0</v>
      </c>
      <c r="G431" s="282">
        <f>SUMIF(RM_Outbound_YTD!B:B,'RM Rollforward'!A431,RM_Outbound_YTD!D:D)</f>
        <v>0</v>
      </c>
      <c r="H431" s="283">
        <f t="shared" si="1"/>
        <v>0</v>
      </c>
      <c r="I431" s="284"/>
      <c r="J431" s="319">
        <v>0.25</v>
      </c>
      <c r="K431" s="286">
        <v>500.0</v>
      </c>
      <c r="L431" s="287">
        <f t="shared" si="4"/>
        <v>0</v>
      </c>
      <c r="M431" s="320"/>
    </row>
    <row r="432" ht="15.75" customHeight="1">
      <c r="A432" s="31" t="s">
        <v>1271</v>
      </c>
      <c r="B432" s="31" t="s">
        <v>1272</v>
      </c>
      <c r="C432" s="31" t="s">
        <v>1082</v>
      </c>
      <c r="D432" s="280">
        <v>0.0</v>
      </c>
      <c r="E432" s="281">
        <f>SUMIF(RM_Purchase_YTD!C:C,'RM Rollforward'!A432,RM_Purchase_YTD!E:E)</f>
        <v>0</v>
      </c>
      <c r="F432" s="281">
        <f>SUMIF(RM_InboundProd_YTD!B:B,'RM Rollforward'!A432,RM_InboundProd_YTD!D:D)</f>
        <v>0</v>
      </c>
      <c r="G432" s="282">
        <f>SUMIF(RM_Outbound_YTD!B:B,'RM Rollforward'!A432,RM_Outbound_YTD!D:D)</f>
        <v>0</v>
      </c>
      <c r="H432" s="283">
        <f t="shared" si="1"/>
        <v>0</v>
      </c>
      <c r="I432" s="284"/>
      <c r="J432" s="319">
        <v>0.25</v>
      </c>
      <c r="K432" s="286">
        <v>500.0</v>
      </c>
      <c r="L432" s="287">
        <f t="shared" si="4"/>
        <v>0</v>
      </c>
      <c r="M432" s="320"/>
    </row>
    <row r="433" ht="15.75" customHeight="1">
      <c r="A433" s="31" t="s">
        <v>1273</v>
      </c>
      <c r="B433" s="31" t="s">
        <v>1274</v>
      </c>
      <c r="C433" s="31" t="s">
        <v>1082</v>
      </c>
      <c r="D433" s="280">
        <v>0.0</v>
      </c>
      <c r="E433" s="281">
        <f>SUMIF(RM_Purchase_YTD!C:C,'RM Rollforward'!A433,RM_Purchase_YTD!E:E)</f>
        <v>0</v>
      </c>
      <c r="F433" s="281">
        <f>SUMIF(RM_InboundProd_YTD!B:B,'RM Rollforward'!A433,RM_InboundProd_YTD!D:D)</f>
        <v>0</v>
      </c>
      <c r="G433" s="282">
        <f>SUMIF(RM_Outbound_YTD!B:B,'RM Rollforward'!A433,RM_Outbound_YTD!D:D)</f>
        <v>0</v>
      </c>
      <c r="H433" s="283">
        <f t="shared" si="1"/>
        <v>0</v>
      </c>
      <c r="I433" s="284"/>
      <c r="J433" s="319">
        <v>0.25</v>
      </c>
      <c r="K433" s="286">
        <v>500.0</v>
      </c>
      <c r="L433" s="287">
        <f t="shared" si="4"/>
        <v>0</v>
      </c>
      <c r="M433" s="320"/>
    </row>
    <row r="434" ht="15.75" customHeight="1">
      <c r="A434" s="31" t="s">
        <v>1275</v>
      </c>
      <c r="B434" s="31" t="s">
        <v>1276</v>
      </c>
      <c r="C434" s="31" t="s">
        <v>1082</v>
      </c>
      <c r="D434" s="280">
        <v>0.0</v>
      </c>
      <c r="E434" s="281">
        <f>SUMIF(RM_Purchase_YTD!C:C,'RM Rollforward'!A434,RM_Purchase_YTD!E:E)</f>
        <v>0</v>
      </c>
      <c r="F434" s="281">
        <f>SUMIF(RM_InboundProd_YTD!B:B,'RM Rollforward'!A434,RM_InboundProd_YTD!D:D)</f>
        <v>0</v>
      </c>
      <c r="G434" s="282">
        <f>SUMIF(RM_Outbound_YTD!B:B,'RM Rollforward'!A434,RM_Outbound_YTD!D:D)</f>
        <v>0</v>
      </c>
      <c r="H434" s="283">
        <f t="shared" si="1"/>
        <v>0</v>
      </c>
      <c r="I434" s="284"/>
      <c r="J434" s="319">
        <v>0.25</v>
      </c>
      <c r="K434" s="286">
        <v>500.0</v>
      </c>
      <c r="L434" s="287">
        <f t="shared" si="4"/>
        <v>0</v>
      </c>
      <c r="M434" s="320"/>
    </row>
    <row r="435" ht="15.75" customHeight="1">
      <c r="A435" s="31" t="s">
        <v>1277</v>
      </c>
      <c r="B435" s="31" t="s">
        <v>1278</v>
      </c>
      <c r="C435" s="31" t="s">
        <v>1082</v>
      </c>
      <c r="D435" s="280">
        <v>0.0</v>
      </c>
      <c r="E435" s="281">
        <f>SUMIF(RM_Purchase_YTD!C:C,'RM Rollforward'!A435,RM_Purchase_YTD!E:E)</f>
        <v>0</v>
      </c>
      <c r="F435" s="281">
        <f>SUMIF(RM_InboundProd_YTD!B:B,'RM Rollforward'!A435,RM_InboundProd_YTD!D:D)</f>
        <v>0</v>
      </c>
      <c r="G435" s="282">
        <f>SUMIF(RM_Outbound_YTD!B:B,'RM Rollforward'!A435,RM_Outbound_YTD!D:D)</f>
        <v>0</v>
      </c>
      <c r="H435" s="283">
        <f t="shared" si="1"/>
        <v>0</v>
      </c>
      <c r="I435" s="284"/>
      <c r="J435" s="319">
        <v>0.25</v>
      </c>
      <c r="K435" s="286">
        <v>500.0</v>
      </c>
      <c r="L435" s="287">
        <f t="shared" si="4"/>
        <v>0</v>
      </c>
      <c r="M435" s="320"/>
    </row>
    <row r="436" ht="15.75" customHeight="1">
      <c r="A436" s="31" t="s">
        <v>283</v>
      </c>
      <c r="B436" s="31" t="s">
        <v>284</v>
      </c>
      <c r="C436" s="31" t="s">
        <v>1082</v>
      </c>
      <c r="D436" s="280">
        <v>0.0</v>
      </c>
      <c r="E436" s="281">
        <f>SUMIF(RM_Purchase_YTD!C:C,'RM Rollforward'!A436,RM_Purchase_YTD!E:E)</f>
        <v>0</v>
      </c>
      <c r="F436" s="281">
        <f>SUMIF(RM_InboundProd_YTD!B:B,'RM Rollforward'!A436,RM_InboundProd_YTD!D:D)</f>
        <v>33</v>
      </c>
      <c r="G436" s="282">
        <f>SUMIF(RM_Outbound_YTD!B:B,'RM Rollforward'!A436,RM_Outbound_YTD!D:D)</f>
        <v>16</v>
      </c>
      <c r="H436" s="283">
        <f t="shared" si="1"/>
        <v>17</v>
      </c>
      <c r="I436" s="284"/>
      <c r="J436" s="319">
        <v>0.25</v>
      </c>
      <c r="K436" s="286">
        <v>500.0</v>
      </c>
      <c r="L436" s="287">
        <f t="shared" si="4"/>
        <v>2125</v>
      </c>
      <c r="M436" s="320"/>
    </row>
    <row r="437" ht="15.75" customHeight="1">
      <c r="A437" s="31" t="s">
        <v>417</v>
      </c>
      <c r="B437" s="31" t="s">
        <v>418</v>
      </c>
      <c r="C437" s="31" t="s">
        <v>1082</v>
      </c>
      <c r="D437" s="280">
        <v>0.0</v>
      </c>
      <c r="E437" s="281">
        <f>SUMIF(RM_Purchase_YTD!C:C,'RM Rollforward'!A437,RM_Purchase_YTD!E:E)</f>
        <v>0</v>
      </c>
      <c r="F437" s="281">
        <f>SUMIF(RM_InboundProd_YTD!B:B,'RM Rollforward'!A437,RM_InboundProd_YTD!D:D)</f>
        <v>10</v>
      </c>
      <c r="G437" s="282">
        <f>SUMIF(RM_Outbound_YTD!B:B,'RM Rollforward'!A437,RM_Outbound_YTD!D:D)</f>
        <v>0</v>
      </c>
      <c r="H437" s="283">
        <f t="shared" si="1"/>
        <v>10</v>
      </c>
      <c r="I437" s="284"/>
      <c r="J437" s="319">
        <v>0.25</v>
      </c>
      <c r="K437" s="286">
        <v>500.0</v>
      </c>
      <c r="L437" s="287">
        <f t="shared" si="4"/>
        <v>1250</v>
      </c>
      <c r="M437" s="320"/>
    </row>
    <row r="438" ht="15.75" customHeight="1">
      <c r="A438" s="31" t="s">
        <v>1279</v>
      </c>
      <c r="B438" s="31" t="s">
        <v>1280</v>
      </c>
      <c r="C438" s="31" t="s">
        <v>1082</v>
      </c>
      <c r="D438" s="280">
        <v>0.0</v>
      </c>
      <c r="E438" s="281">
        <f>SUMIF(RM_Purchase_YTD!C:C,'RM Rollforward'!A438,RM_Purchase_YTD!E:E)</f>
        <v>0</v>
      </c>
      <c r="F438" s="281">
        <f>SUMIF(RM_InboundProd_YTD!B:B,'RM Rollforward'!A438,RM_InboundProd_YTD!D:D)</f>
        <v>0</v>
      </c>
      <c r="G438" s="282">
        <f>SUMIF(RM_Outbound_YTD!B:B,'RM Rollforward'!A438,RM_Outbound_YTD!D:D)</f>
        <v>0</v>
      </c>
      <c r="H438" s="283">
        <f t="shared" si="1"/>
        <v>0</v>
      </c>
      <c r="I438" s="284"/>
      <c r="J438" s="319">
        <v>0.25</v>
      </c>
      <c r="K438" s="286">
        <v>500.0</v>
      </c>
      <c r="L438" s="287">
        <f t="shared" si="4"/>
        <v>0</v>
      </c>
      <c r="M438" s="320"/>
    </row>
    <row r="439" ht="15.75" customHeight="1">
      <c r="A439" s="31" t="s">
        <v>1281</v>
      </c>
      <c r="B439" s="31" t="s">
        <v>1282</v>
      </c>
      <c r="C439" s="31" t="s">
        <v>1082</v>
      </c>
      <c r="D439" s="280">
        <v>0.0</v>
      </c>
      <c r="E439" s="281">
        <f>SUMIF(RM_Purchase_YTD!C:C,'RM Rollforward'!A439,RM_Purchase_YTD!E:E)</f>
        <v>0</v>
      </c>
      <c r="F439" s="281">
        <f>SUMIF(RM_InboundProd_YTD!B:B,'RM Rollforward'!A439,RM_InboundProd_YTD!D:D)</f>
        <v>0</v>
      </c>
      <c r="G439" s="282">
        <f>SUMIF(RM_Outbound_YTD!B:B,'RM Rollforward'!A439,RM_Outbound_YTD!D:D)</f>
        <v>0</v>
      </c>
      <c r="H439" s="283">
        <f t="shared" si="1"/>
        <v>0</v>
      </c>
      <c r="I439" s="284"/>
      <c r="J439" s="319">
        <v>0.25</v>
      </c>
      <c r="K439" s="286">
        <v>500.0</v>
      </c>
      <c r="L439" s="287">
        <f t="shared" si="4"/>
        <v>0</v>
      </c>
      <c r="M439" s="320"/>
    </row>
    <row r="440" ht="15.75" customHeight="1">
      <c r="A440" s="31" t="s">
        <v>1283</v>
      </c>
      <c r="B440" s="31" t="s">
        <v>1284</v>
      </c>
      <c r="C440" s="31" t="s">
        <v>1082</v>
      </c>
      <c r="D440" s="280">
        <v>0.0</v>
      </c>
      <c r="E440" s="281">
        <f>SUMIF(RM_Purchase_YTD!C:C,'RM Rollforward'!A440,RM_Purchase_YTD!E:E)</f>
        <v>0</v>
      </c>
      <c r="F440" s="281">
        <f>SUMIF(RM_InboundProd_YTD!B:B,'RM Rollforward'!A440,RM_InboundProd_YTD!D:D)</f>
        <v>0</v>
      </c>
      <c r="G440" s="282">
        <f>SUMIF(RM_Outbound_YTD!B:B,'RM Rollforward'!A440,RM_Outbound_YTD!D:D)</f>
        <v>0</v>
      </c>
      <c r="H440" s="283">
        <f t="shared" si="1"/>
        <v>0</v>
      </c>
      <c r="I440" s="284"/>
      <c r="J440" s="319">
        <v>0.25</v>
      </c>
      <c r="K440" s="286">
        <v>500.0</v>
      </c>
      <c r="L440" s="287">
        <f t="shared" si="4"/>
        <v>0</v>
      </c>
      <c r="M440" s="320"/>
    </row>
    <row r="441" ht="15.75" customHeight="1">
      <c r="A441" s="31" t="s">
        <v>1285</v>
      </c>
      <c r="B441" s="31" t="s">
        <v>1286</v>
      </c>
      <c r="C441" s="31" t="s">
        <v>1082</v>
      </c>
      <c r="D441" s="280">
        <v>0.0</v>
      </c>
      <c r="E441" s="281">
        <f>SUMIF(RM_Purchase_YTD!C:C,'RM Rollforward'!A441,RM_Purchase_YTD!E:E)</f>
        <v>0</v>
      </c>
      <c r="F441" s="281">
        <f>SUMIF(RM_InboundProd_YTD!B:B,'RM Rollforward'!A441,RM_InboundProd_YTD!D:D)</f>
        <v>0</v>
      </c>
      <c r="G441" s="282">
        <f>SUMIF(RM_Outbound_YTD!B:B,'RM Rollforward'!A441,RM_Outbound_YTD!D:D)</f>
        <v>0</v>
      </c>
      <c r="H441" s="283">
        <f t="shared" si="1"/>
        <v>0</v>
      </c>
      <c r="I441" s="284"/>
      <c r="J441" s="319">
        <v>0.25</v>
      </c>
      <c r="K441" s="286">
        <v>500.0</v>
      </c>
      <c r="L441" s="287">
        <f t="shared" si="4"/>
        <v>0</v>
      </c>
      <c r="M441" s="320"/>
    </row>
    <row r="442" ht="15.75" customHeight="1">
      <c r="A442" s="31" t="s">
        <v>423</v>
      </c>
      <c r="B442" s="31" t="s">
        <v>424</v>
      </c>
      <c r="C442" s="31" t="s">
        <v>1082</v>
      </c>
      <c r="D442" s="280">
        <v>0.0</v>
      </c>
      <c r="E442" s="281">
        <f>SUMIF(RM_Purchase_YTD!C:C,'RM Rollforward'!A442,RM_Purchase_YTD!E:E)</f>
        <v>0</v>
      </c>
      <c r="F442" s="281">
        <f>SUMIF(RM_InboundProd_YTD!B:B,'RM Rollforward'!A442,RM_InboundProd_YTD!D:D)</f>
        <v>9</v>
      </c>
      <c r="G442" s="282">
        <f>SUMIF(RM_Outbound_YTD!B:B,'RM Rollforward'!A442,RM_Outbound_YTD!D:D)</f>
        <v>0</v>
      </c>
      <c r="H442" s="283">
        <f t="shared" si="1"/>
        <v>9</v>
      </c>
      <c r="I442" s="284"/>
      <c r="J442" s="319">
        <v>0.25</v>
      </c>
      <c r="K442" s="286">
        <v>500.0</v>
      </c>
      <c r="L442" s="287">
        <f t="shared" si="4"/>
        <v>1125</v>
      </c>
      <c r="M442" s="320"/>
    </row>
    <row r="443" ht="15.75" customHeight="1">
      <c r="A443" s="31" t="s">
        <v>1287</v>
      </c>
      <c r="B443" s="31" t="s">
        <v>1288</v>
      </c>
      <c r="C443" s="31" t="s">
        <v>1082</v>
      </c>
      <c r="D443" s="280">
        <v>0.0</v>
      </c>
      <c r="E443" s="281">
        <f>SUMIF(RM_Purchase_YTD!C:C,'RM Rollforward'!A443,RM_Purchase_YTD!E:E)</f>
        <v>0</v>
      </c>
      <c r="F443" s="281">
        <f>SUMIF(RM_InboundProd_YTD!B:B,'RM Rollforward'!A443,RM_InboundProd_YTD!D:D)</f>
        <v>0</v>
      </c>
      <c r="G443" s="282">
        <f>SUMIF(RM_Outbound_YTD!B:B,'RM Rollforward'!A443,RM_Outbound_YTD!D:D)</f>
        <v>0</v>
      </c>
      <c r="H443" s="283">
        <f t="shared" si="1"/>
        <v>0</v>
      </c>
      <c r="I443" s="284"/>
      <c r="J443" s="319">
        <v>0.25</v>
      </c>
      <c r="K443" s="286">
        <v>500.0</v>
      </c>
      <c r="L443" s="287">
        <f t="shared" si="4"/>
        <v>0</v>
      </c>
      <c r="M443" s="320"/>
    </row>
    <row r="444" ht="15.75" customHeight="1">
      <c r="A444" s="31" t="s">
        <v>1289</v>
      </c>
      <c r="B444" s="31" t="s">
        <v>1290</v>
      </c>
      <c r="C444" s="31" t="s">
        <v>1082</v>
      </c>
      <c r="D444" s="280">
        <v>0.0</v>
      </c>
      <c r="E444" s="281">
        <f>SUMIF(RM_Purchase_YTD!C:C,'RM Rollforward'!A444,RM_Purchase_YTD!E:E)</f>
        <v>0</v>
      </c>
      <c r="F444" s="281">
        <f>SUMIF(RM_InboundProd_YTD!B:B,'RM Rollforward'!A444,RM_InboundProd_YTD!D:D)</f>
        <v>0</v>
      </c>
      <c r="G444" s="282">
        <f>SUMIF(RM_Outbound_YTD!B:B,'RM Rollforward'!A444,RM_Outbound_YTD!D:D)</f>
        <v>0</v>
      </c>
      <c r="H444" s="283">
        <f t="shared" si="1"/>
        <v>0</v>
      </c>
      <c r="I444" s="284"/>
      <c r="J444" s="319">
        <v>0.25</v>
      </c>
      <c r="K444" s="286">
        <v>500.0</v>
      </c>
      <c r="L444" s="287">
        <f t="shared" si="4"/>
        <v>0</v>
      </c>
      <c r="M444" s="320"/>
    </row>
    <row r="445" ht="15.75" customHeight="1">
      <c r="A445" s="31" t="s">
        <v>1291</v>
      </c>
      <c r="B445" s="31" t="s">
        <v>1292</v>
      </c>
      <c r="C445" s="31" t="s">
        <v>1082</v>
      </c>
      <c r="D445" s="280">
        <v>0.0</v>
      </c>
      <c r="E445" s="281">
        <f>SUMIF(RM_Purchase_YTD!C:C,'RM Rollforward'!A445,RM_Purchase_YTD!E:E)</f>
        <v>0</v>
      </c>
      <c r="F445" s="281">
        <f>SUMIF(RM_InboundProd_YTD!B:B,'RM Rollforward'!A445,RM_InboundProd_YTD!D:D)</f>
        <v>0</v>
      </c>
      <c r="G445" s="282">
        <f>SUMIF(RM_Outbound_YTD!B:B,'RM Rollforward'!A445,RM_Outbound_YTD!D:D)</f>
        <v>0</v>
      </c>
      <c r="H445" s="283">
        <f t="shared" si="1"/>
        <v>0</v>
      </c>
      <c r="I445" s="284"/>
      <c r="J445" s="319">
        <v>0.25</v>
      </c>
      <c r="K445" s="286">
        <v>500.0</v>
      </c>
      <c r="L445" s="287">
        <f t="shared" si="4"/>
        <v>0</v>
      </c>
      <c r="M445" s="320"/>
    </row>
    <row r="446" ht="15.75" customHeight="1">
      <c r="A446" s="31" t="s">
        <v>1293</v>
      </c>
      <c r="B446" s="31" t="s">
        <v>1294</v>
      </c>
      <c r="C446" s="31" t="s">
        <v>1082</v>
      </c>
      <c r="D446" s="280">
        <v>0.0</v>
      </c>
      <c r="E446" s="281">
        <f>SUMIF(RM_Purchase_YTD!C:C,'RM Rollforward'!A446,RM_Purchase_YTD!E:E)</f>
        <v>0</v>
      </c>
      <c r="F446" s="281">
        <f>SUMIF(RM_InboundProd_YTD!B:B,'RM Rollforward'!A446,RM_InboundProd_YTD!D:D)</f>
        <v>0</v>
      </c>
      <c r="G446" s="282">
        <f>SUMIF(RM_Outbound_YTD!B:B,'RM Rollforward'!A446,RM_Outbound_YTD!D:D)</f>
        <v>0</v>
      </c>
      <c r="H446" s="283">
        <f t="shared" si="1"/>
        <v>0</v>
      </c>
      <c r="I446" s="284"/>
      <c r="J446" s="319">
        <v>0.25</v>
      </c>
      <c r="K446" s="286">
        <v>500.0</v>
      </c>
      <c r="L446" s="287">
        <f t="shared" si="4"/>
        <v>0</v>
      </c>
      <c r="M446" s="320"/>
    </row>
    <row r="447" ht="15.75" customHeight="1">
      <c r="A447" s="31" t="s">
        <v>431</v>
      </c>
      <c r="B447" s="31" t="s">
        <v>432</v>
      </c>
      <c r="C447" s="31" t="s">
        <v>1082</v>
      </c>
      <c r="D447" s="280">
        <v>0.0</v>
      </c>
      <c r="E447" s="281">
        <f>SUMIF(RM_Purchase_YTD!C:C,'RM Rollforward'!A447,RM_Purchase_YTD!E:E)</f>
        <v>0</v>
      </c>
      <c r="F447" s="281">
        <f>SUMIF(RM_InboundProd_YTD!B:B,'RM Rollforward'!A447,RM_InboundProd_YTD!D:D)</f>
        <v>28</v>
      </c>
      <c r="G447" s="282">
        <f>SUMIF(RM_Outbound_YTD!B:B,'RM Rollforward'!A447,RM_Outbound_YTD!D:D)</f>
        <v>10</v>
      </c>
      <c r="H447" s="283">
        <f t="shared" si="1"/>
        <v>18</v>
      </c>
      <c r="I447" s="284"/>
      <c r="J447" s="319">
        <v>0.25</v>
      </c>
      <c r="K447" s="286">
        <v>500.0</v>
      </c>
      <c r="L447" s="287">
        <f t="shared" si="4"/>
        <v>2250</v>
      </c>
      <c r="M447" s="320"/>
    </row>
    <row r="448" ht="15.75" customHeight="1">
      <c r="A448" s="31" t="s">
        <v>327</v>
      </c>
      <c r="B448" s="31" t="s">
        <v>328</v>
      </c>
      <c r="C448" s="31" t="s">
        <v>1082</v>
      </c>
      <c r="D448" s="280">
        <v>0.0</v>
      </c>
      <c r="E448" s="281">
        <f>SUMIF(RM_Purchase_YTD!C:C,'RM Rollforward'!A448,RM_Purchase_YTD!E:E)</f>
        <v>0</v>
      </c>
      <c r="F448" s="281">
        <f>SUMIF(RM_InboundProd_YTD!B:B,'RM Rollforward'!A448,RM_InboundProd_YTD!D:D)</f>
        <v>150</v>
      </c>
      <c r="G448" s="282">
        <f>SUMIF(RM_Outbound_YTD!B:B,'RM Rollforward'!A448,RM_Outbound_YTD!D:D)</f>
        <v>150</v>
      </c>
      <c r="H448" s="283">
        <f t="shared" si="1"/>
        <v>0</v>
      </c>
      <c r="I448" s="284"/>
      <c r="J448" s="319">
        <v>0.25</v>
      </c>
      <c r="K448" s="286">
        <v>500.0</v>
      </c>
      <c r="L448" s="287">
        <f t="shared" si="4"/>
        <v>0</v>
      </c>
      <c r="M448" s="320"/>
    </row>
    <row r="449" ht="15.75" customHeight="1">
      <c r="A449" s="31" t="s">
        <v>295</v>
      </c>
      <c r="B449" s="31" t="s">
        <v>296</v>
      </c>
      <c r="C449" s="31" t="s">
        <v>1082</v>
      </c>
      <c r="D449" s="280">
        <v>5.0</v>
      </c>
      <c r="E449" s="281">
        <f>SUMIF(RM_Purchase_YTD!C:C,'RM Rollforward'!A449,RM_Purchase_YTD!E:E)</f>
        <v>0</v>
      </c>
      <c r="F449" s="281">
        <f>SUMIF(RM_InboundProd_YTD!B:B,'RM Rollforward'!A449,RM_InboundProd_YTD!D:D)</f>
        <v>235</v>
      </c>
      <c r="G449" s="282">
        <f>SUMIF(RM_Outbound_YTD!B:B,'RM Rollforward'!A449,RM_Outbound_YTD!D:D)</f>
        <v>162</v>
      </c>
      <c r="H449" s="283">
        <f t="shared" si="1"/>
        <v>78</v>
      </c>
      <c r="I449" s="284"/>
      <c r="J449" s="319">
        <v>0.25</v>
      </c>
      <c r="K449" s="286">
        <v>500.0</v>
      </c>
      <c r="L449" s="287">
        <f t="shared" si="4"/>
        <v>9750</v>
      </c>
      <c r="M449" s="320"/>
    </row>
    <row r="450" ht="15.75" customHeight="1">
      <c r="A450" s="31" t="s">
        <v>299</v>
      </c>
      <c r="B450" s="31" t="s">
        <v>300</v>
      </c>
      <c r="C450" s="31" t="s">
        <v>1082</v>
      </c>
      <c r="D450" s="280">
        <v>0.0</v>
      </c>
      <c r="E450" s="281">
        <f>SUMIF(RM_Purchase_YTD!C:C,'RM Rollforward'!A450,RM_Purchase_YTD!E:E)</f>
        <v>0</v>
      </c>
      <c r="F450" s="281">
        <f>SUMIF(RM_InboundProd_YTD!B:B,'RM Rollforward'!A450,RM_InboundProd_YTD!D:D)</f>
        <v>87</v>
      </c>
      <c r="G450" s="282">
        <f>SUMIF(RM_Outbound_YTD!B:B,'RM Rollforward'!A450,RM_Outbound_YTD!D:D)</f>
        <v>86</v>
      </c>
      <c r="H450" s="283">
        <f t="shared" si="1"/>
        <v>1</v>
      </c>
      <c r="I450" s="284"/>
      <c r="J450" s="319">
        <v>0.25</v>
      </c>
      <c r="K450" s="286">
        <v>500.0</v>
      </c>
      <c r="L450" s="287">
        <f t="shared" si="4"/>
        <v>125</v>
      </c>
      <c r="M450" s="320"/>
    </row>
    <row r="451" ht="15.75" customHeight="1">
      <c r="A451" s="31" t="s">
        <v>1295</v>
      </c>
      <c r="B451" s="31" t="s">
        <v>1296</v>
      </c>
      <c r="C451" s="31" t="s">
        <v>1082</v>
      </c>
      <c r="D451" s="280">
        <v>0.0</v>
      </c>
      <c r="E451" s="281">
        <f>SUMIF(RM_Purchase_YTD!C:C,'RM Rollforward'!A451,RM_Purchase_YTD!E:E)</f>
        <v>0</v>
      </c>
      <c r="F451" s="281">
        <f>SUMIF(RM_InboundProd_YTD!B:B,'RM Rollforward'!A451,RM_InboundProd_YTD!D:D)</f>
        <v>0</v>
      </c>
      <c r="G451" s="282">
        <f>SUMIF(RM_Outbound_YTD!B:B,'RM Rollforward'!A451,RM_Outbound_YTD!D:D)</f>
        <v>0</v>
      </c>
      <c r="H451" s="283">
        <f t="shared" si="1"/>
        <v>0</v>
      </c>
      <c r="I451" s="284"/>
      <c r="J451" s="319">
        <v>0.25</v>
      </c>
      <c r="K451" s="286">
        <v>500.0</v>
      </c>
      <c r="L451" s="287">
        <f t="shared" si="4"/>
        <v>0</v>
      </c>
      <c r="M451" s="320"/>
    </row>
    <row r="452" ht="15.75" customHeight="1">
      <c r="A452" s="31" t="s">
        <v>1297</v>
      </c>
      <c r="B452" s="31" t="s">
        <v>1298</v>
      </c>
      <c r="C452" s="31" t="s">
        <v>1082</v>
      </c>
      <c r="D452" s="280">
        <v>25.0</v>
      </c>
      <c r="E452" s="281">
        <f>SUMIF(RM_Purchase_YTD!C:C,'RM Rollforward'!A452,RM_Purchase_YTD!E:E)</f>
        <v>0</v>
      </c>
      <c r="F452" s="281">
        <f>SUMIF(RM_InboundProd_YTD!B:B,'RM Rollforward'!A452,RM_InboundProd_YTD!D:D)</f>
        <v>0</v>
      </c>
      <c r="G452" s="282">
        <f>SUMIF(RM_Outbound_YTD!B:B,'RM Rollforward'!A452,RM_Outbound_YTD!D:D)</f>
        <v>0</v>
      </c>
      <c r="H452" s="283">
        <f t="shared" si="1"/>
        <v>25</v>
      </c>
      <c r="I452" s="284"/>
      <c r="J452" s="319">
        <v>0.25</v>
      </c>
      <c r="K452" s="286">
        <v>500.0</v>
      </c>
      <c r="L452" s="287">
        <f t="shared" si="4"/>
        <v>3125</v>
      </c>
      <c r="M452" s="320"/>
    </row>
    <row r="453" ht="15.75" customHeight="1">
      <c r="A453" s="31" t="s">
        <v>1299</v>
      </c>
      <c r="B453" s="31" t="s">
        <v>1300</v>
      </c>
      <c r="C453" s="31" t="s">
        <v>1082</v>
      </c>
      <c r="D453" s="280">
        <v>17.0</v>
      </c>
      <c r="E453" s="281">
        <f>SUMIF(RM_Purchase_YTD!C:C,'RM Rollforward'!A453,RM_Purchase_YTD!E:E)</f>
        <v>0</v>
      </c>
      <c r="F453" s="281">
        <f>SUMIF(RM_InboundProd_YTD!B:B,'RM Rollforward'!A453,RM_InboundProd_YTD!D:D)</f>
        <v>0</v>
      </c>
      <c r="G453" s="282">
        <f>SUMIF(RM_Outbound_YTD!B:B,'RM Rollforward'!A453,RM_Outbound_YTD!D:D)</f>
        <v>0</v>
      </c>
      <c r="H453" s="283">
        <f t="shared" si="1"/>
        <v>17</v>
      </c>
      <c r="I453" s="284"/>
      <c r="J453" s="319">
        <v>0.25</v>
      </c>
      <c r="K453" s="286">
        <v>500.0</v>
      </c>
      <c r="L453" s="287">
        <f t="shared" si="4"/>
        <v>2125</v>
      </c>
      <c r="M453" s="320"/>
    </row>
    <row r="454" ht="15.75" customHeight="1">
      <c r="A454" s="31" t="s">
        <v>1301</v>
      </c>
      <c r="B454" s="31" t="s">
        <v>1302</v>
      </c>
      <c r="C454" s="31" t="s">
        <v>1082</v>
      </c>
      <c r="D454" s="280">
        <v>15.0</v>
      </c>
      <c r="E454" s="281">
        <f>SUMIF(RM_Purchase_YTD!C:C,'RM Rollforward'!A454,RM_Purchase_YTD!E:E)</f>
        <v>0</v>
      </c>
      <c r="F454" s="281">
        <f>SUMIF(RM_InboundProd_YTD!B:B,'RM Rollforward'!A454,RM_InboundProd_YTD!D:D)</f>
        <v>0</v>
      </c>
      <c r="G454" s="282">
        <f>SUMIF(RM_Outbound_YTD!B:B,'RM Rollforward'!A454,RM_Outbound_YTD!D:D)</f>
        <v>0</v>
      </c>
      <c r="H454" s="283">
        <f t="shared" si="1"/>
        <v>15</v>
      </c>
      <c r="I454" s="284"/>
      <c r="J454" s="319">
        <v>0.25</v>
      </c>
      <c r="K454" s="286">
        <v>500.0</v>
      </c>
      <c r="L454" s="287">
        <f t="shared" si="4"/>
        <v>1875</v>
      </c>
      <c r="M454" s="320"/>
    </row>
    <row r="455" ht="15.75" customHeight="1">
      <c r="A455" s="31" t="s">
        <v>1303</v>
      </c>
      <c r="B455" s="31" t="s">
        <v>1304</v>
      </c>
      <c r="C455" s="31" t="s">
        <v>1082</v>
      </c>
      <c r="D455" s="280">
        <v>0.0</v>
      </c>
      <c r="E455" s="281">
        <f>SUMIF(RM_Purchase_YTD!C:C,'RM Rollforward'!A455,RM_Purchase_YTD!E:E)</f>
        <v>0</v>
      </c>
      <c r="F455" s="281">
        <f>SUMIF(RM_InboundProd_YTD!B:B,'RM Rollforward'!A455,RM_InboundProd_YTD!D:D)</f>
        <v>0</v>
      </c>
      <c r="G455" s="282">
        <f>SUMIF(RM_Outbound_YTD!B:B,'RM Rollforward'!A455,RM_Outbound_YTD!D:D)</f>
        <v>0</v>
      </c>
      <c r="H455" s="283">
        <f t="shared" si="1"/>
        <v>0</v>
      </c>
      <c r="I455" s="284"/>
      <c r="J455" s="319">
        <v>0.25</v>
      </c>
      <c r="K455" s="286">
        <v>500.0</v>
      </c>
      <c r="L455" s="287">
        <f t="shared" si="4"/>
        <v>0</v>
      </c>
      <c r="M455" s="320"/>
    </row>
    <row r="456" ht="15.75" customHeight="1">
      <c r="A456" s="31" t="s">
        <v>279</v>
      </c>
      <c r="B456" s="31" t="s">
        <v>280</v>
      </c>
      <c r="C456" s="31" t="s">
        <v>1082</v>
      </c>
      <c r="D456" s="280">
        <v>0.0</v>
      </c>
      <c r="E456" s="281">
        <f>SUMIF(RM_Purchase_YTD!C:C,'RM Rollforward'!A456,RM_Purchase_YTD!E:E)</f>
        <v>0</v>
      </c>
      <c r="F456" s="281">
        <f>SUMIF(RM_InboundProd_YTD!B:B,'RM Rollforward'!A456,RM_InboundProd_YTD!D:D)</f>
        <v>22</v>
      </c>
      <c r="G456" s="282">
        <f>SUMIF(RM_Outbound_YTD!B:B,'RM Rollforward'!A456,RM_Outbound_YTD!D:D)</f>
        <v>0</v>
      </c>
      <c r="H456" s="283">
        <f t="shared" si="1"/>
        <v>22</v>
      </c>
      <c r="I456" s="284"/>
      <c r="J456" s="319">
        <v>0.25</v>
      </c>
      <c r="K456" s="286">
        <v>500.0</v>
      </c>
      <c r="L456" s="287">
        <f t="shared" si="4"/>
        <v>2750</v>
      </c>
      <c r="M456" s="320"/>
    </row>
    <row r="457" ht="15.75" customHeight="1">
      <c r="A457" s="31" t="s">
        <v>1305</v>
      </c>
      <c r="B457" s="31" t="s">
        <v>1306</v>
      </c>
      <c r="C457" s="31" t="s">
        <v>1082</v>
      </c>
      <c r="D457" s="280">
        <v>0.0</v>
      </c>
      <c r="E457" s="281">
        <f>SUMIF(RM_Purchase_YTD!C:C,'RM Rollforward'!A457,RM_Purchase_YTD!E:E)</f>
        <v>0</v>
      </c>
      <c r="F457" s="281">
        <f>SUMIF(RM_InboundProd_YTD!B:B,'RM Rollforward'!A457,RM_InboundProd_YTD!D:D)</f>
        <v>0</v>
      </c>
      <c r="G457" s="282">
        <f>SUMIF(RM_Outbound_YTD!B:B,'RM Rollforward'!A457,RM_Outbound_YTD!D:D)</f>
        <v>0</v>
      </c>
      <c r="H457" s="283">
        <f t="shared" si="1"/>
        <v>0</v>
      </c>
      <c r="I457" s="284"/>
      <c r="J457" s="319">
        <v>0.25</v>
      </c>
      <c r="K457" s="286">
        <v>500.0</v>
      </c>
      <c r="L457" s="287">
        <f t="shared" si="4"/>
        <v>0</v>
      </c>
      <c r="M457" s="320"/>
    </row>
    <row r="458" ht="15.75" customHeight="1">
      <c r="A458" s="31" t="s">
        <v>379</v>
      </c>
      <c r="B458" s="31" t="s">
        <v>380</v>
      </c>
      <c r="C458" s="31" t="s">
        <v>1082</v>
      </c>
      <c r="D458" s="280">
        <v>0.0</v>
      </c>
      <c r="E458" s="281">
        <f>SUMIF(RM_Purchase_YTD!C:C,'RM Rollforward'!A458,RM_Purchase_YTD!E:E)</f>
        <v>0</v>
      </c>
      <c r="F458" s="281">
        <f>SUMIF(RM_InboundProd_YTD!B:B,'RM Rollforward'!A458,RM_InboundProd_YTD!D:D)</f>
        <v>194</v>
      </c>
      <c r="G458" s="282">
        <f>SUMIF(RM_Outbound_YTD!B:B,'RM Rollforward'!A458,RM_Outbound_YTD!D:D)</f>
        <v>191</v>
      </c>
      <c r="H458" s="283">
        <f t="shared" si="1"/>
        <v>3</v>
      </c>
      <c r="I458" s="284"/>
      <c r="J458" s="319">
        <v>0.25</v>
      </c>
      <c r="K458" s="286">
        <v>500.0</v>
      </c>
      <c r="L458" s="287">
        <f t="shared" si="4"/>
        <v>375</v>
      </c>
      <c r="M458" s="320"/>
    </row>
    <row r="459" ht="15.75" customHeight="1">
      <c r="A459" s="31" t="s">
        <v>351</v>
      </c>
      <c r="B459" s="31" t="s">
        <v>352</v>
      </c>
      <c r="C459" s="31" t="s">
        <v>1082</v>
      </c>
      <c r="D459" s="280">
        <v>0.0</v>
      </c>
      <c r="E459" s="281">
        <f>SUMIF(RM_Purchase_YTD!C:C,'RM Rollforward'!A459,RM_Purchase_YTD!E:E)</f>
        <v>0</v>
      </c>
      <c r="F459" s="281">
        <f>SUMIF(RM_InboundProd_YTD!B:B,'RM Rollforward'!A459,RM_InboundProd_YTD!D:D)</f>
        <v>226</v>
      </c>
      <c r="G459" s="282">
        <f>SUMIF(RM_Outbound_YTD!B:B,'RM Rollforward'!A459,RM_Outbound_YTD!D:D)</f>
        <v>228</v>
      </c>
      <c r="H459" s="283">
        <f t="shared" si="1"/>
        <v>-2</v>
      </c>
      <c r="I459" s="284"/>
      <c r="J459" s="319">
        <v>0.25</v>
      </c>
      <c r="K459" s="286">
        <v>500.0</v>
      </c>
      <c r="L459" s="287">
        <f t="shared" si="4"/>
        <v>-250</v>
      </c>
      <c r="M459" s="320"/>
    </row>
    <row r="460" ht="15.75" customHeight="1">
      <c r="A460" s="31" t="s">
        <v>285</v>
      </c>
      <c r="B460" s="31" t="s">
        <v>286</v>
      </c>
      <c r="C460" s="31" t="s">
        <v>1082</v>
      </c>
      <c r="D460" s="280">
        <v>0.0</v>
      </c>
      <c r="E460" s="281">
        <f>SUMIF(RM_Purchase_YTD!C:C,'RM Rollforward'!A460,RM_Purchase_YTD!E:E)</f>
        <v>0</v>
      </c>
      <c r="F460" s="281">
        <f>SUMIF(RM_InboundProd_YTD!B:B,'RM Rollforward'!A460,RM_InboundProd_YTD!D:D)</f>
        <v>31</v>
      </c>
      <c r="G460" s="282">
        <f>SUMIF(RM_Outbound_YTD!B:B,'RM Rollforward'!A460,RM_Outbound_YTD!D:D)</f>
        <v>15</v>
      </c>
      <c r="H460" s="283">
        <f t="shared" si="1"/>
        <v>16</v>
      </c>
      <c r="I460" s="284"/>
      <c r="J460" s="319">
        <v>0.25</v>
      </c>
      <c r="K460" s="286">
        <v>500.0</v>
      </c>
      <c r="L460" s="287">
        <f t="shared" si="4"/>
        <v>2000</v>
      </c>
      <c r="M460" s="320"/>
    </row>
    <row r="461" ht="15.75" customHeight="1">
      <c r="A461" s="31" t="s">
        <v>425</v>
      </c>
      <c r="B461" s="31" t="s">
        <v>426</v>
      </c>
      <c r="C461" s="31" t="s">
        <v>1082</v>
      </c>
      <c r="D461" s="280">
        <v>0.0</v>
      </c>
      <c r="E461" s="281">
        <f>SUMIF(RM_Purchase_YTD!C:C,'RM Rollforward'!A461,RM_Purchase_YTD!E:E)</f>
        <v>0</v>
      </c>
      <c r="F461" s="281">
        <f>SUMIF(RM_InboundProd_YTD!B:B,'RM Rollforward'!A461,RM_InboundProd_YTD!D:D)</f>
        <v>27</v>
      </c>
      <c r="G461" s="282">
        <f>SUMIF(RM_Outbound_YTD!B:B,'RM Rollforward'!A461,RM_Outbound_YTD!D:D)</f>
        <v>11</v>
      </c>
      <c r="H461" s="283">
        <f t="shared" si="1"/>
        <v>16</v>
      </c>
      <c r="I461" s="284"/>
      <c r="J461" s="319">
        <v>0.25</v>
      </c>
      <c r="K461" s="286">
        <v>500.0</v>
      </c>
      <c r="L461" s="287">
        <f t="shared" si="4"/>
        <v>2000</v>
      </c>
      <c r="M461" s="320"/>
    </row>
    <row r="462" ht="15.75" customHeight="1">
      <c r="A462" s="31" t="s">
        <v>1307</v>
      </c>
      <c r="B462" s="31" t="s">
        <v>1308</v>
      </c>
      <c r="C462" s="31" t="s">
        <v>1082</v>
      </c>
      <c r="D462" s="280">
        <v>0.0</v>
      </c>
      <c r="E462" s="281">
        <f>SUMIF(RM_Purchase_YTD!C:C,'RM Rollforward'!A462,RM_Purchase_YTD!E:E)</f>
        <v>0</v>
      </c>
      <c r="F462" s="281">
        <f>SUMIF(RM_InboundProd_YTD!B:B,'RM Rollforward'!A462,RM_InboundProd_YTD!D:D)</f>
        <v>0</v>
      </c>
      <c r="G462" s="282">
        <f>SUMIF(RM_Outbound_YTD!B:B,'RM Rollforward'!A462,RM_Outbound_YTD!D:D)</f>
        <v>0</v>
      </c>
      <c r="H462" s="283">
        <f t="shared" si="1"/>
        <v>0</v>
      </c>
      <c r="I462" s="284"/>
      <c r="J462" s="319">
        <v>0.25</v>
      </c>
      <c r="K462" s="286">
        <v>500.0</v>
      </c>
      <c r="L462" s="287">
        <f t="shared" si="4"/>
        <v>0</v>
      </c>
      <c r="M462" s="320"/>
    </row>
    <row r="463" ht="15.75" customHeight="1">
      <c r="A463" s="31" t="s">
        <v>1309</v>
      </c>
      <c r="B463" s="31" t="s">
        <v>1310</v>
      </c>
      <c r="C463" s="31" t="s">
        <v>1082</v>
      </c>
      <c r="D463" s="280">
        <v>0.0</v>
      </c>
      <c r="E463" s="281">
        <f>SUMIF(RM_Purchase_YTD!C:C,'RM Rollforward'!A463,RM_Purchase_YTD!E:E)</f>
        <v>0</v>
      </c>
      <c r="F463" s="281">
        <f>SUMIF(RM_InboundProd_YTD!B:B,'RM Rollforward'!A463,RM_InboundProd_YTD!D:D)</f>
        <v>0</v>
      </c>
      <c r="G463" s="282">
        <f>SUMIF(RM_Outbound_YTD!B:B,'RM Rollforward'!A463,RM_Outbound_YTD!D:D)</f>
        <v>0</v>
      </c>
      <c r="H463" s="283">
        <f t="shared" si="1"/>
        <v>0</v>
      </c>
      <c r="I463" s="284"/>
      <c r="J463" s="319">
        <v>0.25</v>
      </c>
      <c r="K463" s="286">
        <v>500.0</v>
      </c>
      <c r="L463" s="287">
        <f t="shared" si="4"/>
        <v>0</v>
      </c>
      <c r="M463" s="320"/>
    </row>
    <row r="464" ht="15.75" customHeight="1">
      <c r="A464" s="31" t="s">
        <v>1311</v>
      </c>
      <c r="B464" s="31" t="s">
        <v>1312</v>
      </c>
      <c r="C464" s="31" t="s">
        <v>1082</v>
      </c>
      <c r="D464" s="280">
        <v>0.0</v>
      </c>
      <c r="E464" s="281">
        <f>SUMIF(RM_Purchase_YTD!C:C,'RM Rollforward'!A464,RM_Purchase_YTD!E:E)</f>
        <v>0</v>
      </c>
      <c r="F464" s="281">
        <f>SUMIF(RM_InboundProd_YTD!B:B,'RM Rollforward'!A464,RM_InboundProd_YTD!D:D)</f>
        <v>0</v>
      </c>
      <c r="G464" s="282">
        <f>SUMIF(RM_Outbound_YTD!B:B,'RM Rollforward'!A464,RM_Outbound_YTD!D:D)</f>
        <v>0</v>
      </c>
      <c r="H464" s="283">
        <f t="shared" si="1"/>
        <v>0</v>
      </c>
      <c r="I464" s="284"/>
      <c r="J464" s="319">
        <v>0.25</v>
      </c>
      <c r="K464" s="286">
        <v>500.0</v>
      </c>
      <c r="L464" s="287">
        <f t="shared" si="4"/>
        <v>0</v>
      </c>
      <c r="M464" s="320"/>
    </row>
    <row r="465" ht="15.75" customHeight="1">
      <c r="A465" s="31" t="s">
        <v>1313</v>
      </c>
      <c r="B465" s="31" t="s">
        <v>1314</v>
      </c>
      <c r="C465" s="31" t="s">
        <v>1082</v>
      </c>
      <c r="D465" s="280">
        <v>0.0</v>
      </c>
      <c r="E465" s="281">
        <f>SUMIF(RM_Purchase_YTD!C:C,'RM Rollforward'!A465,RM_Purchase_YTD!E:E)</f>
        <v>0</v>
      </c>
      <c r="F465" s="281">
        <f>SUMIF(RM_InboundProd_YTD!B:B,'RM Rollforward'!A465,RM_InboundProd_YTD!D:D)</f>
        <v>0</v>
      </c>
      <c r="G465" s="282">
        <f>SUMIF(RM_Outbound_YTD!B:B,'RM Rollforward'!A465,RM_Outbound_YTD!D:D)</f>
        <v>0</v>
      </c>
      <c r="H465" s="283">
        <f t="shared" si="1"/>
        <v>0</v>
      </c>
      <c r="I465" s="284"/>
      <c r="J465" s="319">
        <v>0.25</v>
      </c>
      <c r="K465" s="286">
        <v>500.0</v>
      </c>
      <c r="L465" s="287">
        <f t="shared" si="4"/>
        <v>0</v>
      </c>
      <c r="M465" s="320"/>
    </row>
    <row r="466" ht="15.75" customHeight="1">
      <c r="A466" s="31" t="s">
        <v>1315</v>
      </c>
      <c r="B466" s="31" t="s">
        <v>1316</v>
      </c>
      <c r="C466" s="31" t="s">
        <v>1082</v>
      </c>
      <c r="D466" s="280">
        <v>0.0</v>
      </c>
      <c r="E466" s="281">
        <f>SUMIF(RM_Purchase_YTD!C:C,'RM Rollforward'!A466,RM_Purchase_YTD!E:E)</f>
        <v>0</v>
      </c>
      <c r="F466" s="281">
        <f>SUMIF(RM_InboundProd_YTD!B:B,'RM Rollforward'!A466,RM_InboundProd_YTD!D:D)</f>
        <v>0</v>
      </c>
      <c r="G466" s="282">
        <f>SUMIF(RM_Outbound_YTD!B:B,'RM Rollforward'!A466,RM_Outbound_YTD!D:D)</f>
        <v>0</v>
      </c>
      <c r="H466" s="283">
        <f t="shared" si="1"/>
        <v>0</v>
      </c>
      <c r="I466" s="284"/>
      <c r="J466" s="319">
        <v>0.25</v>
      </c>
      <c r="K466" s="286">
        <v>500.0</v>
      </c>
      <c r="L466" s="287">
        <f t="shared" si="4"/>
        <v>0</v>
      </c>
      <c r="M466" s="320"/>
    </row>
    <row r="467" ht="15.75" customHeight="1">
      <c r="A467" s="31" t="s">
        <v>333</v>
      </c>
      <c r="B467" s="31" t="s">
        <v>334</v>
      </c>
      <c r="C467" s="31" t="s">
        <v>1082</v>
      </c>
      <c r="D467" s="280">
        <v>0.0</v>
      </c>
      <c r="E467" s="281">
        <f>SUMIF(RM_Purchase_YTD!C:C,'RM Rollforward'!A467,RM_Purchase_YTD!E:E)</f>
        <v>0</v>
      </c>
      <c r="F467" s="281">
        <f>SUMIF(RM_InboundProd_YTD!B:B,'RM Rollforward'!A467,RM_InboundProd_YTD!D:D)</f>
        <v>73</v>
      </c>
      <c r="G467" s="282">
        <f>SUMIF(RM_Outbound_YTD!B:B,'RM Rollforward'!A467,RM_Outbound_YTD!D:D)</f>
        <v>35</v>
      </c>
      <c r="H467" s="283">
        <f t="shared" si="1"/>
        <v>38</v>
      </c>
      <c r="I467" s="284"/>
      <c r="J467" s="319">
        <v>0.25</v>
      </c>
      <c r="K467" s="286">
        <v>500.0</v>
      </c>
      <c r="L467" s="287">
        <f t="shared" si="4"/>
        <v>4750</v>
      </c>
      <c r="M467" s="320"/>
    </row>
    <row r="468" ht="15.75" customHeight="1">
      <c r="A468" s="31" t="s">
        <v>309</v>
      </c>
      <c r="B468" s="31" t="s">
        <v>310</v>
      </c>
      <c r="C468" s="31" t="s">
        <v>1082</v>
      </c>
      <c r="D468" s="280">
        <v>0.0</v>
      </c>
      <c r="E468" s="281">
        <f>SUMIF(RM_Purchase_YTD!C:C,'RM Rollforward'!A468,RM_Purchase_YTD!E:E)</f>
        <v>0</v>
      </c>
      <c r="F468" s="281">
        <f>SUMIF(RM_InboundProd_YTD!B:B,'RM Rollforward'!A468,RM_InboundProd_YTD!D:D)</f>
        <v>28</v>
      </c>
      <c r="G468" s="282">
        <f>SUMIF(RM_Outbound_YTD!B:B,'RM Rollforward'!A468,RM_Outbound_YTD!D:D)</f>
        <v>16</v>
      </c>
      <c r="H468" s="283">
        <f t="shared" si="1"/>
        <v>12</v>
      </c>
      <c r="I468" s="284"/>
      <c r="J468" s="319">
        <v>0.25</v>
      </c>
      <c r="K468" s="286">
        <v>500.0</v>
      </c>
      <c r="L468" s="287">
        <f t="shared" si="4"/>
        <v>1500</v>
      </c>
      <c r="M468" s="320"/>
    </row>
    <row r="469" ht="15.75" customHeight="1">
      <c r="A469" s="31" t="s">
        <v>1317</v>
      </c>
      <c r="B469" s="31" t="s">
        <v>1318</v>
      </c>
      <c r="C469" s="31" t="s">
        <v>1082</v>
      </c>
      <c r="D469" s="280">
        <v>0.0</v>
      </c>
      <c r="E469" s="281">
        <f>SUMIF(RM_Purchase_YTD!C:C,'RM Rollforward'!A469,RM_Purchase_YTD!E:E)</f>
        <v>0</v>
      </c>
      <c r="F469" s="281">
        <f>SUMIF(RM_InboundProd_YTD!B:B,'RM Rollforward'!A469,RM_InboundProd_YTD!D:D)</f>
        <v>0</v>
      </c>
      <c r="G469" s="282">
        <f>SUMIF(RM_Outbound_YTD!B:B,'RM Rollforward'!A469,RM_Outbound_YTD!D:D)</f>
        <v>0</v>
      </c>
      <c r="H469" s="283">
        <f t="shared" si="1"/>
        <v>0</v>
      </c>
      <c r="I469" s="284"/>
      <c r="J469" s="319">
        <v>0.25</v>
      </c>
      <c r="K469" s="286">
        <v>500.0</v>
      </c>
      <c r="L469" s="287">
        <f t="shared" si="4"/>
        <v>0</v>
      </c>
      <c r="M469" s="320"/>
    </row>
    <row r="470" ht="15.75" customHeight="1">
      <c r="A470" s="31" t="s">
        <v>1319</v>
      </c>
      <c r="B470" s="31" t="s">
        <v>1320</v>
      </c>
      <c r="C470" s="31" t="s">
        <v>1082</v>
      </c>
      <c r="D470" s="280">
        <v>0.0</v>
      </c>
      <c r="E470" s="281">
        <f>SUMIF(RM_Purchase_YTD!C:C,'RM Rollforward'!A470,RM_Purchase_YTD!E:E)</f>
        <v>0</v>
      </c>
      <c r="F470" s="281">
        <f>SUMIF(RM_InboundProd_YTD!B:B,'RM Rollforward'!A470,RM_InboundProd_YTD!D:D)</f>
        <v>0</v>
      </c>
      <c r="G470" s="282">
        <f>SUMIF(RM_Outbound_YTD!B:B,'RM Rollforward'!A470,RM_Outbound_YTD!D:D)</f>
        <v>0</v>
      </c>
      <c r="H470" s="283">
        <f t="shared" si="1"/>
        <v>0</v>
      </c>
      <c r="I470" s="284"/>
      <c r="J470" s="319">
        <v>0.25</v>
      </c>
      <c r="K470" s="286">
        <v>500.0</v>
      </c>
      <c r="L470" s="287">
        <f t="shared" si="4"/>
        <v>0</v>
      </c>
      <c r="M470" s="320"/>
    </row>
    <row r="471" ht="15.75" customHeight="1">
      <c r="A471" s="31" t="s">
        <v>1321</v>
      </c>
      <c r="B471" s="31" t="s">
        <v>1322</v>
      </c>
      <c r="C471" s="31" t="s">
        <v>1082</v>
      </c>
      <c r="D471" s="280">
        <v>0.0</v>
      </c>
      <c r="E471" s="281">
        <f>SUMIF(RM_Purchase_YTD!C:C,'RM Rollforward'!A471,RM_Purchase_YTD!E:E)</f>
        <v>0</v>
      </c>
      <c r="F471" s="281">
        <f>SUMIF(RM_InboundProd_YTD!B:B,'RM Rollforward'!A471,RM_InboundProd_YTD!D:D)</f>
        <v>0</v>
      </c>
      <c r="G471" s="282">
        <f>SUMIF(RM_Outbound_YTD!B:B,'RM Rollforward'!A471,RM_Outbound_YTD!D:D)</f>
        <v>0</v>
      </c>
      <c r="H471" s="283">
        <f t="shared" si="1"/>
        <v>0</v>
      </c>
      <c r="I471" s="284"/>
      <c r="J471" s="319">
        <v>0.25</v>
      </c>
      <c r="K471" s="286">
        <v>500.0</v>
      </c>
      <c r="L471" s="287">
        <f t="shared" si="4"/>
        <v>0</v>
      </c>
      <c r="M471" s="320"/>
    </row>
    <row r="472" ht="15.75" customHeight="1">
      <c r="A472" s="31" t="s">
        <v>1323</v>
      </c>
      <c r="B472" s="31" t="s">
        <v>1324</v>
      </c>
      <c r="C472" s="31" t="s">
        <v>1082</v>
      </c>
      <c r="D472" s="280">
        <v>0.0</v>
      </c>
      <c r="E472" s="281">
        <f>SUMIF(RM_Purchase_YTD!C:C,'RM Rollforward'!A472,RM_Purchase_YTD!E:E)</f>
        <v>0</v>
      </c>
      <c r="F472" s="281">
        <f>SUMIF(RM_InboundProd_YTD!B:B,'RM Rollforward'!A472,RM_InboundProd_YTD!D:D)</f>
        <v>0</v>
      </c>
      <c r="G472" s="282">
        <f>SUMIF(RM_Outbound_YTD!B:B,'RM Rollforward'!A472,RM_Outbound_YTD!D:D)</f>
        <v>0</v>
      </c>
      <c r="H472" s="283">
        <f t="shared" si="1"/>
        <v>0</v>
      </c>
      <c r="I472" s="284"/>
      <c r="J472" s="319">
        <v>0.25</v>
      </c>
      <c r="K472" s="286">
        <v>500.0</v>
      </c>
      <c r="L472" s="287">
        <f t="shared" si="4"/>
        <v>0</v>
      </c>
      <c r="M472" s="320"/>
    </row>
    <row r="473" ht="15.75" customHeight="1">
      <c r="A473" s="31" t="s">
        <v>1325</v>
      </c>
      <c r="B473" s="31" t="s">
        <v>1326</v>
      </c>
      <c r="C473" s="31" t="s">
        <v>1082</v>
      </c>
      <c r="D473" s="280">
        <v>0.0</v>
      </c>
      <c r="E473" s="281">
        <f>SUMIF(RM_Purchase_YTD!C:C,'RM Rollforward'!A473,RM_Purchase_YTD!E:E)</f>
        <v>0</v>
      </c>
      <c r="F473" s="281">
        <f>SUMIF(RM_InboundProd_YTD!B:B,'RM Rollforward'!A473,RM_InboundProd_YTD!D:D)</f>
        <v>0</v>
      </c>
      <c r="G473" s="282">
        <f>SUMIF(RM_Outbound_YTD!B:B,'RM Rollforward'!A473,RM_Outbound_YTD!D:D)</f>
        <v>0</v>
      </c>
      <c r="H473" s="283">
        <f t="shared" si="1"/>
        <v>0</v>
      </c>
      <c r="I473" s="284"/>
      <c r="J473" s="319">
        <v>0.25</v>
      </c>
      <c r="K473" s="286">
        <v>500.0</v>
      </c>
      <c r="L473" s="287">
        <f t="shared" si="4"/>
        <v>0</v>
      </c>
      <c r="M473" s="320"/>
    </row>
    <row r="474" ht="15.75" customHeight="1">
      <c r="A474" s="31" t="s">
        <v>1327</v>
      </c>
      <c r="B474" s="31" t="s">
        <v>1328</v>
      </c>
      <c r="C474" s="31" t="s">
        <v>1082</v>
      </c>
      <c r="D474" s="280">
        <v>20.0</v>
      </c>
      <c r="E474" s="281">
        <f>SUMIF(RM_Purchase_YTD!C:C,'RM Rollforward'!A474,RM_Purchase_YTD!E:E)</f>
        <v>0</v>
      </c>
      <c r="F474" s="281">
        <f>SUMIF(RM_InboundProd_YTD!B:B,'RM Rollforward'!A474,RM_InboundProd_YTD!D:D)</f>
        <v>0</v>
      </c>
      <c r="G474" s="282">
        <f>SUMIF(RM_Outbound_YTD!B:B,'RM Rollforward'!A474,RM_Outbound_YTD!D:D)</f>
        <v>0</v>
      </c>
      <c r="H474" s="283">
        <f t="shared" si="1"/>
        <v>20</v>
      </c>
      <c r="I474" s="284"/>
      <c r="J474" s="319">
        <v>0.25</v>
      </c>
      <c r="K474" s="286">
        <v>500.0</v>
      </c>
      <c r="L474" s="287">
        <f t="shared" si="4"/>
        <v>2500</v>
      </c>
      <c r="M474" s="320"/>
    </row>
    <row r="475" ht="15.75" customHeight="1">
      <c r="A475" s="31" t="s">
        <v>1329</v>
      </c>
      <c r="B475" s="31" t="s">
        <v>1330</v>
      </c>
      <c r="C475" s="31" t="s">
        <v>1082</v>
      </c>
      <c r="D475" s="280">
        <v>0.0</v>
      </c>
      <c r="E475" s="281">
        <f>SUMIF(RM_Purchase_YTD!C:C,'RM Rollforward'!A475,RM_Purchase_YTD!E:E)</f>
        <v>0</v>
      </c>
      <c r="F475" s="281">
        <f>SUMIF(RM_InboundProd_YTD!B:B,'RM Rollforward'!A475,RM_InboundProd_YTD!D:D)</f>
        <v>0</v>
      </c>
      <c r="G475" s="282">
        <f>SUMIF(RM_Outbound_YTD!B:B,'RM Rollforward'!A475,RM_Outbound_YTD!D:D)</f>
        <v>0</v>
      </c>
      <c r="H475" s="283">
        <f t="shared" si="1"/>
        <v>0</v>
      </c>
      <c r="I475" s="284"/>
      <c r="J475" s="319">
        <v>0.25</v>
      </c>
      <c r="K475" s="286">
        <v>500.0</v>
      </c>
      <c r="L475" s="287">
        <f t="shared" si="4"/>
        <v>0</v>
      </c>
      <c r="M475" s="320"/>
    </row>
    <row r="476" ht="15.75" customHeight="1">
      <c r="A476" s="31" t="s">
        <v>1331</v>
      </c>
      <c r="B476" s="31" t="s">
        <v>1332</v>
      </c>
      <c r="C476" s="31" t="s">
        <v>1082</v>
      </c>
      <c r="D476" s="280">
        <v>0.0</v>
      </c>
      <c r="E476" s="281">
        <f>SUMIF(RM_Purchase_YTD!C:C,'RM Rollforward'!A476,RM_Purchase_YTD!E:E)</f>
        <v>0</v>
      </c>
      <c r="F476" s="281">
        <f>SUMIF(RM_InboundProd_YTD!B:B,'RM Rollforward'!A476,RM_InboundProd_YTD!D:D)</f>
        <v>0</v>
      </c>
      <c r="G476" s="282">
        <f>SUMIF(RM_Outbound_YTD!B:B,'RM Rollforward'!A476,RM_Outbound_YTD!D:D)</f>
        <v>0</v>
      </c>
      <c r="H476" s="283">
        <f t="shared" si="1"/>
        <v>0</v>
      </c>
      <c r="I476" s="284"/>
      <c r="J476" s="319">
        <v>0.25</v>
      </c>
      <c r="K476" s="286">
        <v>500.0</v>
      </c>
      <c r="L476" s="287">
        <f t="shared" si="4"/>
        <v>0</v>
      </c>
      <c r="M476" s="320"/>
    </row>
    <row r="477" ht="15.75" customHeight="1">
      <c r="A477" s="31" t="s">
        <v>1333</v>
      </c>
      <c r="B477" s="31" t="s">
        <v>1334</v>
      </c>
      <c r="C477" s="31" t="s">
        <v>1082</v>
      </c>
      <c r="D477" s="280">
        <v>0.0</v>
      </c>
      <c r="E477" s="281">
        <f>SUMIF(RM_Purchase_YTD!C:C,'RM Rollforward'!A477,RM_Purchase_YTD!E:E)</f>
        <v>0</v>
      </c>
      <c r="F477" s="281">
        <f>SUMIF(RM_InboundProd_YTD!B:B,'RM Rollforward'!A477,RM_InboundProd_YTD!D:D)</f>
        <v>0</v>
      </c>
      <c r="G477" s="282">
        <f>SUMIF(RM_Outbound_YTD!B:B,'RM Rollforward'!A477,RM_Outbound_YTD!D:D)</f>
        <v>0</v>
      </c>
      <c r="H477" s="283">
        <f t="shared" si="1"/>
        <v>0</v>
      </c>
      <c r="I477" s="284"/>
      <c r="J477" s="319">
        <v>0.25</v>
      </c>
      <c r="K477" s="286">
        <v>500.0</v>
      </c>
      <c r="L477" s="287">
        <f t="shared" si="4"/>
        <v>0</v>
      </c>
      <c r="M477" s="320"/>
    </row>
    <row r="478" ht="15.75" customHeight="1">
      <c r="A478" s="47" t="s">
        <v>1335</v>
      </c>
      <c r="B478" s="47" t="s">
        <v>709</v>
      </c>
      <c r="C478" s="31" t="s">
        <v>1082</v>
      </c>
      <c r="D478" s="280">
        <v>0.0</v>
      </c>
      <c r="E478" s="281">
        <f>SUMIF(RM_Purchase_YTD!C:C,'RM Rollforward'!A478,RM_Purchase_YTD!E:E)</f>
        <v>0</v>
      </c>
      <c r="F478" s="281">
        <f>SUMIF(RM_InboundProd_YTD!B:B,'RM Rollforward'!A478,RM_InboundProd_YTD!D:D)</f>
        <v>0</v>
      </c>
      <c r="G478" s="282">
        <f>SUMIF(RM_Outbound_YTD!B:B,'RM Rollforward'!A478,RM_Outbound_YTD!D:D)</f>
        <v>0</v>
      </c>
      <c r="H478" s="283">
        <f t="shared" si="1"/>
        <v>0</v>
      </c>
      <c r="I478" s="284"/>
      <c r="J478" s="319">
        <v>0.25</v>
      </c>
      <c r="K478" s="286">
        <v>500.0</v>
      </c>
      <c r="L478" s="287">
        <f t="shared" si="4"/>
        <v>0</v>
      </c>
      <c r="M478" s="320"/>
    </row>
    <row r="479" ht="15.75" customHeight="1">
      <c r="A479" s="47" t="s">
        <v>1336</v>
      </c>
      <c r="B479" s="47" t="s">
        <v>1337</v>
      </c>
      <c r="C479" s="31" t="s">
        <v>1082</v>
      </c>
      <c r="D479" s="280">
        <v>0.0</v>
      </c>
      <c r="E479" s="281">
        <f>SUMIF(RM_Purchase_YTD!C:C,'RM Rollforward'!A479,RM_Purchase_YTD!E:E)</f>
        <v>0</v>
      </c>
      <c r="F479" s="281">
        <f>SUMIF(RM_InboundProd_YTD!B:B,'RM Rollforward'!A479,RM_InboundProd_YTD!D:D)</f>
        <v>0</v>
      </c>
      <c r="G479" s="282">
        <f>SUMIF(RM_Outbound_YTD!B:B,'RM Rollforward'!A479,RM_Outbound_YTD!D:D)</f>
        <v>0</v>
      </c>
      <c r="H479" s="283">
        <f t="shared" si="1"/>
        <v>0</v>
      </c>
      <c r="I479" s="284"/>
      <c r="J479" s="319">
        <v>0.25</v>
      </c>
      <c r="K479" s="286">
        <v>500.0</v>
      </c>
      <c r="L479" s="287">
        <f t="shared" si="4"/>
        <v>0</v>
      </c>
      <c r="M479" s="320"/>
    </row>
    <row r="480" ht="15.75" customHeight="1">
      <c r="A480" s="31" t="s">
        <v>1338</v>
      </c>
      <c r="B480" s="31" t="s">
        <v>1339</v>
      </c>
      <c r="C480" s="31" t="s">
        <v>1082</v>
      </c>
      <c r="D480" s="280">
        <v>0.0</v>
      </c>
      <c r="E480" s="281">
        <f>SUMIF(RM_Purchase_YTD!C:C,'RM Rollforward'!A480,RM_Purchase_YTD!E:E)</f>
        <v>0</v>
      </c>
      <c r="F480" s="281">
        <f>SUMIF(RM_InboundProd_YTD!B:B,'RM Rollforward'!A480,RM_InboundProd_YTD!D:D)</f>
        <v>0</v>
      </c>
      <c r="G480" s="282">
        <f>SUMIF(RM_Outbound_YTD!B:B,'RM Rollforward'!A480,RM_Outbound_YTD!D:D)</f>
        <v>0</v>
      </c>
      <c r="H480" s="283">
        <f t="shared" si="1"/>
        <v>0</v>
      </c>
      <c r="I480" s="284"/>
      <c r="J480" s="319">
        <v>7.0</v>
      </c>
      <c r="K480" s="286">
        <v>1.0</v>
      </c>
      <c r="L480" s="287">
        <f t="shared" si="4"/>
        <v>0</v>
      </c>
      <c r="M480" s="320"/>
    </row>
    <row r="481" ht="15.75" customHeight="1">
      <c r="A481" s="31" t="s">
        <v>1340</v>
      </c>
      <c r="B481" s="31" t="s">
        <v>1341</v>
      </c>
      <c r="C481" s="31" t="s">
        <v>1082</v>
      </c>
      <c r="D481" s="280">
        <v>0.0</v>
      </c>
      <c r="E481" s="281">
        <f>SUMIF(RM_Purchase_YTD!C:C,'RM Rollforward'!A481,RM_Purchase_YTD!E:E)</f>
        <v>0</v>
      </c>
      <c r="F481" s="281">
        <f>SUMIF(RM_InboundProd_YTD!B:B,'RM Rollforward'!A481,RM_InboundProd_YTD!D:D)</f>
        <v>0</v>
      </c>
      <c r="G481" s="282">
        <f>SUMIF(RM_Outbound_YTD!B:B,'RM Rollforward'!A481,RM_Outbound_YTD!D:D)</f>
        <v>0</v>
      </c>
      <c r="H481" s="283">
        <f t="shared" si="1"/>
        <v>0</v>
      </c>
      <c r="I481" s="284"/>
      <c r="J481" s="319">
        <v>7.0</v>
      </c>
      <c r="K481" s="286">
        <v>1.0</v>
      </c>
      <c r="L481" s="287">
        <f t="shared" si="4"/>
        <v>0</v>
      </c>
      <c r="M481" s="320"/>
    </row>
    <row r="482" ht="15.75" customHeight="1">
      <c r="A482" s="31" t="s">
        <v>1342</v>
      </c>
      <c r="B482" s="31" t="s">
        <v>1343</v>
      </c>
      <c r="C482" s="31" t="s">
        <v>1082</v>
      </c>
      <c r="D482" s="280">
        <v>0.0</v>
      </c>
      <c r="E482" s="281">
        <f>SUMIF(RM_Purchase_YTD!C:C,'RM Rollforward'!A482,RM_Purchase_YTD!E:E)</f>
        <v>0</v>
      </c>
      <c r="F482" s="281">
        <f>SUMIF(RM_InboundProd_YTD!B:B,'RM Rollforward'!A482,RM_InboundProd_YTD!D:D)</f>
        <v>0</v>
      </c>
      <c r="G482" s="282">
        <f>SUMIF(RM_Outbound_YTD!B:B,'RM Rollforward'!A482,RM_Outbound_YTD!D:D)</f>
        <v>0</v>
      </c>
      <c r="H482" s="283">
        <f t="shared" si="1"/>
        <v>0</v>
      </c>
      <c r="I482" s="284"/>
      <c r="J482" s="319">
        <v>7.0</v>
      </c>
      <c r="K482" s="286">
        <v>1.0</v>
      </c>
      <c r="L482" s="287">
        <f t="shared" si="4"/>
        <v>0</v>
      </c>
      <c r="M482" s="320"/>
    </row>
    <row r="483" ht="15.75" customHeight="1">
      <c r="A483" s="31" t="s">
        <v>1344</v>
      </c>
      <c r="B483" s="31" t="s">
        <v>1345</v>
      </c>
      <c r="C483" s="31" t="s">
        <v>1082</v>
      </c>
      <c r="D483" s="280">
        <v>3000.0</v>
      </c>
      <c r="E483" s="281">
        <f>SUMIF(RM_Purchase_YTD!C:C,'RM Rollforward'!A483,RM_Purchase_YTD!E:E)</f>
        <v>0</v>
      </c>
      <c r="F483" s="281">
        <f>SUMIF(RM_InboundProd_YTD!B:B,'RM Rollforward'!A483,RM_InboundProd_YTD!D:D)</f>
        <v>0</v>
      </c>
      <c r="G483" s="282">
        <f>SUMIF(RM_Outbound_YTD!B:B,'RM Rollforward'!A483,RM_Outbound_YTD!D:D)</f>
        <v>0</v>
      </c>
      <c r="H483" s="283">
        <f t="shared" si="1"/>
        <v>3000</v>
      </c>
      <c r="I483" s="284"/>
      <c r="J483" s="319">
        <v>7.0</v>
      </c>
      <c r="K483" s="286">
        <v>1.0</v>
      </c>
      <c r="L483" s="287">
        <f t="shared" si="4"/>
        <v>21000</v>
      </c>
      <c r="M483" s="320"/>
    </row>
    <row r="484" ht="15.75" customHeight="1">
      <c r="A484" s="31" t="s">
        <v>1346</v>
      </c>
      <c r="B484" s="31" t="s">
        <v>1347</v>
      </c>
      <c r="C484" s="31" t="s">
        <v>1082</v>
      </c>
      <c r="D484" s="280">
        <v>4900.0</v>
      </c>
      <c r="E484" s="281">
        <f>SUMIF(RM_Purchase_YTD!C:C,'RM Rollforward'!A484,RM_Purchase_YTD!E:E)</f>
        <v>0</v>
      </c>
      <c r="F484" s="281">
        <f>SUMIF(RM_InboundProd_YTD!B:B,'RM Rollforward'!A484,RM_InboundProd_YTD!D:D)</f>
        <v>0</v>
      </c>
      <c r="G484" s="282">
        <f>SUMIF(RM_Outbound_YTD!B:B,'RM Rollforward'!A484,RM_Outbound_YTD!D:D)</f>
        <v>0</v>
      </c>
      <c r="H484" s="283">
        <f t="shared" si="1"/>
        <v>4900</v>
      </c>
      <c r="I484" s="284"/>
      <c r="J484" s="319">
        <v>7.0</v>
      </c>
      <c r="K484" s="286">
        <v>1.0</v>
      </c>
      <c r="L484" s="287">
        <f t="shared" si="4"/>
        <v>34300</v>
      </c>
      <c r="M484" s="320"/>
    </row>
    <row r="485" ht="15.75" customHeight="1">
      <c r="A485" s="31" t="s">
        <v>1348</v>
      </c>
      <c r="B485" s="31" t="s">
        <v>1349</v>
      </c>
      <c r="C485" s="31" t="s">
        <v>1082</v>
      </c>
      <c r="D485" s="280">
        <v>0.0</v>
      </c>
      <c r="E485" s="281">
        <f>SUMIF(RM_Purchase_YTD!C:C,'RM Rollforward'!A485,RM_Purchase_YTD!E:E)</f>
        <v>0</v>
      </c>
      <c r="F485" s="281">
        <f>SUMIF(RM_InboundProd_YTD!B:B,'RM Rollforward'!A485,RM_InboundProd_YTD!D:D)</f>
        <v>0</v>
      </c>
      <c r="G485" s="282">
        <f>SUMIF(RM_Outbound_YTD!B:B,'RM Rollforward'!A485,RM_Outbound_YTD!D:D)</f>
        <v>0</v>
      </c>
      <c r="H485" s="283">
        <f t="shared" si="1"/>
        <v>0</v>
      </c>
      <c r="I485" s="284"/>
      <c r="J485" s="319">
        <v>7.0</v>
      </c>
      <c r="K485" s="286">
        <v>1.0</v>
      </c>
      <c r="L485" s="287">
        <f t="shared" si="4"/>
        <v>0</v>
      </c>
      <c r="M485" s="320"/>
    </row>
    <row r="486" ht="16.5" customHeight="1">
      <c r="A486" s="31" t="s">
        <v>1350</v>
      </c>
      <c r="B486" s="31" t="s">
        <v>1351</v>
      </c>
      <c r="C486" s="31" t="s">
        <v>1082</v>
      </c>
      <c r="D486" s="280">
        <v>0.0</v>
      </c>
      <c r="E486" s="281">
        <f>SUMIF(RM_Purchase_YTD!C:C,'RM Rollforward'!A486,RM_Purchase_YTD!E:E)</f>
        <v>0</v>
      </c>
      <c r="F486" s="281">
        <f>SUMIF(RM_InboundProd_YTD!B:B,'RM Rollforward'!A486,RM_InboundProd_YTD!D:D)</f>
        <v>0</v>
      </c>
      <c r="G486" s="282">
        <f>SUMIF(RM_Outbound_YTD!B:B,'RM Rollforward'!A486,RM_Outbound_YTD!D:D)</f>
        <v>0</v>
      </c>
      <c r="H486" s="283">
        <f t="shared" si="1"/>
        <v>0</v>
      </c>
      <c r="I486" s="284"/>
      <c r="J486" s="319">
        <v>7.0</v>
      </c>
      <c r="K486" s="286">
        <v>1.0</v>
      </c>
      <c r="L486" s="287">
        <f t="shared" si="4"/>
        <v>0</v>
      </c>
      <c r="M486" s="320"/>
    </row>
    <row r="487" ht="15.75" customHeight="1">
      <c r="A487" s="31" t="s">
        <v>1352</v>
      </c>
      <c r="B487" s="31" t="s">
        <v>1353</v>
      </c>
      <c r="C487" s="31" t="s">
        <v>1082</v>
      </c>
      <c r="D487" s="280">
        <v>0.0</v>
      </c>
      <c r="E487" s="281">
        <f>SUMIF(RM_Purchase_YTD!C:C,'RM Rollforward'!A487,RM_Purchase_YTD!E:E)</f>
        <v>0</v>
      </c>
      <c r="F487" s="281">
        <f>SUMIF(RM_InboundProd_YTD!B:B,'RM Rollforward'!A487,RM_InboundProd_YTD!D:D)</f>
        <v>0</v>
      </c>
      <c r="G487" s="282">
        <f>SUMIF(RM_Outbound_YTD!B:B,'RM Rollforward'!A487,RM_Outbound_YTD!D:D)</f>
        <v>0</v>
      </c>
      <c r="H487" s="283">
        <f t="shared" si="1"/>
        <v>0</v>
      </c>
      <c r="I487" s="284"/>
      <c r="J487" s="319">
        <v>7.0</v>
      </c>
      <c r="K487" s="286">
        <v>1.0</v>
      </c>
      <c r="L487" s="287">
        <f t="shared" si="4"/>
        <v>0</v>
      </c>
      <c r="M487" s="320"/>
    </row>
    <row r="488" ht="15.75" customHeight="1">
      <c r="A488" s="31" t="s">
        <v>250</v>
      </c>
      <c r="B488" s="31" t="s">
        <v>251</v>
      </c>
      <c r="C488" s="31" t="s">
        <v>1082</v>
      </c>
      <c r="D488" s="280">
        <v>0.0</v>
      </c>
      <c r="E488" s="281">
        <f>SUMIF(RM_Purchase_YTD!C:C,'RM Rollforward'!A488,RM_Purchase_YTD!E:E)</f>
        <v>0</v>
      </c>
      <c r="F488" s="281">
        <f>SUMIF(RM_InboundProd_YTD!B:B,'RM Rollforward'!A488,RM_InboundProd_YTD!D:D)</f>
        <v>6000</v>
      </c>
      <c r="G488" s="282">
        <f>SUMIF(RM_Outbound_YTD!B:B,'RM Rollforward'!A488,RM_Outbound_YTD!D:D)</f>
        <v>2300</v>
      </c>
      <c r="H488" s="283">
        <f t="shared" si="1"/>
        <v>3700</v>
      </c>
      <c r="I488" s="284"/>
      <c r="J488" s="319">
        <v>7.0</v>
      </c>
      <c r="K488" s="286">
        <v>1.0</v>
      </c>
      <c r="L488" s="287">
        <f t="shared" si="4"/>
        <v>25900</v>
      </c>
      <c r="M488" s="320"/>
    </row>
    <row r="489" ht="15.75" customHeight="1">
      <c r="A489" s="31" t="s">
        <v>1354</v>
      </c>
      <c r="B489" s="31" t="s">
        <v>1355</v>
      </c>
      <c r="C489" s="31" t="s">
        <v>1082</v>
      </c>
      <c r="D489" s="280">
        <v>0.0</v>
      </c>
      <c r="E489" s="281">
        <f>SUMIF(RM_Purchase_YTD!C:C,'RM Rollforward'!A489,RM_Purchase_YTD!E:E)</f>
        <v>0</v>
      </c>
      <c r="F489" s="281">
        <f>SUMIF(RM_InboundProd_YTD!B:B,'RM Rollforward'!A489,RM_InboundProd_YTD!D:D)</f>
        <v>0</v>
      </c>
      <c r="G489" s="282">
        <f>SUMIF(RM_Outbound_YTD!B:B,'RM Rollforward'!A489,RM_Outbound_YTD!D:D)</f>
        <v>0</v>
      </c>
      <c r="H489" s="283">
        <f t="shared" si="1"/>
        <v>0</v>
      </c>
      <c r="I489" s="284"/>
      <c r="J489" s="319">
        <v>7.0</v>
      </c>
      <c r="K489" s="286">
        <v>1.0</v>
      </c>
      <c r="L489" s="287">
        <f t="shared" si="4"/>
        <v>0</v>
      </c>
      <c r="M489" s="320"/>
    </row>
    <row r="490" ht="15.75" customHeight="1">
      <c r="A490" s="31" t="s">
        <v>256</v>
      </c>
      <c r="B490" s="31" t="s">
        <v>257</v>
      </c>
      <c r="C490" s="31" t="s">
        <v>1082</v>
      </c>
      <c r="D490" s="280">
        <v>0.0</v>
      </c>
      <c r="E490" s="281">
        <f>SUMIF(RM_Purchase_YTD!C:C,'RM Rollforward'!A490,RM_Purchase_YTD!E:E)</f>
        <v>0</v>
      </c>
      <c r="F490" s="281">
        <f>SUMIF(RM_InboundProd_YTD!B:B,'RM Rollforward'!A490,RM_InboundProd_YTD!D:D)</f>
        <v>5900</v>
      </c>
      <c r="G490" s="282">
        <f>SUMIF(RM_Outbound_YTD!B:B,'RM Rollforward'!A490,RM_Outbound_YTD!D:D)</f>
        <v>4400</v>
      </c>
      <c r="H490" s="283">
        <f t="shared" si="1"/>
        <v>1500</v>
      </c>
      <c r="I490" s="284"/>
      <c r="J490" s="319">
        <v>7.0</v>
      </c>
      <c r="K490" s="286">
        <v>1.0</v>
      </c>
      <c r="L490" s="287">
        <f t="shared" si="4"/>
        <v>10500</v>
      </c>
      <c r="M490" s="320"/>
    </row>
    <row r="491" ht="15.75" customHeight="1">
      <c r="A491" s="31" t="s">
        <v>1356</v>
      </c>
      <c r="B491" s="31" t="s">
        <v>1357</v>
      </c>
      <c r="C491" s="31" t="s">
        <v>1082</v>
      </c>
      <c r="D491" s="280">
        <v>0.0</v>
      </c>
      <c r="E491" s="281">
        <f>SUMIF(RM_Purchase_YTD!C:C,'RM Rollforward'!A491,RM_Purchase_YTD!E:E)</f>
        <v>0</v>
      </c>
      <c r="F491" s="281">
        <f>SUMIF(RM_InboundProd_YTD!B:B,'RM Rollforward'!A491,RM_InboundProd_YTD!D:D)</f>
        <v>0</v>
      </c>
      <c r="G491" s="282">
        <f>SUMIF(RM_Outbound_YTD!B:B,'RM Rollforward'!A491,RM_Outbound_YTD!D:D)</f>
        <v>0</v>
      </c>
      <c r="H491" s="283">
        <f t="shared" si="1"/>
        <v>0</v>
      </c>
      <c r="I491" s="284"/>
      <c r="J491" s="319">
        <v>7.0</v>
      </c>
      <c r="K491" s="286">
        <v>1.0</v>
      </c>
      <c r="L491" s="287">
        <f t="shared" si="4"/>
        <v>0</v>
      </c>
      <c r="M491" s="320"/>
    </row>
    <row r="492" ht="15.75" customHeight="1">
      <c r="A492" s="31" t="s">
        <v>244</v>
      </c>
      <c r="B492" s="31" t="s">
        <v>245</v>
      </c>
      <c r="C492" s="31" t="s">
        <v>1082</v>
      </c>
      <c r="D492" s="280">
        <v>0.0</v>
      </c>
      <c r="E492" s="281">
        <f>SUMIF(RM_Purchase_YTD!C:C,'RM Rollforward'!A492,RM_Purchase_YTD!E:E)</f>
        <v>0</v>
      </c>
      <c r="F492" s="281">
        <f>SUMIF(RM_InboundProd_YTD!B:B,'RM Rollforward'!A492,RM_InboundProd_YTD!D:D)</f>
        <v>16800</v>
      </c>
      <c r="G492" s="282">
        <f>SUMIF(RM_Outbound_YTD!B:B,'RM Rollforward'!A492,RM_Outbound_YTD!D:D)</f>
        <v>9300</v>
      </c>
      <c r="H492" s="283">
        <f t="shared" si="1"/>
        <v>7500</v>
      </c>
      <c r="I492" s="284"/>
      <c r="J492" s="319">
        <v>7.0</v>
      </c>
      <c r="K492" s="286">
        <v>1.0</v>
      </c>
      <c r="L492" s="287">
        <f t="shared" si="4"/>
        <v>52500</v>
      </c>
      <c r="M492" s="320"/>
    </row>
    <row r="493" ht="15.75" customHeight="1">
      <c r="A493" s="31" t="s">
        <v>1358</v>
      </c>
      <c r="B493" s="31" t="s">
        <v>1359</v>
      </c>
      <c r="C493" s="31" t="s">
        <v>1082</v>
      </c>
      <c r="D493" s="280">
        <v>0.0</v>
      </c>
      <c r="E493" s="281">
        <f>SUMIF(RM_Purchase_YTD!C:C,'RM Rollforward'!A493,RM_Purchase_YTD!E:E)</f>
        <v>0</v>
      </c>
      <c r="F493" s="281">
        <f>SUMIF(RM_InboundProd_YTD!B:B,'RM Rollforward'!A493,RM_InboundProd_YTD!D:D)</f>
        <v>0</v>
      </c>
      <c r="G493" s="282">
        <f>SUMIF(RM_Outbound_YTD!B:B,'RM Rollforward'!A493,RM_Outbound_YTD!D:D)</f>
        <v>0</v>
      </c>
      <c r="H493" s="283">
        <f t="shared" si="1"/>
        <v>0</v>
      </c>
      <c r="I493" s="284"/>
      <c r="J493" s="319">
        <v>7.0</v>
      </c>
      <c r="K493" s="286">
        <v>1.0</v>
      </c>
      <c r="L493" s="287">
        <f t="shared" si="4"/>
        <v>0</v>
      </c>
      <c r="M493" s="320"/>
    </row>
    <row r="494" ht="15.75" customHeight="1">
      <c r="A494" s="31" t="s">
        <v>262</v>
      </c>
      <c r="B494" s="31" t="s">
        <v>263</v>
      </c>
      <c r="C494" s="31" t="s">
        <v>1082</v>
      </c>
      <c r="D494" s="280">
        <v>0.0</v>
      </c>
      <c r="E494" s="281">
        <f>SUMIF(RM_Purchase_YTD!C:C,'RM Rollforward'!A494,RM_Purchase_YTD!E:E)</f>
        <v>0</v>
      </c>
      <c r="F494" s="281">
        <f>SUMIF(RM_InboundProd_YTD!B:B,'RM Rollforward'!A494,RM_InboundProd_YTD!D:D)</f>
        <v>4600</v>
      </c>
      <c r="G494" s="282">
        <f>SUMIF(RM_Outbound_YTD!B:B,'RM Rollforward'!A494,RM_Outbound_YTD!D:D)</f>
        <v>1700</v>
      </c>
      <c r="H494" s="283">
        <f t="shared" si="1"/>
        <v>2900</v>
      </c>
      <c r="I494" s="284"/>
      <c r="J494" s="319">
        <v>7.0</v>
      </c>
      <c r="K494" s="286">
        <v>1.0</v>
      </c>
      <c r="L494" s="287">
        <f t="shared" si="4"/>
        <v>20300</v>
      </c>
      <c r="M494" s="320"/>
    </row>
    <row r="495" ht="15.75" customHeight="1">
      <c r="A495" s="31" t="s">
        <v>272</v>
      </c>
      <c r="B495" s="31" t="s">
        <v>273</v>
      </c>
      <c r="C495" s="31" t="s">
        <v>1082</v>
      </c>
      <c r="D495" s="280">
        <v>0.0</v>
      </c>
      <c r="E495" s="281">
        <f>SUMIF(RM_Purchase_YTD!C:C,'RM Rollforward'!A495,RM_Purchase_YTD!E:E)</f>
        <v>0</v>
      </c>
      <c r="F495" s="281">
        <f>SUMIF(RM_InboundProd_YTD!B:B,'RM Rollforward'!A495,RM_InboundProd_YTD!D:D)</f>
        <v>1100</v>
      </c>
      <c r="G495" s="282">
        <f>SUMIF(RM_Outbound_YTD!B:B,'RM Rollforward'!A495,RM_Outbound_YTD!D:D)</f>
        <v>150</v>
      </c>
      <c r="H495" s="283">
        <f t="shared" si="1"/>
        <v>950</v>
      </c>
      <c r="I495" s="284"/>
      <c r="J495" s="319">
        <v>7.0</v>
      </c>
      <c r="K495" s="286">
        <v>1.0</v>
      </c>
      <c r="L495" s="287">
        <f t="shared" si="4"/>
        <v>6650</v>
      </c>
      <c r="M495" s="320"/>
    </row>
    <row r="496" ht="15.75" customHeight="1">
      <c r="A496" s="31" t="s">
        <v>1360</v>
      </c>
      <c r="B496" s="31" t="s">
        <v>1361</v>
      </c>
      <c r="C496" s="31" t="s">
        <v>1082</v>
      </c>
      <c r="D496" s="280">
        <v>0.0</v>
      </c>
      <c r="E496" s="281">
        <f>SUMIF(RM_Purchase_YTD!C:C,'RM Rollforward'!A496,RM_Purchase_YTD!E:E)</f>
        <v>0</v>
      </c>
      <c r="F496" s="281">
        <f>SUMIF(RM_InboundProd_YTD!B:B,'RM Rollforward'!A496,RM_InboundProd_YTD!D:D)</f>
        <v>0</v>
      </c>
      <c r="G496" s="282">
        <f>SUMIF(RM_Outbound_YTD!B:B,'RM Rollforward'!A496,RM_Outbound_YTD!D:D)</f>
        <v>0</v>
      </c>
      <c r="H496" s="283">
        <f t="shared" si="1"/>
        <v>0</v>
      </c>
      <c r="I496" s="284"/>
      <c r="J496" s="319">
        <v>7.0</v>
      </c>
      <c r="K496" s="286">
        <v>1.0</v>
      </c>
      <c r="L496" s="287">
        <f t="shared" si="4"/>
        <v>0</v>
      </c>
      <c r="M496" s="320"/>
    </row>
    <row r="497" ht="15.75" customHeight="1">
      <c r="A497" s="31" t="s">
        <v>260</v>
      </c>
      <c r="B497" s="31" t="s">
        <v>261</v>
      </c>
      <c r="C497" s="31" t="s">
        <v>1082</v>
      </c>
      <c r="D497" s="280">
        <v>0.0</v>
      </c>
      <c r="E497" s="281">
        <f>SUMIF(RM_Purchase_YTD!C:C,'RM Rollforward'!A497,RM_Purchase_YTD!E:E)</f>
        <v>0</v>
      </c>
      <c r="F497" s="281">
        <f>SUMIF(RM_InboundProd_YTD!B:B,'RM Rollforward'!A497,RM_InboundProd_YTD!D:D)</f>
        <v>900</v>
      </c>
      <c r="G497" s="282">
        <f>SUMIF(RM_Outbound_YTD!B:B,'RM Rollforward'!A497,RM_Outbound_YTD!D:D)</f>
        <v>550</v>
      </c>
      <c r="H497" s="283">
        <f t="shared" si="1"/>
        <v>350</v>
      </c>
      <c r="I497" s="284"/>
      <c r="J497" s="319">
        <v>7.0</v>
      </c>
      <c r="K497" s="286">
        <v>1.0</v>
      </c>
      <c r="L497" s="287">
        <f t="shared" si="4"/>
        <v>2450</v>
      </c>
      <c r="M497" s="320"/>
    </row>
    <row r="498" ht="15.75" customHeight="1">
      <c r="A498" s="31" t="s">
        <v>1362</v>
      </c>
      <c r="B498" s="31" t="s">
        <v>1363</v>
      </c>
      <c r="C498" s="31" t="s">
        <v>1082</v>
      </c>
      <c r="D498" s="280">
        <v>0.0</v>
      </c>
      <c r="E498" s="281">
        <f>SUMIF(RM_Purchase_YTD!C:C,'RM Rollforward'!A498,RM_Purchase_YTD!E:E)</f>
        <v>0</v>
      </c>
      <c r="F498" s="281">
        <f>SUMIF(RM_InboundProd_YTD!B:B,'RM Rollforward'!A498,RM_InboundProd_YTD!D:D)</f>
        <v>0</v>
      </c>
      <c r="G498" s="282">
        <f>SUMIF(RM_Outbound_YTD!B:B,'RM Rollforward'!A498,RM_Outbound_YTD!D:D)</f>
        <v>0</v>
      </c>
      <c r="H498" s="283">
        <f t="shared" si="1"/>
        <v>0</v>
      </c>
      <c r="I498" s="284"/>
      <c r="J498" s="319">
        <v>7.0</v>
      </c>
      <c r="K498" s="286">
        <v>1.0</v>
      </c>
      <c r="L498" s="287">
        <f t="shared" si="4"/>
        <v>0</v>
      </c>
      <c r="M498" s="320"/>
    </row>
    <row r="499" ht="15.75" customHeight="1">
      <c r="A499" s="31" t="s">
        <v>1364</v>
      </c>
      <c r="B499" s="31" t="s">
        <v>1365</v>
      </c>
      <c r="C499" s="31" t="s">
        <v>729</v>
      </c>
      <c r="D499" s="280">
        <v>0.0</v>
      </c>
      <c r="E499" s="281">
        <f>SUMIF(RM_Purchase_YTD!C:C,'RM Rollforward'!A499,RM_Purchase_YTD!E:E)</f>
        <v>0</v>
      </c>
      <c r="F499" s="281">
        <f>SUMIF(RM_InboundProd_YTD!B:B,'RM Rollforward'!A499,RM_InboundProd_YTD!D:D)</f>
        <v>0</v>
      </c>
      <c r="G499" s="282">
        <f>SUMIF(RM_Outbound_YTD!B:B,'RM Rollforward'!A499,RM_Outbound_YTD!D:D)</f>
        <v>0</v>
      </c>
      <c r="H499" s="283">
        <f t="shared" si="1"/>
        <v>0</v>
      </c>
      <c r="I499" s="284"/>
      <c r="J499" s="319">
        <v>75.0</v>
      </c>
      <c r="K499" s="286">
        <v>1.0</v>
      </c>
      <c r="L499" s="287">
        <f t="shared" si="4"/>
        <v>0</v>
      </c>
      <c r="M499" s="320"/>
    </row>
    <row r="500" ht="15.75" customHeight="1">
      <c r="A500" s="31" t="s">
        <v>1366</v>
      </c>
      <c r="B500" s="31" t="s">
        <v>1367</v>
      </c>
      <c r="C500" s="31" t="s">
        <v>729</v>
      </c>
      <c r="D500" s="280">
        <v>0.0</v>
      </c>
      <c r="E500" s="281">
        <f>SUMIF(RM_Purchase_YTD!C:C,'RM Rollforward'!A500,RM_Purchase_YTD!E:E)</f>
        <v>0</v>
      </c>
      <c r="F500" s="281">
        <f>SUMIF(RM_InboundProd_YTD!B:B,'RM Rollforward'!A500,RM_InboundProd_YTD!D:D)</f>
        <v>0</v>
      </c>
      <c r="G500" s="282">
        <f>SUMIF(RM_Outbound_YTD!B:B,'RM Rollforward'!A500,RM_Outbound_YTD!D:D)</f>
        <v>0</v>
      </c>
      <c r="H500" s="283">
        <f t="shared" si="1"/>
        <v>0</v>
      </c>
      <c r="I500" s="284"/>
      <c r="J500" s="319">
        <v>75.0</v>
      </c>
      <c r="K500" s="286">
        <v>1.0</v>
      </c>
      <c r="L500" s="287">
        <f t="shared" si="4"/>
        <v>0</v>
      </c>
      <c r="M500" s="320"/>
    </row>
    <row r="501" ht="15.75" customHeight="1">
      <c r="A501" s="31" t="s">
        <v>663</v>
      </c>
      <c r="B501" s="31" t="s">
        <v>664</v>
      </c>
      <c r="C501" s="31" t="s">
        <v>729</v>
      </c>
      <c r="D501" s="280">
        <v>78.0</v>
      </c>
      <c r="E501" s="281">
        <f>SUMIF(RM_Purchase_YTD!C:C,'RM Rollforward'!A501,RM_Purchase_YTD!E:E)</f>
        <v>0</v>
      </c>
      <c r="F501" s="281">
        <f>SUMIF(RM_InboundProd_YTD!B:B,'RM Rollforward'!A501,RM_InboundProd_YTD!D:D)</f>
        <v>0</v>
      </c>
      <c r="G501" s="282">
        <f>SUMIF(RM_Outbound_YTD!B:B,'RM Rollforward'!A501,RM_Outbound_YTD!D:D)</f>
        <v>129</v>
      </c>
      <c r="H501" s="283">
        <f t="shared" si="1"/>
        <v>-51</v>
      </c>
      <c r="I501" s="284"/>
      <c r="J501" s="319">
        <v>75.0</v>
      </c>
      <c r="K501" s="286">
        <v>1.0</v>
      </c>
      <c r="L501" s="287">
        <f t="shared" si="4"/>
        <v>-3825</v>
      </c>
      <c r="M501" s="320"/>
    </row>
    <row r="502" ht="15.75" customHeight="1">
      <c r="A502" s="31" t="s">
        <v>576</v>
      </c>
      <c r="B502" s="31" t="s">
        <v>577</v>
      </c>
      <c r="C502" s="31" t="s">
        <v>729</v>
      </c>
      <c r="D502" s="280">
        <v>105.0</v>
      </c>
      <c r="E502" s="281">
        <f>SUMIF(RM_Purchase_YTD!C:C,'RM Rollforward'!A502,RM_Purchase_YTD!E:E)</f>
        <v>0</v>
      </c>
      <c r="F502" s="281">
        <f>SUMIF(RM_InboundProd_YTD!B:B,'RM Rollforward'!A502,RM_InboundProd_YTD!D:D)</f>
        <v>165</v>
      </c>
      <c r="G502" s="282">
        <f>SUMIF(RM_Outbound_YTD!B:B,'RM Rollforward'!A502,RM_Outbound_YTD!D:D)</f>
        <v>0</v>
      </c>
      <c r="H502" s="283">
        <f t="shared" si="1"/>
        <v>270</v>
      </c>
      <c r="I502" s="284"/>
      <c r="J502" s="319">
        <v>75.0</v>
      </c>
      <c r="K502" s="286">
        <v>1.0</v>
      </c>
      <c r="L502" s="287">
        <f t="shared" si="4"/>
        <v>20250</v>
      </c>
      <c r="M502" s="320"/>
    </row>
    <row r="503" ht="15.75" customHeight="1">
      <c r="A503" s="31" t="s">
        <v>578</v>
      </c>
      <c r="B503" s="31" t="s">
        <v>579</v>
      </c>
      <c r="C503" s="31" t="s">
        <v>729</v>
      </c>
      <c r="D503" s="280">
        <v>565.0</v>
      </c>
      <c r="E503" s="281">
        <f>SUMIF(RM_Purchase_YTD!C:C,'RM Rollforward'!A503,RM_Purchase_YTD!E:E)</f>
        <v>0</v>
      </c>
      <c r="F503" s="281">
        <f>SUMIF(RM_InboundProd_YTD!B:B,'RM Rollforward'!A503,RM_InboundProd_YTD!D:D)</f>
        <v>150</v>
      </c>
      <c r="G503" s="282">
        <f>SUMIF(RM_Outbound_YTD!B:B,'RM Rollforward'!A503,RM_Outbound_YTD!D:D)</f>
        <v>1089</v>
      </c>
      <c r="H503" s="283">
        <f t="shared" si="1"/>
        <v>-374</v>
      </c>
      <c r="I503" s="284"/>
      <c r="J503" s="319">
        <v>75.0</v>
      </c>
      <c r="K503" s="286">
        <v>1.0</v>
      </c>
      <c r="L503" s="287">
        <f t="shared" si="4"/>
        <v>-28050</v>
      </c>
      <c r="M503" s="320"/>
    </row>
    <row r="504" ht="15.75" customHeight="1">
      <c r="A504" s="31" t="s">
        <v>1368</v>
      </c>
      <c r="B504" s="31" t="s">
        <v>1369</v>
      </c>
      <c r="C504" s="31" t="s">
        <v>729</v>
      </c>
      <c r="D504" s="280">
        <v>0.0</v>
      </c>
      <c r="E504" s="281">
        <f>SUMIF(RM_Purchase_YTD!C:C,'RM Rollforward'!A504,RM_Purchase_YTD!E:E)</f>
        <v>0</v>
      </c>
      <c r="F504" s="281">
        <f>SUMIF(RM_InboundProd_YTD!B:B,'RM Rollforward'!A504,RM_InboundProd_YTD!D:D)</f>
        <v>0</v>
      </c>
      <c r="G504" s="282">
        <f>SUMIF(RM_Outbound_YTD!B:B,'RM Rollforward'!A504,RM_Outbound_YTD!D:D)</f>
        <v>0</v>
      </c>
      <c r="H504" s="283">
        <f t="shared" si="1"/>
        <v>0</v>
      </c>
      <c r="I504" s="284"/>
      <c r="J504" s="319">
        <v>75.0</v>
      </c>
      <c r="K504" s="286">
        <v>1.0</v>
      </c>
      <c r="L504" s="287">
        <f t="shared" si="4"/>
        <v>0</v>
      </c>
      <c r="M504" s="320"/>
    </row>
    <row r="505" ht="15.75" customHeight="1">
      <c r="A505" s="31" t="s">
        <v>1370</v>
      </c>
      <c r="B505" s="31" t="s">
        <v>1371</v>
      </c>
      <c r="C505" s="31" t="s">
        <v>729</v>
      </c>
      <c r="D505" s="280">
        <v>0.0</v>
      </c>
      <c r="E505" s="281">
        <f>SUMIF(RM_Purchase_YTD!C:C,'RM Rollforward'!A505,RM_Purchase_YTD!E:E)</f>
        <v>0</v>
      </c>
      <c r="F505" s="281">
        <f>SUMIF(RM_InboundProd_YTD!B:B,'RM Rollforward'!A505,RM_InboundProd_YTD!D:D)</f>
        <v>0</v>
      </c>
      <c r="G505" s="282">
        <f>SUMIF(RM_Outbound_YTD!B:B,'RM Rollforward'!A505,RM_Outbound_YTD!D:D)</f>
        <v>0</v>
      </c>
      <c r="H505" s="283">
        <f t="shared" si="1"/>
        <v>0</v>
      </c>
      <c r="I505" s="284"/>
      <c r="J505" s="319">
        <v>75.0</v>
      </c>
      <c r="K505" s="286">
        <v>1.0</v>
      </c>
      <c r="L505" s="287">
        <f t="shared" si="4"/>
        <v>0</v>
      </c>
      <c r="M505" s="320"/>
    </row>
    <row r="506" ht="15.75" customHeight="1">
      <c r="A506" s="31" t="s">
        <v>1372</v>
      </c>
      <c r="B506" s="31" t="s">
        <v>1373</v>
      </c>
      <c r="C506" s="31" t="s">
        <v>729</v>
      </c>
      <c r="D506" s="280">
        <v>0.0</v>
      </c>
      <c r="E506" s="281">
        <f>SUMIF(RM_Purchase_YTD!C:C,'RM Rollforward'!A506,RM_Purchase_YTD!E:E)</f>
        <v>0</v>
      </c>
      <c r="F506" s="281">
        <f>SUMIF(RM_InboundProd_YTD!B:B,'RM Rollforward'!A506,RM_InboundProd_YTD!D:D)</f>
        <v>0</v>
      </c>
      <c r="G506" s="282">
        <f>SUMIF(RM_Outbound_YTD!B:B,'RM Rollforward'!A506,RM_Outbound_YTD!D:D)</f>
        <v>0</v>
      </c>
      <c r="H506" s="283">
        <f t="shared" si="1"/>
        <v>0</v>
      </c>
      <c r="I506" s="284"/>
      <c r="J506" s="319">
        <v>75.0</v>
      </c>
      <c r="K506" s="286">
        <v>1.0</v>
      </c>
      <c r="L506" s="287">
        <f t="shared" si="4"/>
        <v>0</v>
      </c>
      <c r="M506" s="320"/>
    </row>
    <row r="507" ht="15.75" customHeight="1">
      <c r="A507" s="31" t="s">
        <v>1374</v>
      </c>
      <c r="B507" s="31" t="s">
        <v>1375</v>
      </c>
      <c r="C507" s="31" t="s">
        <v>729</v>
      </c>
      <c r="D507" s="280">
        <v>0.0</v>
      </c>
      <c r="E507" s="281">
        <f>SUMIF(RM_Purchase_YTD!C:C,'RM Rollforward'!A507,RM_Purchase_YTD!E:E)</f>
        <v>0</v>
      </c>
      <c r="F507" s="281">
        <f>SUMIF(RM_InboundProd_YTD!B:B,'RM Rollforward'!A507,RM_InboundProd_YTD!D:D)</f>
        <v>0</v>
      </c>
      <c r="G507" s="282">
        <f>SUMIF(RM_Outbound_YTD!B:B,'RM Rollforward'!A507,RM_Outbound_YTD!D:D)</f>
        <v>0</v>
      </c>
      <c r="H507" s="283">
        <f t="shared" si="1"/>
        <v>0</v>
      </c>
      <c r="I507" s="284"/>
      <c r="J507" s="319">
        <v>75.0</v>
      </c>
      <c r="K507" s="286">
        <v>1.0</v>
      </c>
      <c r="L507" s="287">
        <f t="shared" si="4"/>
        <v>0</v>
      </c>
      <c r="M507" s="320"/>
    </row>
    <row r="508" ht="15.75" customHeight="1">
      <c r="A508" s="31" t="s">
        <v>594</v>
      </c>
      <c r="B508" s="31" t="s">
        <v>595</v>
      </c>
      <c r="C508" s="31" t="s">
        <v>729</v>
      </c>
      <c r="D508" s="280">
        <v>0.0</v>
      </c>
      <c r="E508" s="281">
        <f>SUMIF(RM_Purchase_YTD!C:C,'RM Rollforward'!A508,RM_Purchase_YTD!E:E)</f>
        <v>0</v>
      </c>
      <c r="F508" s="281">
        <f>SUMIF(RM_InboundProd_YTD!B:B,'RM Rollforward'!A508,RM_InboundProd_YTD!D:D)</f>
        <v>2559</v>
      </c>
      <c r="G508" s="282">
        <f>SUMIF(RM_Outbound_YTD!B:B,'RM Rollforward'!A508,RM_Outbound_YTD!D:D)</f>
        <v>150</v>
      </c>
      <c r="H508" s="283">
        <f t="shared" si="1"/>
        <v>2409</v>
      </c>
      <c r="I508" s="284"/>
      <c r="J508" s="319">
        <v>75.0</v>
      </c>
      <c r="K508" s="286">
        <v>1.0</v>
      </c>
      <c r="L508" s="287">
        <f t="shared" si="4"/>
        <v>180675</v>
      </c>
      <c r="M508" s="320"/>
    </row>
    <row r="509" ht="15.75" customHeight="1">
      <c r="A509" s="31" t="s">
        <v>1376</v>
      </c>
      <c r="B509" s="31" t="s">
        <v>1377</v>
      </c>
      <c r="C509" s="31" t="s">
        <v>729</v>
      </c>
      <c r="D509" s="280">
        <v>312.0</v>
      </c>
      <c r="E509" s="281">
        <f>SUMIF(RM_Purchase_YTD!C:C,'RM Rollforward'!A509,RM_Purchase_YTD!E:E)</f>
        <v>0</v>
      </c>
      <c r="F509" s="281">
        <f>SUMIF(RM_InboundProd_YTD!B:B,'RM Rollforward'!A509,RM_InboundProd_YTD!D:D)</f>
        <v>0</v>
      </c>
      <c r="G509" s="282">
        <f>SUMIF(RM_Outbound_YTD!B:B,'RM Rollforward'!A509,RM_Outbound_YTD!D:D)</f>
        <v>0</v>
      </c>
      <c r="H509" s="283">
        <f t="shared" si="1"/>
        <v>312</v>
      </c>
      <c r="I509" s="284"/>
      <c r="J509" s="319">
        <v>75.0</v>
      </c>
      <c r="K509" s="286">
        <v>1.0</v>
      </c>
      <c r="L509" s="287">
        <f t="shared" si="4"/>
        <v>23400</v>
      </c>
      <c r="M509" s="320"/>
    </row>
    <row r="510" ht="15.75" customHeight="1">
      <c r="A510" s="31" t="s">
        <v>1378</v>
      </c>
      <c r="B510" s="31" t="s">
        <v>1379</v>
      </c>
      <c r="C510" s="31" t="s">
        <v>729</v>
      </c>
      <c r="D510" s="280">
        <v>63.0</v>
      </c>
      <c r="E510" s="281">
        <f>SUMIF(RM_Purchase_YTD!C:C,'RM Rollforward'!A510,RM_Purchase_YTD!E:E)</f>
        <v>0</v>
      </c>
      <c r="F510" s="281">
        <f>SUMIF(RM_InboundProd_YTD!B:B,'RM Rollforward'!A510,RM_InboundProd_YTD!D:D)</f>
        <v>0</v>
      </c>
      <c r="G510" s="282">
        <f>SUMIF(RM_Outbound_YTD!B:B,'RM Rollforward'!A510,RM_Outbound_YTD!D:D)</f>
        <v>0</v>
      </c>
      <c r="H510" s="283">
        <f t="shared" si="1"/>
        <v>63</v>
      </c>
      <c r="I510" s="284"/>
      <c r="J510" s="319">
        <v>75.0</v>
      </c>
      <c r="K510" s="286">
        <v>1.0</v>
      </c>
      <c r="L510" s="287">
        <f t="shared" si="4"/>
        <v>4725</v>
      </c>
      <c r="M510" s="320"/>
    </row>
    <row r="511" ht="15.75" customHeight="1">
      <c r="A511" s="31" t="s">
        <v>1380</v>
      </c>
      <c r="B511" s="31" t="s">
        <v>1381</v>
      </c>
      <c r="C511" s="31" t="s">
        <v>729</v>
      </c>
      <c r="D511" s="280">
        <v>0.0</v>
      </c>
      <c r="E511" s="281">
        <f>SUMIF(RM_Purchase_YTD!C:C,'RM Rollforward'!A511,RM_Purchase_YTD!E:E)</f>
        <v>0</v>
      </c>
      <c r="F511" s="281">
        <f>SUMIF(RM_InboundProd_YTD!B:B,'RM Rollforward'!A511,RM_InboundProd_YTD!D:D)</f>
        <v>0</v>
      </c>
      <c r="G511" s="282">
        <f>SUMIF(RM_Outbound_YTD!B:B,'RM Rollforward'!A511,RM_Outbound_YTD!D:D)</f>
        <v>0</v>
      </c>
      <c r="H511" s="283">
        <f t="shared" si="1"/>
        <v>0</v>
      </c>
      <c r="I511" s="284"/>
      <c r="J511" s="319">
        <v>75.0</v>
      </c>
      <c r="K511" s="286">
        <v>1.0</v>
      </c>
      <c r="L511" s="287">
        <f t="shared" si="4"/>
        <v>0</v>
      </c>
      <c r="M511" s="320"/>
    </row>
    <row r="512" ht="15.75" customHeight="1">
      <c r="A512" s="31" t="s">
        <v>1382</v>
      </c>
      <c r="B512" s="31" t="s">
        <v>1383</v>
      </c>
      <c r="C512" s="31" t="s">
        <v>729</v>
      </c>
      <c r="D512" s="280">
        <v>0.0</v>
      </c>
      <c r="E512" s="281">
        <f>SUMIF(RM_Purchase_YTD!C:C,'RM Rollforward'!A512,RM_Purchase_YTD!E:E)</f>
        <v>0</v>
      </c>
      <c r="F512" s="281">
        <f>SUMIF(RM_InboundProd_YTD!B:B,'RM Rollforward'!A512,RM_InboundProd_YTD!D:D)</f>
        <v>0</v>
      </c>
      <c r="G512" s="282">
        <f>SUMIF(RM_Outbound_YTD!B:B,'RM Rollforward'!A512,RM_Outbound_YTD!D:D)</f>
        <v>0</v>
      </c>
      <c r="H512" s="283">
        <f t="shared" si="1"/>
        <v>0</v>
      </c>
      <c r="I512" s="284"/>
      <c r="J512" s="319">
        <v>75.0</v>
      </c>
      <c r="K512" s="286">
        <v>1.0</v>
      </c>
      <c r="L512" s="287">
        <f t="shared" si="4"/>
        <v>0</v>
      </c>
      <c r="M512" s="320"/>
    </row>
    <row r="513" ht="15.75" customHeight="1">
      <c r="A513" s="31" t="s">
        <v>1384</v>
      </c>
      <c r="B513" s="31" t="s">
        <v>1385</v>
      </c>
      <c r="C513" s="31" t="s">
        <v>729</v>
      </c>
      <c r="D513" s="280">
        <v>0.0</v>
      </c>
      <c r="E513" s="281">
        <f>SUMIF(RM_Purchase_YTD!C:C,'RM Rollforward'!A513,RM_Purchase_YTD!E:E)</f>
        <v>0</v>
      </c>
      <c r="F513" s="281">
        <f>SUMIF(RM_InboundProd_YTD!B:B,'RM Rollforward'!A513,RM_InboundProd_YTD!D:D)</f>
        <v>0</v>
      </c>
      <c r="G513" s="282">
        <f>SUMIF(RM_Outbound_YTD!B:B,'RM Rollforward'!A513,RM_Outbound_YTD!D:D)</f>
        <v>0</v>
      </c>
      <c r="H513" s="283">
        <f t="shared" si="1"/>
        <v>0</v>
      </c>
      <c r="I513" s="284"/>
      <c r="J513" s="319">
        <v>75.0</v>
      </c>
      <c r="K513" s="286">
        <v>1.0</v>
      </c>
      <c r="L513" s="287">
        <f t="shared" si="4"/>
        <v>0</v>
      </c>
      <c r="M513" s="320"/>
    </row>
    <row r="514" ht="15.75" customHeight="1">
      <c r="A514" s="31" t="s">
        <v>1386</v>
      </c>
      <c r="B514" s="31" t="s">
        <v>1387</v>
      </c>
      <c r="C514" s="31" t="s">
        <v>729</v>
      </c>
      <c r="D514" s="280">
        <v>0.0</v>
      </c>
      <c r="E514" s="281">
        <f>SUMIF(RM_Purchase_YTD!C:C,'RM Rollforward'!A514,RM_Purchase_YTD!E:E)</f>
        <v>0</v>
      </c>
      <c r="F514" s="281">
        <f>SUMIF(RM_InboundProd_YTD!B:B,'RM Rollforward'!A514,RM_InboundProd_YTD!D:D)</f>
        <v>0</v>
      </c>
      <c r="G514" s="282">
        <f>SUMIF(RM_Outbound_YTD!B:B,'RM Rollforward'!A514,RM_Outbound_YTD!D:D)</f>
        <v>0</v>
      </c>
      <c r="H514" s="283">
        <f t="shared" si="1"/>
        <v>0</v>
      </c>
      <c r="I514" s="284"/>
      <c r="J514" s="319">
        <v>75.0</v>
      </c>
      <c r="K514" s="286">
        <v>1.0</v>
      </c>
      <c r="L514" s="287">
        <f t="shared" si="4"/>
        <v>0</v>
      </c>
      <c r="M514" s="320"/>
    </row>
    <row r="515" ht="15.75" customHeight="1">
      <c r="A515" s="31" t="s">
        <v>446</v>
      </c>
      <c r="B515" s="31" t="s">
        <v>447</v>
      </c>
      <c r="C515" s="31" t="s">
        <v>729</v>
      </c>
      <c r="D515" s="280">
        <v>174.0</v>
      </c>
      <c r="E515" s="281">
        <f>SUMIF(RM_Purchase_YTD!C:C,'RM Rollforward'!A515,RM_Purchase_YTD!E:E)</f>
        <v>0</v>
      </c>
      <c r="F515" s="281">
        <f>SUMIF(RM_InboundProd_YTD!B:B,'RM Rollforward'!A515,RM_InboundProd_YTD!D:D)</f>
        <v>11049</v>
      </c>
      <c r="G515" s="282">
        <f>SUMIF(RM_Outbound_YTD!B:B,'RM Rollforward'!A515,RM_Outbound_YTD!D:D)</f>
        <v>8425</v>
      </c>
      <c r="H515" s="283">
        <f t="shared" si="1"/>
        <v>2798</v>
      </c>
      <c r="I515" s="284"/>
      <c r="J515" s="319">
        <v>75.0</v>
      </c>
      <c r="K515" s="286">
        <v>1.0</v>
      </c>
      <c r="L515" s="287">
        <f t="shared" si="4"/>
        <v>209850</v>
      </c>
      <c r="M515" s="320"/>
    </row>
    <row r="516" ht="15.75" customHeight="1">
      <c r="A516" s="31" t="s">
        <v>1388</v>
      </c>
      <c r="B516" s="31" t="s">
        <v>1389</v>
      </c>
      <c r="C516" s="31" t="s">
        <v>729</v>
      </c>
      <c r="D516" s="280">
        <v>390.0</v>
      </c>
      <c r="E516" s="281">
        <f>SUMIF(RM_Purchase_YTD!C:C,'RM Rollforward'!A516,RM_Purchase_YTD!E:E)</f>
        <v>0</v>
      </c>
      <c r="F516" s="281">
        <f>SUMIF(RM_InboundProd_YTD!B:B,'RM Rollforward'!A516,RM_InboundProd_YTD!D:D)</f>
        <v>0</v>
      </c>
      <c r="G516" s="282">
        <f>SUMIF(RM_Outbound_YTD!B:B,'RM Rollforward'!A516,RM_Outbound_YTD!D:D)</f>
        <v>0</v>
      </c>
      <c r="H516" s="283">
        <f t="shared" si="1"/>
        <v>390</v>
      </c>
      <c r="I516" s="284"/>
      <c r="J516" s="319">
        <v>75.0</v>
      </c>
      <c r="K516" s="286">
        <v>1.0</v>
      </c>
      <c r="L516" s="287">
        <f t="shared" si="4"/>
        <v>29250</v>
      </c>
      <c r="M516" s="320"/>
    </row>
    <row r="517" ht="15.75" customHeight="1">
      <c r="A517" s="31" t="s">
        <v>1390</v>
      </c>
      <c r="B517" s="31" t="s">
        <v>1391</v>
      </c>
      <c r="C517" s="31" t="s">
        <v>729</v>
      </c>
      <c r="D517" s="280">
        <v>422.0</v>
      </c>
      <c r="E517" s="281">
        <f>SUMIF(RM_Purchase_YTD!C:C,'RM Rollforward'!A517,RM_Purchase_YTD!E:E)</f>
        <v>0</v>
      </c>
      <c r="F517" s="281">
        <f>SUMIF(RM_InboundProd_YTD!B:B,'RM Rollforward'!A517,RM_InboundProd_YTD!D:D)</f>
        <v>0</v>
      </c>
      <c r="G517" s="282">
        <f>SUMIF(RM_Outbound_YTD!B:B,'RM Rollforward'!A517,RM_Outbound_YTD!D:D)</f>
        <v>0</v>
      </c>
      <c r="H517" s="283">
        <f t="shared" si="1"/>
        <v>422</v>
      </c>
      <c r="I517" s="284"/>
      <c r="J517" s="319">
        <v>75.0</v>
      </c>
      <c r="K517" s="286">
        <v>1.0</v>
      </c>
      <c r="L517" s="287">
        <f t="shared" si="4"/>
        <v>31650</v>
      </c>
      <c r="M517" s="320"/>
    </row>
    <row r="518" ht="15.75" customHeight="1">
      <c r="A518" s="31" t="s">
        <v>536</v>
      </c>
      <c r="B518" s="31" t="s">
        <v>537</v>
      </c>
      <c r="C518" s="31" t="s">
        <v>729</v>
      </c>
      <c r="D518" s="280">
        <v>2049.0</v>
      </c>
      <c r="E518" s="281">
        <f>SUMIF(RM_Purchase_YTD!C:C,'RM Rollforward'!A518,RM_Purchase_YTD!E:E)</f>
        <v>0</v>
      </c>
      <c r="F518" s="281">
        <f>SUMIF(RM_InboundProd_YTD!B:B,'RM Rollforward'!A518,RM_InboundProd_YTD!D:D)</f>
        <v>3643</v>
      </c>
      <c r="G518" s="282">
        <f>SUMIF(RM_Outbound_YTD!B:B,'RM Rollforward'!A518,RM_Outbound_YTD!D:D)</f>
        <v>2005</v>
      </c>
      <c r="H518" s="283">
        <f t="shared" si="1"/>
        <v>3687</v>
      </c>
      <c r="I518" s="284"/>
      <c r="J518" s="319">
        <v>75.0</v>
      </c>
      <c r="K518" s="286">
        <v>1.0</v>
      </c>
      <c r="L518" s="287">
        <f t="shared" si="4"/>
        <v>276525</v>
      </c>
      <c r="M518" s="320"/>
    </row>
    <row r="519" ht="15.75" customHeight="1">
      <c r="A519" s="31" t="s">
        <v>490</v>
      </c>
      <c r="B519" s="31" t="s">
        <v>491</v>
      </c>
      <c r="C519" s="31" t="s">
        <v>729</v>
      </c>
      <c r="D519" s="280">
        <v>1976.0</v>
      </c>
      <c r="E519" s="281">
        <f>SUMIF(RM_Purchase_YTD!C:C,'RM Rollforward'!A519,RM_Purchase_YTD!E:E)</f>
        <v>0</v>
      </c>
      <c r="F519" s="281">
        <f>SUMIF(RM_InboundProd_YTD!B:B,'RM Rollforward'!A519,RM_InboundProd_YTD!D:D)</f>
        <v>1311</v>
      </c>
      <c r="G519" s="282">
        <f>SUMIF(RM_Outbound_YTD!B:B,'RM Rollforward'!A519,RM_Outbound_YTD!D:D)</f>
        <v>2420</v>
      </c>
      <c r="H519" s="283">
        <f t="shared" si="1"/>
        <v>867</v>
      </c>
      <c r="I519" s="284"/>
      <c r="J519" s="319">
        <v>75.0</v>
      </c>
      <c r="K519" s="286">
        <v>1.0</v>
      </c>
      <c r="L519" s="287">
        <f t="shared" si="4"/>
        <v>65025</v>
      </c>
      <c r="M519" s="320"/>
    </row>
    <row r="520" ht="15.75" customHeight="1">
      <c r="A520" s="31" t="s">
        <v>1392</v>
      </c>
      <c r="B520" s="31" t="s">
        <v>1393</v>
      </c>
      <c r="C520" s="31" t="s">
        <v>729</v>
      </c>
      <c r="D520" s="280">
        <v>0.0</v>
      </c>
      <c r="E520" s="281">
        <f>SUMIF(RM_Purchase_YTD!C:C,'RM Rollforward'!A520,RM_Purchase_YTD!E:E)</f>
        <v>0</v>
      </c>
      <c r="F520" s="281">
        <f>SUMIF(RM_InboundProd_YTD!B:B,'RM Rollforward'!A520,RM_InboundProd_YTD!D:D)</f>
        <v>0</v>
      </c>
      <c r="G520" s="282">
        <f>SUMIF(RM_Outbound_YTD!B:B,'RM Rollforward'!A520,RM_Outbound_YTD!D:D)</f>
        <v>0</v>
      </c>
      <c r="H520" s="283">
        <f t="shared" si="1"/>
        <v>0</v>
      </c>
      <c r="I520" s="284"/>
      <c r="J520" s="319">
        <v>75.0</v>
      </c>
      <c r="K520" s="286">
        <v>1.0</v>
      </c>
      <c r="L520" s="287">
        <f t="shared" si="4"/>
        <v>0</v>
      </c>
      <c r="M520" s="320"/>
    </row>
    <row r="521" ht="15.75" customHeight="1">
      <c r="A521" s="31" t="s">
        <v>478</v>
      </c>
      <c r="B521" s="31" t="s">
        <v>479</v>
      </c>
      <c r="C521" s="31" t="s">
        <v>729</v>
      </c>
      <c r="D521" s="280">
        <v>142.0</v>
      </c>
      <c r="E521" s="281">
        <f>SUMIF(RM_Purchase_YTD!C:C,'RM Rollforward'!A521,RM_Purchase_YTD!E:E)</f>
        <v>0</v>
      </c>
      <c r="F521" s="281">
        <f>SUMIF(RM_InboundProd_YTD!B:B,'RM Rollforward'!A521,RM_InboundProd_YTD!D:D)</f>
        <v>176</v>
      </c>
      <c r="G521" s="282">
        <f>SUMIF(RM_Outbound_YTD!B:B,'RM Rollforward'!A521,RM_Outbound_YTD!D:D)</f>
        <v>113</v>
      </c>
      <c r="H521" s="283">
        <f t="shared" si="1"/>
        <v>205</v>
      </c>
      <c r="I521" s="284"/>
      <c r="J521" s="319">
        <v>75.0</v>
      </c>
      <c r="K521" s="286">
        <v>1.0</v>
      </c>
      <c r="L521" s="287">
        <f t="shared" si="4"/>
        <v>15375</v>
      </c>
      <c r="M521" s="320"/>
    </row>
    <row r="522" ht="15.75" customHeight="1">
      <c r="A522" s="31" t="s">
        <v>1394</v>
      </c>
      <c r="B522" s="31" t="s">
        <v>1395</v>
      </c>
      <c r="C522" s="31" t="s">
        <v>729</v>
      </c>
      <c r="D522" s="280">
        <v>0.0</v>
      </c>
      <c r="E522" s="281">
        <f>SUMIF(RM_Purchase_YTD!C:C,'RM Rollforward'!A522,RM_Purchase_YTD!E:E)</f>
        <v>0</v>
      </c>
      <c r="F522" s="281">
        <f>SUMIF(RM_InboundProd_YTD!B:B,'RM Rollforward'!A522,RM_InboundProd_YTD!D:D)</f>
        <v>0</v>
      </c>
      <c r="G522" s="282">
        <f>SUMIF(RM_Outbound_YTD!B:B,'RM Rollforward'!A522,RM_Outbound_YTD!D:D)</f>
        <v>0</v>
      </c>
      <c r="H522" s="283">
        <f t="shared" si="1"/>
        <v>0</v>
      </c>
      <c r="I522" s="284"/>
      <c r="J522" s="319">
        <v>75.0</v>
      </c>
      <c r="K522" s="286">
        <v>1.0</v>
      </c>
      <c r="L522" s="287">
        <f t="shared" si="4"/>
        <v>0</v>
      </c>
      <c r="M522" s="320"/>
    </row>
    <row r="523" ht="15.75" customHeight="1">
      <c r="A523" s="31" t="s">
        <v>1396</v>
      </c>
      <c r="B523" s="31" t="s">
        <v>1397</v>
      </c>
      <c r="C523" s="31" t="s">
        <v>729</v>
      </c>
      <c r="D523" s="280">
        <v>0.0</v>
      </c>
      <c r="E523" s="281">
        <f>SUMIF(RM_Purchase_YTD!C:C,'RM Rollforward'!A523,RM_Purchase_YTD!E:E)</f>
        <v>0</v>
      </c>
      <c r="F523" s="281">
        <f>SUMIF(RM_InboundProd_YTD!B:B,'RM Rollforward'!A523,RM_InboundProd_YTD!D:D)</f>
        <v>0</v>
      </c>
      <c r="G523" s="282">
        <f>SUMIF(RM_Outbound_YTD!B:B,'RM Rollforward'!A523,RM_Outbound_YTD!D:D)</f>
        <v>0</v>
      </c>
      <c r="H523" s="283">
        <f t="shared" si="1"/>
        <v>0</v>
      </c>
      <c r="I523" s="284"/>
      <c r="J523" s="319">
        <v>75.0</v>
      </c>
      <c r="K523" s="286">
        <v>1.0</v>
      </c>
      <c r="L523" s="287">
        <f t="shared" si="4"/>
        <v>0</v>
      </c>
      <c r="M523" s="320"/>
      <c r="N523" s="101"/>
      <c r="O523" s="101"/>
      <c r="P523" s="101"/>
      <c r="Q523" s="101"/>
      <c r="R523" s="101"/>
      <c r="S523" s="101"/>
      <c r="T523" s="101"/>
      <c r="U523" s="101"/>
      <c r="V523" s="101"/>
    </row>
    <row r="524" ht="15.75" customHeight="1">
      <c r="A524" s="31" t="s">
        <v>1398</v>
      </c>
      <c r="B524" s="31" t="s">
        <v>1399</v>
      </c>
      <c r="C524" s="31" t="s">
        <v>729</v>
      </c>
      <c r="D524" s="280">
        <v>0.0</v>
      </c>
      <c r="E524" s="281">
        <f>SUMIF(RM_Purchase_YTD!C:C,'RM Rollforward'!A524,RM_Purchase_YTD!E:E)</f>
        <v>0</v>
      </c>
      <c r="F524" s="281">
        <f>SUMIF(RM_InboundProd_YTD!B:B,'RM Rollforward'!A524,RM_InboundProd_YTD!D:D)</f>
        <v>0</v>
      </c>
      <c r="G524" s="282">
        <f>SUMIF(RM_Outbound_YTD!B:B,'RM Rollforward'!A524,RM_Outbound_YTD!D:D)</f>
        <v>0</v>
      </c>
      <c r="H524" s="283">
        <f t="shared" si="1"/>
        <v>0</v>
      </c>
      <c r="I524" s="284"/>
      <c r="J524" s="319">
        <v>75.0</v>
      </c>
      <c r="K524" s="286">
        <v>1.0</v>
      </c>
      <c r="L524" s="287">
        <f t="shared" si="4"/>
        <v>0</v>
      </c>
      <c r="M524" s="320"/>
      <c r="N524" s="101"/>
      <c r="O524" s="101"/>
      <c r="P524" s="101"/>
      <c r="Q524" s="101"/>
      <c r="R524" s="101"/>
      <c r="S524" s="101"/>
      <c r="T524" s="101"/>
      <c r="U524" s="101"/>
      <c r="V524" s="101"/>
    </row>
    <row r="525" ht="15.75" customHeight="1">
      <c r="A525" s="31" t="s">
        <v>1400</v>
      </c>
      <c r="B525" s="31" t="s">
        <v>1401</v>
      </c>
      <c r="C525" s="31" t="s">
        <v>729</v>
      </c>
      <c r="D525" s="280">
        <v>0.0</v>
      </c>
      <c r="E525" s="281">
        <f>SUMIF(RM_Purchase_YTD!C:C,'RM Rollforward'!A525,RM_Purchase_YTD!E:E)</f>
        <v>0</v>
      </c>
      <c r="F525" s="281">
        <f>SUMIF(RM_InboundProd_YTD!B:B,'RM Rollforward'!A525,RM_InboundProd_YTD!D:D)</f>
        <v>0</v>
      </c>
      <c r="G525" s="282">
        <f>SUMIF(RM_Outbound_YTD!B:B,'RM Rollforward'!A525,RM_Outbound_YTD!D:D)</f>
        <v>0</v>
      </c>
      <c r="H525" s="283">
        <f t="shared" si="1"/>
        <v>0</v>
      </c>
      <c r="I525" s="284"/>
      <c r="J525" s="319">
        <v>75.0</v>
      </c>
      <c r="K525" s="286">
        <v>1.0</v>
      </c>
      <c r="L525" s="287">
        <f t="shared" si="4"/>
        <v>0</v>
      </c>
      <c r="M525" s="320"/>
      <c r="N525" s="101"/>
      <c r="O525" s="101"/>
      <c r="P525" s="101"/>
      <c r="Q525" s="101"/>
      <c r="R525" s="101"/>
      <c r="S525" s="101"/>
      <c r="T525" s="101"/>
      <c r="U525" s="101"/>
      <c r="V525" s="101"/>
    </row>
    <row r="526" ht="15.75" customHeight="1">
      <c r="A526" s="31" t="s">
        <v>496</v>
      </c>
      <c r="B526" s="31" t="s">
        <v>497</v>
      </c>
      <c r="C526" s="31" t="s">
        <v>729</v>
      </c>
      <c r="D526" s="280">
        <v>217.0</v>
      </c>
      <c r="E526" s="281">
        <f>SUMIF(RM_Purchase_YTD!C:C,'RM Rollforward'!A526,RM_Purchase_YTD!E:E)</f>
        <v>0</v>
      </c>
      <c r="F526" s="281">
        <f>SUMIF(RM_InboundProd_YTD!B:B,'RM Rollforward'!A526,RM_InboundProd_YTD!D:D)</f>
        <v>2528</v>
      </c>
      <c r="G526" s="282">
        <f>SUMIF(RM_Outbound_YTD!B:B,'RM Rollforward'!A526,RM_Outbound_YTD!D:D)</f>
        <v>2154</v>
      </c>
      <c r="H526" s="283">
        <f t="shared" si="1"/>
        <v>591</v>
      </c>
      <c r="I526" s="284"/>
      <c r="J526" s="319">
        <v>75.0</v>
      </c>
      <c r="K526" s="286">
        <v>1.0</v>
      </c>
      <c r="L526" s="287">
        <f t="shared" si="4"/>
        <v>44325</v>
      </c>
      <c r="M526" s="320"/>
      <c r="N526" s="101"/>
      <c r="O526" s="101"/>
      <c r="P526" s="101"/>
      <c r="Q526" s="101"/>
      <c r="R526" s="101"/>
      <c r="S526" s="101"/>
      <c r="T526" s="101"/>
      <c r="U526" s="101"/>
      <c r="V526" s="101"/>
    </row>
    <row r="527" ht="15.75" customHeight="1">
      <c r="A527" s="31" t="s">
        <v>498</v>
      </c>
      <c r="B527" s="31" t="s">
        <v>499</v>
      </c>
      <c r="C527" s="31" t="s">
        <v>729</v>
      </c>
      <c r="D527" s="280">
        <v>33.0</v>
      </c>
      <c r="E527" s="281">
        <f>SUMIF(RM_Purchase_YTD!C:C,'RM Rollforward'!A527,RM_Purchase_YTD!E:E)</f>
        <v>0</v>
      </c>
      <c r="F527" s="281">
        <f>SUMIF(RM_InboundProd_YTD!B:B,'RM Rollforward'!A527,RM_InboundProd_YTD!D:D)</f>
        <v>3327</v>
      </c>
      <c r="G527" s="282">
        <f>SUMIF(RM_Outbound_YTD!B:B,'RM Rollforward'!A527,RM_Outbound_YTD!D:D)</f>
        <v>3360</v>
      </c>
      <c r="H527" s="283">
        <f t="shared" si="1"/>
        <v>0</v>
      </c>
      <c r="I527" s="284"/>
      <c r="J527" s="319">
        <v>75.0</v>
      </c>
      <c r="K527" s="286">
        <v>1.0</v>
      </c>
      <c r="L527" s="287">
        <f t="shared" si="4"/>
        <v>0</v>
      </c>
      <c r="M527" s="320"/>
      <c r="N527" s="101"/>
      <c r="O527" s="101"/>
      <c r="P527" s="101"/>
      <c r="Q527" s="101"/>
      <c r="R527" s="101"/>
      <c r="S527" s="101"/>
      <c r="T527" s="101"/>
      <c r="U527" s="101"/>
      <c r="V527" s="101"/>
    </row>
    <row r="528" ht="15.75" customHeight="1">
      <c r="A528" s="31" t="s">
        <v>1402</v>
      </c>
      <c r="B528" s="31" t="s">
        <v>1403</v>
      </c>
      <c r="C528" s="31" t="s">
        <v>729</v>
      </c>
      <c r="D528" s="280">
        <v>0.0</v>
      </c>
      <c r="E528" s="281">
        <f>SUMIF(RM_Purchase_YTD!C:C,'RM Rollforward'!A528,RM_Purchase_YTD!E:E)</f>
        <v>0</v>
      </c>
      <c r="F528" s="281">
        <v>0.0</v>
      </c>
      <c r="G528" s="282">
        <f>SUMIF(RM_Outbound_YTD!B:B,'RM Rollforward'!A528,RM_Outbound_YTD!D:D)</f>
        <v>0</v>
      </c>
      <c r="H528" s="283">
        <f t="shared" si="1"/>
        <v>0</v>
      </c>
      <c r="I528" s="284"/>
      <c r="J528" s="319">
        <v>75.0</v>
      </c>
      <c r="K528" s="286">
        <v>1.0</v>
      </c>
      <c r="L528" s="287">
        <f t="shared" si="4"/>
        <v>0</v>
      </c>
      <c r="M528" s="320"/>
      <c r="N528" s="101"/>
      <c r="O528" s="101"/>
      <c r="P528" s="101"/>
      <c r="Q528" s="101"/>
      <c r="R528" s="101"/>
      <c r="S528" s="101"/>
      <c r="T528" s="101"/>
      <c r="U528" s="101"/>
      <c r="V528" s="101"/>
    </row>
    <row r="529" ht="15.75" customHeight="1">
      <c r="A529" s="31" t="s">
        <v>1404</v>
      </c>
      <c r="B529" s="31" t="s">
        <v>1405</v>
      </c>
      <c r="C529" s="31" t="s">
        <v>729</v>
      </c>
      <c r="D529" s="280">
        <v>0.0</v>
      </c>
      <c r="E529" s="281">
        <f>SUMIF(RM_Purchase_YTD!C:C,'RM Rollforward'!A529,RM_Purchase_YTD!E:E)</f>
        <v>0</v>
      </c>
      <c r="F529" s="281">
        <f>SUMIF(RM_InboundProd_YTD!B:B,'RM Rollforward'!A529,RM_InboundProd_YTD!D:D)</f>
        <v>0</v>
      </c>
      <c r="G529" s="282">
        <f>SUMIF(RM_Outbound_YTD!B:B,'RM Rollforward'!A529,RM_Outbound_YTD!D:D)</f>
        <v>0</v>
      </c>
      <c r="H529" s="283">
        <f t="shared" si="1"/>
        <v>0</v>
      </c>
      <c r="I529" s="284"/>
      <c r="J529" s="319">
        <v>75.0</v>
      </c>
      <c r="K529" s="286">
        <v>1.0</v>
      </c>
      <c r="L529" s="287">
        <f t="shared" si="4"/>
        <v>0</v>
      </c>
      <c r="M529" s="320"/>
      <c r="N529" s="101"/>
      <c r="O529" s="101"/>
      <c r="P529" s="101"/>
      <c r="Q529" s="101"/>
      <c r="R529" s="101"/>
      <c r="S529" s="101"/>
      <c r="T529" s="101"/>
      <c r="U529" s="101"/>
      <c r="V529" s="101"/>
    </row>
    <row r="530" ht="15.75" customHeight="1">
      <c r="A530" s="31" t="s">
        <v>1406</v>
      </c>
      <c r="B530" s="31" t="s">
        <v>1407</v>
      </c>
      <c r="C530" s="31" t="s">
        <v>729</v>
      </c>
      <c r="D530" s="280">
        <v>0.0</v>
      </c>
      <c r="E530" s="281">
        <f>SUMIF(RM_Purchase_YTD!C:C,'RM Rollforward'!A530,RM_Purchase_YTD!E:E)</f>
        <v>0</v>
      </c>
      <c r="F530" s="281">
        <f>SUMIF(RM_InboundProd_YTD!B:B,'RM Rollforward'!A530,RM_InboundProd_YTD!D:D)</f>
        <v>0</v>
      </c>
      <c r="G530" s="282">
        <f>SUMIF(RM_Outbound_YTD!B:B,'RM Rollforward'!A530,RM_Outbound_YTD!D:D)</f>
        <v>0</v>
      </c>
      <c r="H530" s="283">
        <f t="shared" si="1"/>
        <v>0</v>
      </c>
      <c r="I530" s="284"/>
      <c r="J530" s="319">
        <v>75.0</v>
      </c>
      <c r="K530" s="286">
        <v>1.0</v>
      </c>
      <c r="L530" s="287">
        <f t="shared" si="4"/>
        <v>0</v>
      </c>
      <c r="M530" s="320"/>
      <c r="N530" s="101"/>
      <c r="O530" s="101"/>
      <c r="P530" s="101"/>
      <c r="Q530" s="101"/>
      <c r="R530" s="101"/>
      <c r="S530" s="101"/>
      <c r="T530" s="101"/>
      <c r="U530" s="101"/>
      <c r="V530" s="101"/>
    </row>
    <row r="531" ht="15.75" customHeight="1">
      <c r="A531" s="31" t="s">
        <v>1408</v>
      </c>
      <c r="B531" s="31" t="s">
        <v>1409</v>
      </c>
      <c r="C531" s="31" t="s">
        <v>729</v>
      </c>
      <c r="D531" s="280">
        <v>0.0</v>
      </c>
      <c r="E531" s="281">
        <f>SUMIF(RM_Purchase_YTD!C:C,'RM Rollforward'!A531,RM_Purchase_YTD!E:E)</f>
        <v>0</v>
      </c>
      <c r="F531" s="281">
        <f>SUMIF(RM_InboundProd_YTD!B:B,'RM Rollforward'!A531,RM_InboundProd_YTD!D:D)</f>
        <v>0</v>
      </c>
      <c r="G531" s="282">
        <f>SUMIF(RM_Outbound_YTD!B:B,'RM Rollforward'!A531,RM_Outbound_YTD!D:D)</f>
        <v>0</v>
      </c>
      <c r="H531" s="283">
        <f t="shared" si="1"/>
        <v>0</v>
      </c>
      <c r="I531" s="284"/>
      <c r="J531" s="319">
        <v>75.0</v>
      </c>
      <c r="K531" s="286">
        <v>1.0</v>
      </c>
      <c r="L531" s="287">
        <f t="shared" si="4"/>
        <v>0</v>
      </c>
      <c r="M531" s="320"/>
      <c r="N531" s="101"/>
      <c r="O531" s="101"/>
      <c r="P531" s="101"/>
      <c r="Q531" s="101"/>
      <c r="R531" s="101"/>
      <c r="S531" s="101"/>
      <c r="T531" s="101"/>
      <c r="U531" s="101"/>
      <c r="V531" s="101"/>
    </row>
    <row r="532" ht="15.75" customHeight="1">
      <c r="A532" s="31" t="s">
        <v>1410</v>
      </c>
      <c r="B532" s="31" t="s">
        <v>1411</v>
      </c>
      <c r="C532" s="31" t="s">
        <v>729</v>
      </c>
      <c r="D532" s="280">
        <v>0.0</v>
      </c>
      <c r="E532" s="281">
        <f>SUMIF(RM_Purchase_YTD!C:C,'RM Rollforward'!A532,RM_Purchase_YTD!E:E)</f>
        <v>0</v>
      </c>
      <c r="F532" s="281">
        <f>SUMIF(RM_InboundProd_YTD!B:B,'RM Rollforward'!A532,RM_InboundProd_YTD!D:D)</f>
        <v>0</v>
      </c>
      <c r="G532" s="282">
        <f>SUMIF(RM_Outbound_YTD!B:B,'RM Rollforward'!A532,RM_Outbound_YTD!D:D)</f>
        <v>0</v>
      </c>
      <c r="H532" s="283">
        <f t="shared" si="1"/>
        <v>0</v>
      </c>
      <c r="I532" s="284"/>
      <c r="J532" s="319">
        <v>75.0</v>
      </c>
      <c r="K532" s="286">
        <v>1.0</v>
      </c>
      <c r="L532" s="287">
        <f t="shared" si="4"/>
        <v>0</v>
      </c>
      <c r="M532" s="320"/>
      <c r="N532" s="101"/>
      <c r="O532" s="101"/>
      <c r="P532" s="101"/>
      <c r="Q532" s="101"/>
      <c r="R532" s="101"/>
      <c r="S532" s="101"/>
      <c r="T532" s="101"/>
      <c r="U532" s="101"/>
      <c r="V532" s="101"/>
    </row>
    <row r="533" ht="15.75" customHeight="1">
      <c r="A533" s="31" t="s">
        <v>482</v>
      </c>
      <c r="B533" s="31" t="s">
        <v>483</v>
      </c>
      <c r="C533" s="31" t="s">
        <v>729</v>
      </c>
      <c r="D533" s="280">
        <v>163.0</v>
      </c>
      <c r="E533" s="281">
        <f>SUMIF(RM_Purchase_YTD!C:C,'RM Rollforward'!A533,RM_Purchase_YTD!E:E)</f>
        <v>0</v>
      </c>
      <c r="F533" s="281">
        <f>SUMIF(RM_InboundProd_YTD!B:B,'RM Rollforward'!A533,RM_InboundProd_YTD!D:D)</f>
        <v>5128</v>
      </c>
      <c r="G533" s="282">
        <f>SUMIF(RM_Outbound_YTD!B:B,'RM Rollforward'!A533,RM_Outbound_YTD!D:D)</f>
        <v>4981</v>
      </c>
      <c r="H533" s="283">
        <f t="shared" si="1"/>
        <v>310</v>
      </c>
      <c r="I533" s="284"/>
      <c r="J533" s="319">
        <v>75.0</v>
      </c>
      <c r="K533" s="286">
        <v>1.0</v>
      </c>
      <c r="L533" s="287">
        <f t="shared" si="4"/>
        <v>23250</v>
      </c>
      <c r="M533" s="320"/>
      <c r="N533" s="101"/>
      <c r="O533" s="101"/>
      <c r="P533" s="101"/>
      <c r="Q533" s="101"/>
      <c r="R533" s="101"/>
      <c r="S533" s="101"/>
      <c r="T533" s="101"/>
      <c r="U533" s="101"/>
      <c r="V533" s="101"/>
    </row>
    <row r="534" ht="15.75" customHeight="1">
      <c r="A534" s="31" t="s">
        <v>480</v>
      </c>
      <c r="B534" s="31" t="s">
        <v>481</v>
      </c>
      <c r="C534" s="31" t="s">
        <v>729</v>
      </c>
      <c r="D534" s="280">
        <v>133.0</v>
      </c>
      <c r="E534" s="281">
        <f>SUMIF(RM_Purchase_YTD!C:C,'RM Rollforward'!A534,RM_Purchase_YTD!E:E)</f>
        <v>0</v>
      </c>
      <c r="F534" s="281">
        <f>SUMIF(RM_InboundProd_YTD!B:B,'RM Rollforward'!A534,RM_InboundProd_YTD!D:D)</f>
        <v>231</v>
      </c>
      <c r="G534" s="282">
        <f>SUMIF(RM_Outbound_YTD!B:B,'RM Rollforward'!A534,RM_Outbound_YTD!D:D)</f>
        <v>337</v>
      </c>
      <c r="H534" s="283">
        <f t="shared" si="1"/>
        <v>27</v>
      </c>
      <c r="I534" s="284"/>
      <c r="J534" s="319">
        <v>75.0</v>
      </c>
      <c r="K534" s="286">
        <v>1.0</v>
      </c>
      <c r="L534" s="287">
        <f t="shared" si="4"/>
        <v>2025</v>
      </c>
      <c r="M534" s="320"/>
      <c r="N534" s="101"/>
      <c r="O534" s="101"/>
      <c r="P534" s="101"/>
      <c r="Q534" s="101"/>
      <c r="R534" s="101"/>
      <c r="S534" s="101"/>
      <c r="T534" s="101"/>
      <c r="U534" s="101"/>
      <c r="V534" s="101"/>
    </row>
    <row r="535" ht="15.75" customHeight="1">
      <c r="A535" s="31" t="s">
        <v>566</v>
      </c>
      <c r="B535" s="31" t="s">
        <v>567</v>
      </c>
      <c r="C535" s="31" t="s">
        <v>729</v>
      </c>
      <c r="D535" s="280">
        <v>0.0</v>
      </c>
      <c r="E535" s="281">
        <f>SUMIF(RM_Purchase_YTD!C:C,'RM Rollforward'!A535,RM_Purchase_YTD!E:E)</f>
        <v>0</v>
      </c>
      <c r="F535" s="281">
        <f>SUMIF(RM_InboundProd_YTD!B:B,'RM Rollforward'!A535,RM_InboundProd_YTD!D:D)</f>
        <v>782</v>
      </c>
      <c r="G535" s="282">
        <f>SUMIF(RM_Outbound_YTD!B:B,'RM Rollforward'!A535,RM_Outbound_YTD!D:D)</f>
        <v>744</v>
      </c>
      <c r="H535" s="283">
        <f t="shared" si="1"/>
        <v>38</v>
      </c>
      <c r="I535" s="284"/>
      <c r="J535" s="319">
        <v>75.0</v>
      </c>
      <c r="K535" s="286">
        <v>1.0</v>
      </c>
      <c r="L535" s="287">
        <f t="shared" si="4"/>
        <v>2850</v>
      </c>
      <c r="M535" s="320"/>
      <c r="N535" s="101"/>
      <c r="O535" s="101"/>
      <c r="P535" s="101"/>
      <c r="Q535" s="101"/>
      <c r="R535" s="101"/>
      <c r="S535" s="101"/>
      <c r="T535" s="101"/>
      <c r="U535" s="101"/>
      <c r="V535" s="101"/>
    </row>
    <row r="536" ht="15.75" customHeight="1">
      <c r="A536" s="31" t="s">
        <v>580</v>
      </c>
      <c r="B536" s="31" t="s">
        <v>581</v>
      </c>
      <c r="C536" s="31" t="s">
        <v>729</v>
      </c>
      <c r="D536" s="280">
        <v>0.0</v>
      </c>
      <c r="E536" s="281">
        <f>SUMIF(RM_Purchase_YTD!C:C,'RM Rollforward'!A536,RM_Purchase_YTD!E:E)</f>
        <v>0</v>
      </c>
      <c r="F536" s="281">
        <f>SUMIF(RM_InboundProd_YTD!B:B,'RM Rollforward'!A536,RM_InboundProd_YTD!D:D)</f>
        <v>876</v>
      </c>
      <c r="G536" s="282">
        <f>SUMIF(RM_Outbound_YTD!B:B,'RM Rollforward'!A536,RM_Outbound_YTD!D:D)</f>
        <v>629</v>
      </c>
      <c r="H536" s="283">
        <f t="shared" si="1"/>
        <v>247</v>
      </c>
      <c r="I536" s="284"/>
      <c r="J536" s="319">
        <v>75.0</v>
      </c>
      <c r="K536" s="286">
        <v>1.0</v>
      </c>
      <c r="L536" s="287">
        <f t="shared" si="4"/>
        <v>18525</v>
      </c>
      <c r="M536" s="320"/>
      <c r="N536" s="101"/>
      <c r="O536" s="101"/>
      <c r="P536" s="101"/>
      <c r="Q536" s="101"/>
      <c r="R536" s="101"/>
      <c r="S536" s="101"/>
      <c r="T536" s="101"/>
      <c r="U536" s="101"/>
      <c r="V536" s="101"/>
    </row>
    <row r="537" ht="15.75" customHeight="1">
      <c r="A537" s="31" t="s">
        <v>1412</v>
      </c>
      <c r="B537" s="31" t="s">
        <v>1413</v>
      </c>
      <c r="C537" s="31" t="s">
        <v>729</v>
      </c>
      <c r="D537" s="280">
        <v>0.0</v>
      </c>
      <c r="E537" s="281">
        <f>SUMIF(RM_Purchase_YTD!C:C,'RM Rollforward'!A537,RM_Purchase_YTD!E:E)</f>
        <v>0</v>
      </c>
      <c r="F537" s="281">
        <f>SUMIF(RM_InboundProd_YTD!B:B,'RM Rollforward'!A537,RM_InboundProd_YTD!D:D)</f>
        <v>0</v>
      </c>
      <c r="G537" s="282">
        <f>SUMIF(RM_Outbound_YTD!B:B,'RM Rollforward'!A537,RM_Outbound_YTD!D:D)</f>
        <v>0</v>
      </c>
      <c r="H537" s="283">
        <f t="shared" si="1"/>
        <v>0</v>
      </c>
      <c r="I537" s="284"/>
      <c r="J537" s="319">
        <v>75.0</v>
      </c>
      <c r="K537" s="286">
        <v>1.0</v>
      </c>
      <c r="L537" s="287">
        <f t="shared" si="4"/>
        <v>0</v>
      </c>
      <c r="M537" s="320"/>
      <c r="N537" s="101"/>
      <c r="O537" s="101"/>
      <c r="P537" s="101"/>
      <c r="Q537" s="101"/>
      <c r="R537" s="101"/>
      <c r="S537" s="101"/>
      <c r="T537" s="101"/>
      <c r="U537" s="101"/>
      <c r="V537" s="101"/>
    </row>
    <row r="538" ht="15.75" customHeight="1">
      <c r="A538" s="31" t="s">
        <v>1414</v>
      </c>
      <c r="B538" s="31" t="s">
        <v>1415</v>
      </c>
      <c r="C538" s="31" t="s">
        <v>729</v>
      </c>
      <c r="D538" s="280">
        <v>0.0</v>
      </c>
      <c r="E538" s="281">
        <f>SUMIF(RM_Purchase_YTD!C:C,'RM Rollforward'!A538,RM_Purchase_YTD!E:E)</f>
        <v>0</v>
      </c>
      <c r="F538" s="281">
        <f>SUMIF(RM_InboundProd_YTD!B:B,'RM Rollforward'!A538,RM_InboundProd_YTD!D:D)</f>
        <v>0</v>
      </c>
      <c r="G538" s="282">
        <f>SUMIF(RM_Outbound_YTD!B:B,'RM Rollforward'!A538,RM_Outbound_YTD!D:D)</f>
        <v>0</v>
      </c>
      <c r="H538" s="283">
        <f t="shared" si="1"/>
        <v>0</v>
      </c>
      <c r="I538" s="284"/>
      <c r="J538" s="319">
        <v>75.0</v>
      </c>
      <c r="K538" s="286">
        <v>1.0</v>
      </c>
      <c r="L538" s="287">
        <f t="shared" si="4"/>
        <v>0</v>
      </c>
      <c r="M538" s="320"/>
      <c r="N538" s="101"/>
      <c r="O538" s="101"/>
      <c r="P538" s="101"/>
      <c r="Q538" s="101"/>
      <c r="R538" s="101"/>
      <c r="S538" s="101"/>
      <c r="T538" s="101"/>
      <c r="U538" s="101"/>
      <c r="V538" s="101"/>
    </row>
    <row r="539" ht="15.75" customHeight="1">
      <c r="A539" s="31" t="s">
        <v>568</v>
      </c>
      <c r="B539" s="31" t="s">
        <v>569</v>
      </c>
      <c r="C539" s="31" t="s">
        <v>729</v>
      </c>
      <c r="D539" s="280">
        <v>33.0</v>
      </c>
      <c r="E539" s="281">
        <f>SUMIF(RM_Purchase_YTD!C:C,'RM Rollforward'!A539,RM_Purchase_YTD!E:E)</f>
        <v>0</v>
      </c>
      <c r="F539" s="281">
        <f>SUMIF(RM_InboundProd_YTD!B:B,'RM Rollforward'!A539,RM_InboundProd_YTD!D:D)</f>
        <v>825</v>
      </c>
      <c r="G539" s="282">
        <f>SUMIF(RM_Outbound_YTD!B:B,'RM Rollforward'!A539,RM_Outbound_YTD!D:D)</f>
        <v>825</v>
      </c>
      <c r="H539" s="283">
        <f t="shared" si="1"/>
        <v>33</v>
      </c>
      <c r="I539" s="284"/>
      <c r="J539" s="319">
        <v>75.0</v>
      </c>
      <c r="K539" s="286">
        <v>1.0</v>
      </c>
      <c r="L539" s="287">
        <f t="shared" si="4"/>
        <v>2475</v>
      </c>
      <c r="M539" s="320"/>
      <c r="N539" s="101"/>
      <c r="O539" s="101"/>
      <c r="P539" s="101"/>
      <c r="Q539" s="101"/>
      <c r="R539" s="101"/>
      <c r="S539" s="101"/>
      <c r="T539" s="101"/>
      <c r="U539" s="101"/>
      <c r="V539" s="101"/>
    </row>
    <row r="540" ht="15.75" customHeight="1">
      <c r="A540" s="31" t="s">
        <v>484</v>
      </c>
      <c r="B540" s="31" t="s">
        <v>485</v>
      </c>
      <c r="C540" s="31" t="s">
        <v>729</v>
      </c>
      <c r="D540" s="280">
        <v>484.0</v>
      </c>
      <c r="E540" s="281">
        <f>SUMIF(RM_Purchase_YTD!C:C,'RM Rollforward'!A540,RM_Purchase_YTD!E:E)</f>
        <v>0</v>
      </c>
      <c r="F540" s="281">
        <f>SUMIF(RM_InboundProd_YTD!B:B,'RM Rollforward'!A540,RM_InboundProd_YTD!D:D)</f>
        <v>2995</v>
      </c>
      <c r="G540" s="282">
        <f>SUMIF(RM_Outbound_YTD!B:B,'RM Rollforward'!A540,RM_Outbound_YTD!D:D)</f>
        <v>2969</v>
      </c>
      <c r="H540" s="283">
        <f t="shared" si="1"/>
        <v>510</v>
      </c>
      <c r="I540" s="284"/>
      <c r="J540" s="319">
        <v>75.0</v>
      </c>
      <c r="K540" s="286">
        <v>1.0</v>
      </c>
      <c r="L540" s="287">
        <f t="shared" si="4"/>
        <v>38250</v>
      </c>
      <c r="M540" s="320"/>
      <c r="N540" s="101"/>
      <c r="O540" s="101"/>
      <c r="P540" s="101"/>
      <c r="Q540" s="101"/>
      <c r="R540" s="101"/>
      <c r="S540" s="101"/>
      <c r="T540" s="101"/>
      <c r="U540" s="101"/>
      <c r="V540" s="101"/>
    </row>
    <row r="541" ht="15.75" customHeight="1">
      <c r="A541" s="31" t="s">
        <v>440</v>
      </c>
      <c r="B541" s="31" t="s">
        <v>441</v>
      </c>
      <c r="C541" s="31" t="s">
        <v>729</v>
      </c>
      <c r="D541" s="280">
        <v>222.0</v>
      </c>
      <c r="E541" s="281">
        <f>SUMIF(RM_Purchase_YTD!C:C,'RM Rollforward'!A541,RM_Purchase_YTD!E:E)</f>
        <v>0</v>
      </c>
      <c r="F541" s="281">
        <f>SUMIF(RM_InboundProd_YTD!B:B,'RM Rollforward'!A541,RM_InboundProd_YTD!D:D)</f>
        <v>2256</v>
      </c>
      <c r="G541" s="282">
        <f>SUMIF(RM_Outbound_YTD!B:B,'RM Rollforward'!A541,RM_Outbound_YTD!D:D)</f>
        <v>1964</v>
      </c>
      <c r="H541" s="283">
        <f t="shared" si="1"/>
        <v>514</v>
      </c>
      <c r="I541" s="284"/>
      <c r="J541" s="319">
        <v>75.0</v>
      </c>
      <c r="K541" s="286">
        <v>1.0</v>
      </c>
      <c r="L541" s="287">
        <f t="shared" si="4"/>
        <v>38550</v>
      </c>
      <c r="M541" s="320"/>
      <c r="N541" s="101"/>
      <c r="O541" s="101"/>
      <c r="P541" s="101"/>
      <c r="Q541" s="101"/>
      <c r="R541" s="101"/>
      <c r="S541" s="101"/>
      <c r="T541" s="101"/>
      <c r="U541" s="101"/>
      <c r="V541" s="101"/>
    </row>
    <row r="542" ht="15.75" customHeight="1">
      <c r="A542" s="31" t="s">
        <v>554</v>
      </c>
      <c r="B542" s="31" t="s">
        <v>555</v>
      </c>
      <c r="C542" s="31" t="s">
        <v>729</v>
      </c>
      <c r="D542" s="280">
        <v>0.0</v>
      </c>
      <c r="E542" s="281">
        <f>SUMIF(RM_Purchase_YTD!C:C,'RM Rollforward'!A542,RM_Purchase_YTD!E:E)</f>
        <v>0</v>
      </c>
      <c r="F542" s="281">
        <f>SUMIF(RM_InboundProd_YTD!B:B,'RM Rollforward'!A542,RM_InboundProd_YTD!D:D)</f>
        <v>158</v>
      </c>
      <c r="G542" s="282">
        <f>SUMIF(RM_Outbound_YTD!B:B,'RM Rollforward'!A542,RM_Outbound_YTD!D:D)</f>
        <v>158</v>
      </c>
      <c r="H542" s="283">
        <f t="shared" si="1"/>
        <v>0</v>
      </c>
      <c r="I542" s="284"/>
      <c r="J542" s="319">
        <v>75.0</v>
      </c>
      <c r="K542" s="286">
        <v>1.0</v>
      </c>
      <c r="L542" s="287">
        <f t="shared" si="4"/>
        <v>0</v>
      </c>
      <c r="M542" s="321"/>
    </row>
    <row r="543" ht="15.75" customHeight="1">
      <c r="A543" s="31" t="s">
        <v>1416</v>
      </c>
      <c r="B543" s="31" t="s">
        <v>1417</v>
      </c>
      <c r="C543" s="31" t="s">
        <v>729</v>
      </c>
      <c r="D543" s="280">
        <v>98.0</v>
      </c>
      <c r="E543" s="281">
        <f>SUMIF(RM_Purchase_YTD!C:C,'RM Rollforward'!A543,RM_Purchase_YTD!E:E)</f>
        <v>0</v>
      </c>
      <c r="F543" s="281">
        <f>SUMIF(RM_InboundProd_YTD!B:B,'RM Rollforward'!A543,RM_InboundProd_YTD!D:D)</f>
        <v>0</v>
      </c>
      <c r="G543" s="282">
        <f>SUMIF(RM_Outbound_YTD!B:B,'RM Rollforward'!A543,RM_Outbound_YTD!D:D)</f>
        <v>0</v>
      </c>
      <c r="H543" s="283">
        <f t="shared" si="1"/>
        <v>98</v>
      </c>
      <c r="I543" s="284"/>
      <c r="J543" s="319">
        <v>75.0</v>
      </c>
      <c r="K543" s="286">
        <v>1.0</v>
      </c>
      <c r="L543" s="287">
        <f t="shared" si="4"/>
        <v>7350</v>
      </c>
      <c r="M543" s="169"/>
    </row>
    <row r="544" ht="15.75" customHeight="1">
      <c r="A544" s="31" t="s">
        <v>556</v>
      </c>
      <c r="B544" s="31" t="s">
        <v>557</v>
      </c>
      <c r="C544" s="31" t="s">
        <v>729</v>
      </c>
      <c r="D544" s="280">
        <v>0.0</v>
      </c>
      <c r="E544" s="281">
        <f>SUMIF(RM_Purchase_YTD!C:C,'RM Rollforward'!A544,RM_Purchase_YTD!E:E)</f>
        <v>0</v>
      </c>
      <c r="F544" s="281">
        <f>SUMIF(RM_InboundProd_YTD!B:B,'RM Rollforward'!A544,RM_InboundProd_YTD!D:D)</f>
        <v>174</v>
      </c>
      <c r="G544" s="282">
        <f>SUMIF(RM_Outbound_YTD!B:B,'RM Rollforward'!A544,RM_Outbound_YTD!D:D)</f>
        <v>174</v>
      </c>
      <c r="H544" s="283">
        <f t="shared" si="1"/>
        <v>0</v>
      </c>
      <c r="I544" s="284"/>
      <c r="J544" s="319">
        <v>75.0</v>
      </c>
      <c r="K544" s="286">
        <v>1.0</v>
      </c>
      <c r="L544" s="287">
        <f t="shared" si="4"/>
        <v>0</v>
      </c>
      <c r="M544" s="169"/>
    </row>
    <row r="545" ht="15.75" customHeight="1">
      <c r="A545" s="31" t="s">
        <v>1418</v>
      </c>
      <c r="B545" s="31" t="s">
        <v>1419</v>
      </c>
      <c r="C545" s="31" t="s">
        <v>729</v>
      </c>
      <c r="D545" s="280">
        <v>0.0</v>
      </c>
      <c r="E545" s="281">
        <f>SUMIF(RM_Purchase_YTD!C:C,'RM Rollforward'!A545,RM_Purchase_YTD!E:E)</f>
        <v>0</v>
      </c>
      <c r="F545" s="281">
        <f>SUMIF(RM_InboundProd_YTD!B:B,'RM Rollforward'!A545,RM_InboundProd_YTD!D:D)</f>
        <v>0</v>
      </c>
      <c r="G545" s="282">
        <f>SUMIF(RM_Outbound_YTD!B:B,'RM Rollforward'!A545,RM_Outbound_YTD!D:D)</f>
        <v>0</v>
      </c>
      <c r="H545" s="283">
        <f t="shared" si="1"/>
        <v>0</v>
      </c>
      <c r="I545" s="284"/>
      <c r="J545" s="319">
        <v>75.0</v>
      </c>
      <c r="K545" s="286">
        <v>1.0</v>
      </c>
      <c r="L545" s="287">
        <f t="shared" si="4"/>
        <v>0</v>
      </c>
      <c r="M545" s="169"/>
    </row>
    <row r="546" ht="15.75" customHeight="1">
      <c r="A546" s="31" t="s">
        <v>1420</v>
      </c>
      <c r="B546" s="31" t="s">
        <v>1421</v>
      </c>
      <c r="C546" s="31" t="s">
        <v>729</v>
      </c>
      <c r="D546" s="280">
        <v>0.0</v>
      </c>
      <c r="E546" s="281">
        <f>SUMIF(RM_Purchase_YTD!C:C,'RM Rollforward'!A546,RM_Purchase_YTD!E:E)</f>
        <v>0</v>
      </c>
      <c r="F546" s="281">
        <f>SUMIF(RM_InboundProd_YTD!B:B,'RM Rollforward'!A546,RM_InboundProd_YTD!D:D)</f>
        <v>0</v>
      </c>
      <c r="G546" s="282">
        <f>SUMIF(RM_Outbound_YTD!B:B,'RM Rollforward'!A546,RM_Outbound_YTD!D:D)</f>
        <v>0</v>
      </c>
      <c r="H546" s="283">
        <f t="shared" si="1"/>
        <v>0</v>
      </c>
      <c r="I546" s="284"/>
      <c r="J546" s="319">
        <v>75.0</v>
      </c>
      <c r="K546" s="286">
        <v>1.0</v>
      </c>
      <c r="L546" s="287">
        <f t="shared" si="4"/>
        <v>0</v>
      </c>
      <c r="M546" s="169"/>
    </row>
    <row r="547" ht="15.75" customHeight="1">
      <c r="A547" s="31" t="s">
        <v>1422</v>
      </c>
      <c r="B547" s="31" t="s">
        <v>1423</v>
      </c>
      <c r="C547" s="31" t="s">
        <v>729</v>
      </c>
      <c r="D547" s="280">
        <v>106.0</v>
      </c>
      <c r="E547" s="281">
        <f>SUMIF(RM_Purchase_YTD!C:C,'RM Rollforward'!A547,RM_Purchase_YTD!E:E)</f>
        <v>0</v>
      </c>
      <c r="F547" s="281">
        <f>SUMIF(RM_InboundProd_YTD!B:B,'RM Rollforward'!A547,RM_InboundProd_YTD!D:D)</f>
        <v>0</v>
      </c>
      <c r="G547" s="282">
        <f>SUMIF(RM_Outbound_YTD!B:B,'RM Rollforward'!A547,RM_Outbound_YTD!D:D)</f>
        <v>0</v>
      </c>
      <c r="H547" s="283">
        <f t="shared" si="1"/>
        <v>106</v>
      </c>
      <c r="I547" s="284"/>
      <c r="J547" s="319">
        <v>75.0</v>
      </c>
      <c r="K547" s="286">
        <v>1.0</v>
      </c>
      <c r="L547" s="287">
        <f t="shared" si="4"/>
        <v>7950</v>
      </c>
      <c r="M547" s="169"/>
    </row>
    <row r="548" ht="15.75" customHeight="1">
      <c r="A548" s="31" t="s">
        <v>462</v>
      </c>
      <c r="B548" s="31" t="s">
        <v>463</v>
      </c>
      <c r="C548" s="31" t="s">
        <v>729</v>
      </c>
      <c r="D548" s="280">
        <v>22.0</v>
      </c>
      <c r="E548" s="281">
        <f>SUMIF(RM_Purchase_YTD!C:C,'RM Rollforward'!A548,RM_Purchase_YTD!E:E)</f>
        <v>0</v>
      </c>
      <c r="F548" s="281">
        <f>SUMIF(RM_InboundProd_YTD!B:B,'RM Rollforward'!A548,RM_InboundProd_YTD!D:D)</f>
        <v>3079</v>
      </c>
      <c r="G548" s="282">
        <f>SUMIF(RM_Outbound_YTD!B:B,'RM Rollforward'!A548,RM_Outbound_YTD!D:D)</f>
        <v>2573</v>
      </c>
      <c r="H548" s="283">
        <f t="shared" si="1"/>
        <v>528</v>
      </c>
      <c r="I548" s="284"/>
      <c r="J548" s="319">
        <v>75.0</v>
      </c>
      <c r="K548" s="286">
        <v>1.0</v>
      </c>
      <c r="L548" s="287">
        <f t="shared" si="4"/>
        <v>39600</v>
      </c>
      <c r="M548" s="169"/>
    </row>
    <row r="549" ht="15.75" customHeight="1">
      <c r="A549" s="31" t="s">
        <v>1424</v>
      </c>
      <c r="B549" s="31" t="s">
        <v>1425</v>
      </c>
      <c r="C549" s="31" t="s">
        <v>729</v>
      </c>
      <c r="D549" s="280">
        <v>0.0</v>
      </c>
      <c r="E549" s="281">
        <f>SUMIF(RM_Purchase_YTD!C:C,'RM Rollforward'!A549,RM_Purchase_YTD!E:E)</f>
        <v>0</v>
      </c>
      <c r="F549" s="281">
        <f>SUMIF(RM_InboundProd_YTD!B:B,'RM Rollforward'!A549,RM_InboundProd_YTD!D:D)</f>
        <v>0</v>
      </c>
      <c r="G549" s="282">
        <f>SUMIF(RM_Outbound_YTD!B:B,'RM Rollforward'!A549,RM_Outbound_YTD!D:D)</f>
        <v>0</v>
      </c>
      <c r="H549" s="283">
        <f t="shared" si="1"/>
        <v>0</v>
      </c>
      <c r="I549" s="284"/>
      <c r="J549" s="319">
        <v>75.0</v>
      </c>
      <c r="K549" s="286">
        <v>1.0</v>
      </c>
      <c r="L549" s="287">
        <f t="shared" si="4"/>
        <v>0</v>
      </c>
      <c r="M549" s="169"/>
    </row>
    <row r="550" ht="15.75" customHeight="1">
      <c r="A550" s="246" t="s">
        <v>1426</v>
      </c>
      <c r="B550" s="322" t="s">
        <v>1427</v>
      </c>
      <c r="C550" s="279" t="s">
        <v>729</v>
      </c>
      <c r="D550" s="280">
        <v>0.0</v>
      </c>
      <c r="E550" s="281">
        <f>SUMIF(RM_Purchase_YTD!C:C,'RM Rollforward'!A550,RM_Purchase_YTD!E:E)</f>
        <v>0</v>
      </c>
      <c r="F550" s="281">
        <f>SUMIF(RM_InboundProd_YTD!B:B,'RM Rollforward'!A550,RM_InboundProd_YTD!D:D)</f>
        <v>0</v>
      </c>
      <c r="G550" s="282">
        <f>SUMIF(RM_Outbound_YTD!B:B,'RM Rollforward'!A550,RM_Outbound_YTD!D:D)</f>
        <v>0</v>
      </c>
      <c r="H550" s="283">
        <f t="shared" si="1"/>
        <v>0</v>
      </c>
      <c r="I550" s="284"/>
      <c r="J550" s="319">
        <v>75.0</v>
      </c>
      <c r="K550" s="286">
        <v>1.0</v>
      </c>
      <c r="L550" s="287">
        <f t="shared" si="4"/>
        <v>0</v>
      </c>
      <c r="M550" s="169"/>
    </row>
    <row r="551" ht="15.75" customHeight="1">
      <c r="A551" s="246" t="s">
        <v>582</v>
      </c>
      <c r="B551" s="116" t="s">
        <v>583</v>
      </c>
      <c r="C551" s="279" t="s">
        <v>729</v>
      </c>
      <c r="D551" s="280">
        <v>0.0</v>
      </c>
      <c r="E551" s="281">
        <f>SUMIF(RM_Purchase_YTD!C:C,'RM Rollforward'!A551,RM_Purchase_YTD!E:E)</f>
        <v>0</v>
      </c>
      <c r="F551" s="281">
        <f>SUMIF(RM_InboundProd_YTD!B:B,'RM Rollforward'!A551,RM_InboundProd_YTD!D:D)</f>
        <v>363</v>
      </c>
      <c r="G551" s="282">
        <f>SUMIF(RM_Outbound_YTD!B:B,'RM Rollforward'!A551,RM_Outbound_YTD!D:D)</f>
        <v>0</v>
      </c>
      <c r="H551" s="283">
        <f t="shared" si="1"/>
        <v>363</v>
      </c>
      <c r="I551" s="284"/>
      <c r="J551" s="319">
        <v>75.0</v>
      </c>
      <c r="K551" s="286">
        <v>1.0</v>
      </c>
      <c r="L551" s="287">
        <f t="shared" si="4"/>
        <v>27225</v>
      </c>
      <c r="M551" s="169"/>
    </row>
    <row r="552" ht="15.75" customHeight="1">
      <c r="A552" s="124" t="s">
        <v>1428</v>
      </c>
      <c r="B552" s="116" t="s">
        <v>1429</v>
      </c>
      <c r="C552" s="279" t="s">
        <v>729</v>
      </c>
      <c r="D552" s="280">
        <v>0.0</v>
      </c>
      <c r="E552" s="281">
        <f>SUMIF(RM_Purchase_YTD!C:C,'RM Rollforward'!A552,RM_Purchase_YTD!E:E)</f>
        <v>0</v>
      </c>
      <c r="F552" s="281">
        <f>SUMIF(RM_InboundProd_YTD!B:B,'RM Rollforward'!A552,RM_InboundProd_YTD!D:D)</f>
        <v>0</v>
      </c>
      <c r="G552" s="282">
        <f>SUMIF(RM_Outbound_YTD!B:B,'RM Rollforward'!A552,RM_Outbound_YTD!D:D)</f>
        <v>0</v>
      </c>
      <c r="H552" s="283">
        <f t="shared" si="1"/>
        <v>0</v>
      </c>
      <c r="I552" s="284"/>
      <c r="J552" s="319">
        <v>75.0</v>
      </c>
      <c r="K552" s="286">
        <v>1.0</v>
      </c>
      <c r="L552" s="287">
        <f t="shared" si="4"/>
        <v>0</v>
      </c>
      <c r="M552" s="169"/>
    </row>
    <row r="553" ht="15.75" customHeight="1">
      <c r="A553" s="124" t="s">
        <v>1430</v>
      </c>
      <c r="B553" s="116" t="s">
        <v>1431</v>
      </c>
      <c r="C553" s="279" t="s">
        <v>729</v>
      </c>
      <c r="D553" s="280">
        <v>0.0</v>
      </c>
      <c r="E553" s="281">
        <f>SUMIF(RM_Purchase_YTD!C:C,'RM Rollforward'!A553,RM_Purchase_YTD!E:E)</f>
        <v>0</v>
      </c>
      <c r="F553" s="281">
        <f>SUMIF(RM_InboundProd_YTD!B:B,'RM Rollforward'!A553,RM_InboundProd_YTD!D:D)</f>
        <v>0</v>
      </c>
      <c r="G553" s="282">
        <f>SUMIF(RM_Outbound_YTD!B:B,'RM Rollforward'!A553,RM_Outbound_YTD!D:D)</f>
        <v>0</v>
      </c>
      <c r="H553" s="283">
        <f t="shared" si="1"/>
        <v>0</v>
      </c>
      <c r="I553" s="284"/>
      <c r="J553" s="319">
        <v>75.0</v>
      </c>
      <c r="K553" s="286">
        <v>1.0</v>
      </c>
      <c r="L553" s="287">
        <f t="shared" si="4"/>
        <v>0</v>
      </c>
      <c r="M553" s="169"/>
    </row>
    <row r="554" ht="15.75" customHeight="1">
      <c r="A554" s="72" t="s">
        <v>1432</v>
      </c>
      <c r="B554" s="116" t="s">
        <v>1433</v>
      </c>
      <c r="C554" s="279" t="s">
        <v>729</v>
      </c>
      <c r="D554" s="280">
        <v>0.0</v>
      </c>
      <c r="E554" s="281">
        <f>SUMIF(RM_Purchase_YTD!C:C,'RM Rollforward'!A554,RM_Purchase_YTD!E:E)</f>
        <v>0</v>
      </c>
      <c r="F554" s="281">
        <f>SUMIF(RM_InboundProd_YTD!B:B,'RM Rollforward'!A554,RM_InboundProd_YTD!D:D)</f>
        <v>0</v>
      </c>
      <c r="G554" s="282">
        <f>SUMIF(RM_Outbound_YTD!B:B,'RM Rollforward'!A554,RM_Outbound_YTD!D:D)</f>
        <v>0</v>
      </c>
      <c r="H554" s="283">
        <f t="shared" si="1"/>
        <v>0</v>
      </c>
      <c r="I554" s="284"/>
      <c r="J554" s="319">
        <v>75.0</v>
      </c>
      <c r="K554" s="286">
        <v>1.0</v>
      </c>
      <c r="L554" s="287">
        <f t="shared" si="4"/>
        <v>0</v>
      </c>
      <c r="M554" s="169"/>
    </row>
    <row r="555" ht="15.75" customHeight="1">
      <c r="A555" s="72" t="s">
        <v>550</v>
      </c>
      <c r="B555" s="116" t="s">
        <v>551</v>
      </c>
      <c r="C555" s="279" t="s">
        <v>729</v>
      </c>
      <c r="D555" s="280">
        <v>0.0</v>
      </c>
      <c r="E555" s="281">
        <f>SUMIF(RM_Purchase_YTD!C:C,'RM Rollforward'!A555,RM_Purchase_YTD!E:E)</f>
        <v>0</v>
      </c>
      <c r="F555" s="281">
        <f>SUMIF(RM_InboundProd_YTD!B:B,'RM Rollforward'!A555,RM_InboundProd_YTD!D:D)</f>
        <v>1449</v>
      </c>
      <c r="G555" s="282">
        <f>SUMIF(RM_Outbound_YTD!B:B,'RM Rollforward'!A555,RM_Outbound_YTD!D:D)</f>
        <v>1171</v>
      </c>
      <c r="H555" s="283">
        <f t="shared" si="1"/>
        <v>278</v>
      </c>
      <c r="I555" s="284"/>
      <c r="J555" s="319">
        <v>75.0</v>
      </c>
      <c r="K555" s="286">
        <v>1.0</v>
      </c>
      <c r="L555" s="287">
        <f t="shared" si="4"/>
        <v>20850</v>
      </c>
      <c r="M555" s="169"/>
    </row>
    <row r="556" ht="15.75" customHeight="1">
      <c r="A556" s="72" t="s">
        <v>542</v>
      </c>
      <c r="B556" s="116" t="s">
        <v>543</v>
      </c>
      <c r="C556" s="279" t="s">
        <v>729</v>
      </c>
      <c r="D556" s="280">
        <v>0.0</v>
      </c>
      <c r="E556" s="281">
        <f>SUMIF(RM_Purchase_YTD!C:C,'RM Rollforward'!A556,RM_Purchase_YTD!E:E)</f>
        <v>0</v>
      </c>
      <c r="F556" s="281">
        <f>SUMIF(RM_InboundProd_YTD!B:B,'RM Rollforward'!A556,RM_InboundProd_YTD!D:D)</f>
        <v>1726</v>
      </c>
      <c r="G556" s="282">
        <f>SUMIF(RM_Outbound_YTD!B:B,'RM Rollforward'!A556,RM_Outbound_YTD!D:D)</f>
        <v>1726</v>
      </c>
      <c r="H556" s="283">
        <f t="shared" si="1"/>
        <v>0</v>
      </c>
      <c r="I556" s="284"/>
      <c r="J556" s="319">
        <v>75.0</v>
      </c>
      <c r="K556" s="286">
        <v>1.0</v>
      </c>
      <c r="L556" s="287">
        <f t="shared" si="4"/>
        <v>0</v>
      </c>
      <c r="M556" s="169"/>
    </row>
    <row r="557" ht="15.75" customHeight="1">
      <c r="A557" s="72" t="s">
        <v>574</v>
      </c>
      <c r="B557" s="116" t="s">
        <v>575</v>
      </c>
      <c r="C557" s="279" t="s">
        <v>729</v>
      </c>
      <c r="D557" s="280">
        <v>0.0</v>
      </c>
      <c r="E557" s="281">
        <f>SUMIF(RM_Purchase_YTD!C:C,'RM Rollforward'!A557,RM_Purchase_YTD!E:E)</f>
        <v>0</v>
      </c>
      <c r="F557" s="281">
        <f>SUMIF(RM_InboundProd_YTD!B:B,'RM Rollforward'!A557,RM_InboundProd_YTD!D:D)</f>
        <v>1465</v>
      </c>
      <c r="G557" s="282">
        <f>SUMIF(RM_Outbound_YTD!B:B,'RM Rollforward'!A557,RM_Outbound_YTD!D:D)</f>
        <v>1347</v>
      </c>
      <c r="H557" s="283">
        <f t="shared" si="1"/>
        <v>118</v>
      </c>
      <c r="I557" s="284"/>
      <c r="J557" s="319">
        <v>75.0</v>
      </c>
      <c r="K557" s="286">
        <v>1.0</v>
      </c>
      <c r="L557" s="287">
        <f t="shared" si="4"/>
        <v>8850</v>
      </c>
      <c r="M557" s="169"/>
    </row>
    <row r="558" ht="15.75" customHeight="1">
      <c r="A558" s="72" t="s">
        <v>586</v>
      </c>
      <c r="B558" s="116" t="s">
        <v>587</v>
      </c>
      <c r="C558" s="279" t="s">
        <v>729</v>
      </c>
      <c r="D558" s="280">
        <v>0.0</v>
      </c>
      <c r="E558" s="281">
        <f>SUMIF(RM_Purchase_YTD!C:C,'RM Rollforward'!A558,RM_Purchase_YTD!E:E)</f>
        <v>0</v>
      </c>
      <c r="F558" s="281">
        <f>SUMIF(RM_InboundProd_YTD!B:B,'RM Rollforward'!A558,RM_InboundProd_YTD!D:D)</f>
        <v>14</v>
      </c>
      <c r="G558" s="282">
        <f>SUMIF(RM_Outbound_YTD!B:B,'RM Rollforward'!A558,RM_Outbound_YTD!D:D)</f>
        <v>363</v>
      </c>
      <c r="H558" s="283">
        <f t="shared" si="1"/>
        <v>-349</v>
      </c>
      <c r="I558" s="284"/>
      <c r="J558" s="319">
        <v>75.0</v>
      </c>
      <c r="K558" s="286">
        <v>1.0</v>
      </c>
      <c r="L558" s="287">
        <f t="shared" si="4"/>
        <v>-26175</v>
      </c>
      <c r="M558" s="169"/>
    </row>
    <row r="559" ht="15.75" customHeight="1">
      <c r="A559" s="72" t="s">
        <v>558</v>
      </c>
      <c r="B559" s="116" t="s">
        <v>559</v>
      </c>
      <c r="C559" s="279" t="s">
        <v>729</v>
      </c>
      <c r="D559" s="280">
        <v>0.0</v>
      </c>
      <c r="E559" s="281">
        <f>SUMIF(RM_Purchase_YTD!C:C,'RM Rollforward'!A559,RM_Purchase_YTD!E:E)</f>
        <v>0</v>
      </c>
      <c r="F559" s="281">
        <f>SUMIF(RM_InboundProd_YTD!B:B,'RM Rollforward'!A559,RM_InboundProd_YTD!D:D)</f>
        <v>1527</v>
      </c>
      <c r="G559" s="282">
        <f>SUMIF(RM_Outbound_YTD!B:B,'RM Rollforward'!A559,RM_Outbound_YTD!D:D)</f>
        <v>1527</v>
      </c>
      <c r="H559" s="283">
        <f t="shared" si="1"/>
        <v>0</v>
      </c>
      <c r="I559" s="284"/>
      <c r="J559" s="319">
        <v>75.0</v>
      </c>
      <c r="K559" s="286">
        <v>1.0</v>
      </c>
      <c r="L559" s="287">
        <f t="shared" si="4"/>
        <v>0</v>
      </c>
      <c r="M559" s="169"/>
    </row>
    <row r="560" ht="15.75" customHeight="1">
      <c r="A560" s="72" t="s">
        <v>564</v>
      </c>
      <c r="B560" s="116" t="s">
        <v>565</v>
      </c>
      <c r="C560" s="279" t="s">
        <v>729</v>
      </c>
      <c r="D560" s="280">
        <v>0.0</v>
      </c>
      <c r="E560" s="281">
        <f>SUMIF(RM_Purchase_YTD!C:C,'RM Rollforward'!A560,RM_Purchase_YTD!E:E)</f>
        <v>0</v>
      </c>
      <c r="F560" s="281">
        <f>SUMIF(RM_InboundProd_YTD!B:B,'RM Rollforward'!A560,RM_InboundProd_YTD!D:D)</f>
        <v>1360</v>
      </c>
      <c r="G560" s="282">
        <f>SUMIF(RM_Outbound_YTD!B:B,'RM Rollforward'!A560,RM_Outbound_YTD!D:D)</f>
        <v>1360</v>
      </c>
      <c r="H560" s="283">
        <f t="shared" si="1"/>
        <v>0</v>
      </c>
      <c r="I560" s="284"/>
      <c r="J560" s="319">
        <v>75.0</v>
      </c>
      <c r="K560" s="286">
        <v>1.0</v>
      </c>
      <c r="L560" s="287">
        <f t="shared" si="4"/>
        <v>0</v>
      </c>
      <c r="M560" s="169"/>
    </row>
    <row r="561" ht="15.75" customHeight="1">
      <c r="A561" s="72" t="s">
        <v>476</v>
      </c>
      <c r="B561" s="116" t="s">
        <v>477</v>
      </c>
      <c r="C561" s="279" t="s">
        <v>729</v>
      </c>
      <c r="D561" s="280">
        <v>47.0</v>
      </c>
      <c r="E561" s="281">
        <f>SUMIF(RM_Purchase_YTD!C:C,'RM Rollforward'!A561,RM_Purchase_YTD!E:E)</f>
        <v>0</v>
      </c>
      <c r="F561" s="281">
        <f>SUMIF(RM_InboundProd_YTD!B:B,'RM Rollforward'!A561,RM_InboundProd_YTD!D:D)</f>
        <v>760</v>
      </c>
      <c r="G561" s="282">
        <f>SUMIF(RM_Outbound_YTD!B:B,'RM Rollforward'!A561,RM_Outbound_YTD!D:D)</f>
        <v>705</v>
      </c>
      <c r="H561" s="283">
        <f t="shared" si="1"/>
        <v>102</v>
      </c>
      <c r="I561" s="284"/>
      <c r="J561" s="319">
        <v>75.0</v>
      </c>
      <c r="K561" s="286">
        <v>1.0</v>
      </c>
      <c r="L561" s="287">
        <f t="shared" si="4"/>
        <v>7650</v>
      </c>
      <c r="M561" s="169"/>
    </row>
    <row r="562" ht="15.75" customHeight="1">
      <c r="A562" s="124" t="s">
        <v>546</v>
      </c>
      <c r="B562" s="116" t="s">
        <v>547</v>
      </c>
      <c r="C562" s="279" t="s">
        <v>729</v>
      </c>
      <c r="D562" s="280">
        <v>250.0</v>
      </c>
      <c r="E562" s="281">
        <f>SUMIF(RM_Purchase_YTD!C:C,'RM Rollforward'!A562,RM_Purchase_YTD!E:E)</f>
        <v>0</v>
      </c>
      <c r="F562" s="281">
        <f>SUMIF(RM_InboundProd_YTD!B:B,'RM Rollforward'!A562,RM_InboundProd_YTD!D:D)</f>
        <v>1205</v>
      </c>
      <c r="G562" s="282">
        <f>SUMIF(RM_Outbound_YTD!B:B,'RM Rollforward'!A562,RM_Outbound_YTD!D:D)</f>
        <v>1455</v>
      </c>
      <c r="H562" s="283">
        <f t="shared" si="1"/>
        <v>0</v>
      </c>
      <c r="I562" s="284"/>
      <c r="J562" s="319">
        <v>75.0</v>
      </c>
      <c r="K562" s="286">
        <v>1.0</v>
      </c>
      <c r="L562" s="287">
        <f t="shared" si="4"/>
        <v>0</v>
      </c>
      <c r="M562" s="169"/>
    </row>
    <row r="563" ht="15.75" customHeight="1">
      <c r="A563" s="124" t="s">
        <v>562</v>
      </c>
      <c r="B563" s="116" t="s">
        <v>563</v>
      </c>
      <c r="C563" s="279" t="s">
        <v>729</v>
      </c>
      <c r="D563" s="280">
        <v>45.0</v>
      </c>
      <c r="E563" s="281">
        <f>SUMIF(RM_Purchase_YTD!C:C,'RM Rollforward'!A563,RM_Purchase_YTD!E:E)</f>
        <v>0</v>
      </c>
      <c r="F563" s="281">
        <f>SUMIF(RM_InboundProd_YTD!B:B,'RM Rollforward'!A563,RM_InboundProd_YTD!D:D)</f>
        <v>198</v>
      </c>
      <c r="G563" s="282">
        <f>SUMIF(RM_Outbound_YTD!B:B,'RM Rollforward'!A563,RM_Outbound_YTD!D:D)</f>
        <v>122</v>
      </c>
      <c r="H563" s="283">
        <f t="shared" si="1"/>
        <v>121</v>
      </c>
      <c r="I563" s="284"/>
      <c r="J563" s="319">
        <v>75.0</v>
      </c>
      <c r="K563" s="286">
        <v>1.0</v>
      </c>
      <c r="L563" s="287">
        <f t="shared" si="4"/>
        <v>9075</v>
      </c>
      <c r="M563" s="169"/>
    </row>
    <row r="564" ht="15.75" customHeight="1">
      <c r="A564" s="246" t="s">
        <v>699</v>
      </c>
      <c r="B564" s="323" t="s">
        <v>700</v>
      </c>
      <c r="C564" s="279" t="s">
        <v>729</v>
      </c>
      <c r="D564" s="280">
        <v>44.0</v>
      </c>
      <c r="E564" s="281">
        <f>SUMIF(RM_Purchase_YTD!C:C,'RM Rollforward'!A564,RM_Purchase_YTD!E:E)</f>
        <v>0</v>
      </c>
      <c r="F564" s="281">
        <f>SUMIF(RM_InboundProd_YTD!B:B,'RM Rollforward'!A564,RM_InboundProd_YTD!D:D)</f>
        <v>0</v>
      </c>
      <c r="G564" s="282">
        <f>SUMIF(RM_Outbound_YTD!B:B,'RM Rollforward'!A564,RM_Outbound_YTD!D:D)</f>
        <v>44</v>
      </c>
      <c r="H564" s="283">
        <f t="shared" si="1"/>
        <v>0</v>
      </c>
      <c r="I564" s="284"/>
      <c r="J564" s="319">
        <v>75.0</v>
      </c>
      <c r="K564" s="286">
        <v>1.0</v>
      </c>
      <c r="L564" s="287">
        <f t="shared" si="4"/>
        <v>0</v>
      </c>
      <c r="M564" s="169"/>
    </row>
    <row r="565" ht="15.75" customHeight="1">
      <c r="A565" s="246" t="s">
        <v>572</v>
      </c>
      <c r="B565" s="324" t="s">
        <v>573</v>
      </c>
      <c r="C565" s="279" t="s">
        <v>729</v>
      </c>
      <c r="D565" s="280">
        <v>0.0</v>
      </c>
      <c r="E565" s="281">
        <f>SUMIF(RM_Purchase_YTD!C:C,'RM Rollforward'!A565,RM_Purchase_YTD!E:E)</f>
        <v>0</v>
      </c>
      <c r="F565" s="281">
        <f>SUMIF(RM_InboundProd_YTD!B:B,'RM Rollforward'!A565,RM_InboundProd_YTD!D:D)</f>
        <v>226</v>
      </c>
      <c r="G565" s="282">
        <f>SUMIF(RM_Outbound_YTD!B:B,'RM Rollforward'!A565,RM_Outbound_YTD!D:D)</f>
        <v>226</v>
      </c>
      <c r="H565" s="283">
        <f t="shared" si="1"/>
        <v>0</v>
      </c>
      <c r="I565" s="284"/>
      <c r="J565" s="319">
        <v>75.0</v>
      </c>
      <c r="K565" s="286">
        <v>1.0</v>
      </c>
      <c r="L565" s="287">
        <f t="shared" si="4"/>
        <v>0</v>
      </c>
      <c r="M565" s="169"/>
    </row>
    <row r="566" ht="15.75" customHeight="1">
      <c r="A566" s="124" t="s">
        <v>1434</v>
      </c>
      <c r="B566" s="116" t="s">
        <v>1435</v>
      </c>
      <c r="C566" s="279" t="s">
        <v>729</v>
      </c>
      <c r="D566" s="280">
        <v>21.0</v>
      </c>
      <c r="E566" s="281">
        <f>SUMIF(RM_Purchase_YTD!C:C,'RM Rollforward'!A566,RM_Purchase_YTD!E:E)</f>
        <v>0</v>
      </c>
      <c r="F566" s="281">
        <f>SUMIF(RM_InboundProd_YTD!B:B,'RM Rollforward'!A566,RM_InboundProd_YTD!D:D)</f>
        <v>0</v>
      </c>
      <c r="G566" s="282">
        <f>SUMIF(RM_Outbound_YTD!B:B,'RM Rollforward'!A566,RM_Outbound_YTD!D:D)</f>
        <v>0</v>
      </c>
      <c r="H566" s="283">
        <f t="shared" si="1"/>
        <v>21</v>
      </c>
      <c r="I566" s="284"/>
      <c r="J566" s="319">
        <v>75.0</v>
      </c>
      <c r="K566" s="286">
        <v>1.0</v>
      </c>
      <c r="L566" s="287">
        <f t="shared" si="4"/>
        <v>1575</v>
      </c>
      <c r="M566" s="169"/>
    </row>
    <row r="567" ht="15.75" customHeight="1">
      <c r="A567" s="72" t="s">
        <v>1436</v>
      </c>
      <c r="B567" s="116" t="s">
        <v>1437</v>
      </c>
      <c r="C567" s="279" t="s">
        <v>729</v>
      </c>
      <c r="D567" s="280">
        <v>0.0</v>
      </c>
      <c r="E567" s="281">
        <f>SUMIF(RM_Purchase_YTD!C:C,'RM Rollforward'!A567,RM_Purchase_YTD!E:E)</f>
        <v>0</v>
      </c>
      <c r="F567" s="281">
        <f>SUMIF(RM_InboundProd_YTD!B:B,'RM Rollforward'!A567,RM_InboundProd_YTD!D:D)</f>
        <v>0</v>
      </c>
      <c r="G567" s="282">
        <f>SUMIF(RM_Outbound_YTD!B:B,'RM Rollforward'!A567,RM_Outbound_YTD!D:D)</f>
        <v>0</v>
      </c>
      <c r="H567" s="283">
        <f t="shared" si="1"/>
        <v>0</v>
      </c>
      <c r="I567" s="284"/>
      <c r="J567" s="319">
        <v>75.0</v>
      </c>
      <c r="K567" s="286">
        <v>1.0</v>
      </c>
      <c r="L567" s="287">
        <f t="shared" si="4"/>
        <v>0</v>
      </c>
      <c r="M567" s="169"/>
    </row>
    <row r="568" ht="15.75" customHeight="1">
      <c r="A568" s="72" t="s">
        <v>474</v>
      </c>
      <c r="B568" s="149" t="s">
        <v>475</v>
      </c>
      <c r="C568" s="279" t="s">
        <v>729</v>
      </c>
      <c r="D568" s="280">
        <v>93.0</v>
      </c>
      <c r="E568" s="281">
        <f>SUMIF(RM_Purchase_YTD!C:C,'RM Rollforward'!A568,RM_Purchase_YTD!E:E)</f>
        <v>0</v>
      </c>
      <c r="F568" s="281">
        <f>SUMIF(RM_InboundProd_YTD!B:B,'RM Rollforward'!A568,RM_InboundProd_YTD!D:D)</f>
        <v>840</v>
      </c>
      <c r="G568" s="282">
        <f>SUMIF(RM_Outbound_YTD!B:B,'RM Rollforward'!A568,RM_Outbound_YTD!D:D)</f>
        <v>823</v>
      </c>
      <c r="H568" s="283">
        <f t="shared" si="1"/>
        <v>110</v>
      </c>
      <c r="I568" s="284"/>
      <c r="J568" s="319">
        <v>75.0</v>
      </c>
      <c r="K568" s="286">
        <v>1.0</v>
      </c>
      <c r="L568" s="287">
        <f t="shared" si="4"/>
        <v>8250</v>
      </c>
      <c r="M568" s="169"/>
    </row>
    <row r="569" ht="15.75" customHeight="1">
      <c r="A569" s="72" t="s">
        <v>697</v>
      </c>
      <c r="B569" s="149" t="s">
        <v>698</v>
      </c>
      <c r="C569" s="279" t="s">
        <v>729</v>
      </c>
      <c r="D569" s="280">
        <v>43.0</v>
      </c>
      <c r="E569" s="281">
        <f>SUMIF(RM_Purchase_YTD!C:C,'RM Rollforward'!A569,RM_Purchase_YTD!E:E)</f>
        <v>0</v>
      </c>
      <c r="F569" s="281">
        <f>SUMIF(RM_InboundProd_YTD!B:B,'RM Rollforward'!A569,RM_InboundProd_YTD!D:D)</f>
        <v>0</v>
      </c>
      <c r="G569" s="282">
        <f>SUMIF(RM_Outbound_YTD!B:B,'RM Rollforward'!A569,RM_Outbound_YTD!D:D)</f>
        <v>43</v>
      </c>
      <c r="H569" s="283">
        <f t="shared" si="1"/>
        <v>0</v>
      </c>
      <c r="I569" s="284"/>
      <c r="J569" s="319">
        <v>75.0</v>
      </c>
      <c r="K569" s="286">
        <v>1.0</v>
      </c>
      <c r="L569" s="287">
        <f t="shared" si="4"/>
        <v>0</v>
      </c>
      <c r="M569" s="169"/>
    </row>
    <row r="570" ht="15.75" customHeight="1">
      <c r="A570" s="72" t="s">
        <v>528</v>
      </c>
      <c r="B570" s="149" t="s">
        <v>529</v>
      </c>
      <c r="C570" s="279" t="s">
        <v>729</v>
      </c>
      <c r="D570" s="280">
        <v>23.0</v>
      </c>
      <c r="E570" s="281">
        <f>SUMIF(RM_Purchase_YTD!C:C,'RM Rollforward'!A570,RM_Purchase_YTD!E:E)</f>
        <v>0</v>
      </c>
      <c r="F570" s="281">
        <f>SUMIF(RM_InboundProd_YTD!B:B,'RM Rollforward'!A570,RM_InboundProd_YTD!D:D)</f>
        <v>1075</v>
      </c>
      <c r="G570" s="282">
        <f>SUMIF(RM_Outbound_YTD!B:B,'RM Rollforward'!A570,RM_Outbound_YTD!D:D)</f>
        <v>1098</v>
      </c>
      <c r="H570" s="283">
        <f t="shared" si="1"/>
        <v>0</v>
      </c>
      <c r="I570" s="284"/>
      <c r="J570" s="319">
        <v>75.0</v>
      </c>
      <c r="K570" s="286">
        <v>1.0</v>
      </c>
      <c r="L570" s="287">
        <f t="shared" si="4"/>
        <v>0</v>
      </c>
      <c r="M570" s="169"/>
    </row>
    <row r="571" ht="15.75" customHeight="1">
      <c r="A571" s="72" t="s">
        <v>530</v>
      </c>
      <c r="B571" s="149" t="s">
        <v>531</v>
      </c>
      <c r="C571" s="279" t="s">
        <v>729</v>
      </c>
      <c r="D571" s="280">
        <v>0.0</v>
      </c>
      <c r="E571" s="281">
        <f>SUMIF(RM_Purchase_YTD!C:C,'RM Rollforward'!A571,RM_Purchase_YTD!E:E)</f>
        <v>0</v>
      </c>
      <c r="F571" s="281">
        <f>SUMIF(RM_InboundProd_YTD!B:B,'RM Rollforward'!A571,RM_InboundProd_YTD!D:D)</f>
        <v>462</v>
      </c>
      <c r="G571" s="282">
        <f>SUMIF(RM_Outbound_YTD!B:B,'RM Rollforward'!A571,RM_Outbound_YTD!D:D)</f>
        <v>462</v>
      </c>
      <c r="H571" s="283">
        <f t="shared" si="1"/>
        <v>0</v>
      </c>
      <c r="I571" s="284"/>
      <c r="J571" s="319">
        <v>75.0</v>
      </c>
      <c r="K571" s="286">
        <v>1.0</v>
      </c>
      <c r="L571" s="287">
        <f t="shared" si="4"/>
        <v>0</v>
      </c>
      <c r="M571" s="169"/>
    </row>
    <row r="572" ht="15.75" customHeight="1">
      <c r="A572" s="72" t="s">
        <v>488</v>
      </c>
      <c r="B572" s="149" t="s">
        <v>489</v>
      </c>
      <c r="C572" s="279" t="s">
        <v>729</v>
      </c>
      <c r="D572" s="280">
        <v>0.0</v>
      </c>
      <c r="E572" s="281">
        <f>SUMIF(RM_Purchase_YTD!C:C,'RM Rollforward'!A572,RM_Purchase_YTD!E:E)</f>
        <v>0</v>
      </c>
      <c r="F572" s="281">
        <f>SUMIF(RM_InboundProd_YTD!B:B,'RM Rollforward'!A572,RM_InboundProd_YTD!D:D)</f>
        <v>907</v>
      </c>
      <c r="G572" s="282">
        <f>SUMIF(RM_Outbound_YTD!B:B,'RM Rollforward'!A572,RM_Outbound_YTD!D:D)</f>
        <v>907</v>
      </c>
      <c r="H572" s="283">
        <f t="shared" si="1"/>
        <v>0</v>
      </c>
      <c r="I572" s="284"/>
      <c r="J572" s="319">
        <v>75.0</v>
      </c>
      <c r="K572" s="286">
        <v>1.0</v>
      </c>
      <c r="L572" s="287">
        <f t="shared" si="4"/>
        <v>0</v>
      </c>
      <c r="M572" s="169"/>
    </row>
    <row r="573" ht="15.75" customHeight="1">
      <c r="A573" s="72" t="s">
        <v>1438</v>
      </c>
      <c r="B573" s="149" t="s">
        <v>1439</v>
      </c>
      <c r="C573" s="279" t="s">
        <v>729</v>
      </c>
      <c r="D573" s="280">
        <v>17.0</v>
      </c>
      <c r="E573" s="281">
        <f>SUMIF(RM_Purchase_YTD!C:C,'RM Rollforward'!A573,RM_Purchase_YTD!E:E)</f>
        <v>0</v>
      </c>
      <c r="F573" s="281">
        <f>SUMIF(RM_InboundProd_YTD!B:B,'RM Rollforward'!A573,RM_InboundProd_YTD!D:D)</f>
        <v>0</v>
      </c>
      <c r="G573" s="282">
        <f>SUMIF(RM_Outbound_YTD!B:B,'RM Rollforward'!A573,RM_Outbound_YTD!D:D)</f>
        <v>0</v>
      </c>
      <c r="H573" s="283">
        <f t="shared" si="1"/>
        <v>17</v>
      </c>
      <c r="I573" s="284"/>
      <c r="J573" s="319">
        <v>75.0</v>
      </c>
      <c r="K573" s="286">
        <v>1.0</v>
      </c>
      <c r="L573" s="287">
        <f t="shared" si="4"/>
        <v>1275</v>
      </c>
      <c r="M573" s="169"/>
    </row>
    <row r="574" ht="15.75" customHeight="1">
      <c r="A574" s="72" t="s">
        <v>500</v>
      </c>
      <c r="B574" s="149" t="s">
        <v>501</v>
      </c>
      <c r="C574" s="279" t="s">
        <v>729</v>
      </c>
      <c r="D574" s="280">
        <v>0.0</v>
      </c>
      <c r="E574" s="281">
        <f>SUMIF(RM_Purchase_YTD!C:C,'RM Rollforward'!A574,RM_Purchase_YTD!E:E)</f>
        <v>0</v>
      </c>
      <c r="F574" s="281">
        <f>SUMIF(RM_InboundProd_YTD!B:B,'RM Rollforward'!A574,RM_InboundProd_YTD!D:D)</f>
        <v>380</v>
      </c>
      <c r="G574" s="282">
        <f>SUMIF(RM_Outbound_YTD!B:B,'RM Rollforward'!A574,RM_Outbound_YTD!D:D)</f>
        <v>380</v>
      </c>
      <c r="H574" s="283">
        <f t="shared" si="1"/>
        <v>0</v>
      </c>
      <c r="I574" s="284"/>
      <c r="J574" s="319">
        <v>75.0</v>
      </c>
      <c r="K574" s="286">
        <v>1.0</v>
      </c>
      <c r="L574" s="287">
        <f t="shared" si="4"/>
        <v>0</v>
      </c>
      <c r="M574" s="169"/>
    </row>
    <row r="575" ht="15.75" customHeight="1">
      <c r="A575" s="72" t="s">
        <v>470</v>
      </c>
      <c r="B575" s="149" t="s">
        <v>471</v>
      </c>
      <c r="C575" s="279" t="s">
        <v>729</v>
      </c>
      <c r="D575" s="280">
        <v>0.0</v>
      </c>
      <c r="E575" s="281">
        <f>SUMIF(RM_Purchase_YTD!C:C,'RM Rollforward'!A575,RM_Purchase_YTD!E:E)</f>
        <v>0</v>
      </c>
      <c r="F575" s="281">
        <f>SUMIF(RM_InboundProd_YTD!B:B,'RM Rollforward'!A575,RM_InboundProd_YTD!D:D)</f>
        <v>1698</v>
      </c>
      <c r="G575" s="282">
        <f>SUMIF(RM_Outbound_YTD!B:B,'RM Rollforward'!A575,RM_Outbound_YTD!D:D)</f>
        <v>1698</v>
      </c>
      <c r="H575" s="283">
        <f t="shared" si="1"/>
        <v>0</v>
      </c>
      <c r="I575" s="284"/>
      <c r="J575" s="319">
        <v>75.0</v>
      </c>
      <c r="K575" s="286">
        <v>1.0</v>
      </c>
      <c r="L575" s="287">
        <f t="shared" si="4"/>
        <v>0</v>
      </c>
      <c r="M575" s="169"/>
    </row>
    <row r="576" ht="15.75" customHeight="1">
      <c r="A576" s="72" t="s">
        <v>1440</v>
      </c>
      <c r="B576" s="149" t="s">
        <v>1441</v>
      </c>
      <c r="C576" s="279" t="s">
        <v>729</v>
      </c>
      <c r="D576" s="280">
        <v>0.0</v>
      </c>
      <c r="E576" s="281">
        <f>SUMIF(RM_Purchase_YTD!C:C,'RM Rollforward'!A576,RM_Purchase_YTD!E:E)</f>
        <v>0</v>
      </c>
      <c r="F576" s="281">
        <f>SUMIF(RM_InboundProd_YTD!B:B,'RM Rollforward'!A576,RM_InboundProd_YTD!D:D)</f>
        <v>0</v>
      </c>
      <c r="G576" s="282">
        <f>SUMIF(RM_Outbound_YTD!B:B,'RM Rollforward'!A576,RM_Outbound_YTD!D:D)</f>
        <v>0</v>
      </c>
      <c r="H576" s="283">
        <f t="shared" si="1"/>
        <v>0</v>
      </c>
      <c r="I576" s="284"/>
      <c r="J576" s="319">
        <v>75.0</v>
      </c>
      <c r="K576" s="286">
        <v>1.0</v>
      </c>
      <c r="L576" s="287">
        <f t="shared" si="4"/>
        <v>0</v>
      </c>
      <c r="M576" s="169"/>
    </row>
    <row r="577" ht="15.75" customHeight="1">
      <c r="A577" s="72" t="s">
        <v>506</v>
      </c>
      <c r="B577" s="149" t="s">
        <v>507</v>
      </c>
      <c r="C577" s="279" t="s">
        <v>729</v>
      </c>
      <c r="D577" s="280">
        <v>0.0</v>
      </c>
      <c r="E577" s="281">
        <f>SUMIF(RM_Purchase_YTD!C:C,'RM Rollforward'!A577,RM_Purchase_YTD!E:E)</f>
        <v>0</v>
      </c>
      <c r="F577" s="281">
        <f>SUMIF(RM_InboundProd_YTD!B:B,'RM Rollforward'!A577,RM_InboundProd_YTD!D:D)</f>
        <v>1454</v>
      </c>
      <c r="G577" s="282">
        <f>SUMIF(RM_Outbound_YTD!B:B,'RM Rollforward'!A577,RM_Outbound_YTD!D:D)</f>
        <v>1436</v>
      </c>
      <c r="H577" s="283">
        <f t="shared" si="1"/>
        <v>18</v>
      </c>
      <c r="I577" s="284"/>
      <c r="J577" s="319">
        <v>75.0</v>
      </c>
      <c r="K577" s="286">
        <v>1.0</v>
      </c>
      <c r="L577" s="287">
        <f t="shared" si="4"/>
        <v>1350</v>
      </c>
      <c r="M577" s="169"/>
    </row>
    <row r="578" ht="15.75" customHeight="1">
      <c r="A578" s="72" t="s">
        <v>548</v>
      </c>
      <c r="B578" s="149" t="s">
        <v>549</v>
      </c>
      <c r="C578" s="279" t="s">
        <v>729</v>
      </c>
      <c r="D578" s="280">
        <v>0.0</v>
      </c>
      <c r="E578" s="281">
        <f>SUMIF(RM_Purchase_YTD!C:C,'RM Rollforward'!A578,RM_Purchase_YTD!E:E)</f>
        <v>0</v>
      </c>
      <c r="F578" s="281">
        <f>SUMIF(RM_InboundProd_YTD!B:B,'RM Rollforward'!A578,RM_InboundProd_YTD!D:D)</f>
        <v>640</v>
      </c>
      <c r="G578" s="282">
        <f>SUMIF(RM_Outbound_YTD!B:B,'RM Rollforward'!A578,RM_Outbound_YTD!D:D)</f>
        <v>630</v>
      </c>
      <c r="H578" s="283">
        <f t="shared" si="1"/>
        <v>10</v>
      </c>
      <c r="I578" s="284"/>
      <c r="J578" s="319">
        <v>75.0</v>
      </c>
      <c r="K578" s="286">
        <v>1.0</v>
      </c>
      <c r="L578" s="287">
        <f t="shared" si="4"/>
        <v>750</v>
      </c>
      <c r="M578" s="169"/>
    </row>
    <row r="579" ht="15.75" customHeight="1">
      <c r="A579" s="72" t="s">
        <v>518</v>
      </c>
      <c r="B579" s="149" t="s">
        <v>519</v>
      </c>
      <c r="C579" s="279" t="s">
        <v>729</v>
      </c>
      <c r="D579" s="280">
        <v>0.0</v>
      </c>
      <c r="E579" s="281">
        <f>SUMIF(RM_Purchase_YTD!C:C,'RM Rollforward'!A579,RM_Purchase_YTD!E:E)</f>
        <v>0</v>
      </c>
      <c r="F579" s="281">
        <f>SUMIF(RM_InboundProd_YTD!B:B,'RM Rollforward'!A579,RM_InboundProd_YTD!D:D)</f>
        <v>775</v>
      </c>
      <c r="G579" s="282">
        <f>SUMIF(RM_Outbound_YTD!B:B,'RM Rollforward'!A579,RM_Outbound_YTD!D:D)</f>
        <v>641</v>
      </c>
      <c r="H579" s="283">
        <f t="shared" si="1"/>
        <v>134</v>
      </c>
      <c r="I579" s="284"/>
      <c r="J579" s="319">
        <v>75.0</v>
      </c>
      <c r="K579" s="286">
        <v>1.0</v>
      </c>
      <c r="L579" s="287">
        <f t="shared" si="4"/>
        <v>10050</v>
      </c>
      <c r="M579" s="169"/>
    </row>
    <row r="580" ht="15.75" customHeight="1">
      <c r="A580" s="72" t="s">
        <v>1442</v>
      </c>
      <c r="B580" s="149" t="s">
        <v>1443</v>
      </c>
      <c r="C580" s="279" t="s">
        <v>729</v>
      </c>
      <c r="D580" s="280">
        <v>0.0</v>
      </c>
      <c r="E580" s="281">
        <f>SUMIF(RM_Purchase_YTD!C:C,'RM Rollforward'!A580,RM_Purchase_YTD!E:E)</f>
        <v>0</v>
      </c>
      <c r="F580" s="281">
        <f>SUMIF(RM_InboundProd_YTD!B:B,'RM Rollforward'!A580,RM_InboundProd_YTD!D:D)</f>
        <v>0</v>
      </c>
      <c r="G580" s="282">
        <f>SUMIF(RM_Outbound_YTD!B:B,'RM Rollforward'!A580,RM_Outbound_YTD!D:D)</f>
        <v>0</v>
      </c>
      <c r="H580" s="283">
        <f t="shared" si="1"/>
        <v>0</v>
      </c>
      <c r="I580" s="284"/>
      <c r="J580" s="319">
        <v>75.0</v>
      </c>
      <c r="K580" s="286">
        <v>1.0</v>
      </c>
      <c r="L580" s="287">
        <f t="shared" si="4"/>
        <v>0</v>
      </c>
      <c r="M580" s="169"/>
    </row>
    <row r="581" ht="15.75" customHeight="1">
      <c r="A581" s="72" t="s">
        <v>520</v>
      </c>
      <c r="B581" s="116" t="s">
        <v>521</v>
      </c>
      <c r="C581" s="279" t="s">
        <v>729</v>
      </c>
      <c r="D581" s="280">
        <v>0.0</v>
      </c>
      <c r="E581" s="281">
        <f>SUMIF(RM_Purchase_YTD!C:C,'RM Rollforward'!A581,RM_Purchase_YTD!E:E)</f>
        <v>0</v>
      </c>
      <c r="F581" s="281">
        <f>SUMIF(RM_InboundProd_YTD!B:B,'RM Rollforward'!A581,RM_InboundProd_YTD!D:D)</f>
        <v>562</v>
      </c>
      <c r="G581" s="282">
        <f>SUMIF(RM_Outbound_YTD!B:B,'RM Rollforward'!A581,RM_Outbound_YTD!D:D)</f>
        <v>408</v>
      </c>
      <c r="H581" s="283">
        <f t="shared" si="1"/>
        <v>154</v>
      </c>
      <c r="I581" s="284"/>
      <c r="J581" s="319">
        <v>75.0</v>
      </c>
      <c r="K581" s="286">
        <v>1.0</v>
      </c>
      <c r="L581" s="287">
        <f t="shared" si="4"/>
        <v>11550</v>
      </c>
      <c r="M581" s="169"/>
    </row>
    <row r="582" ht="15.75" customHeight="1">
      <c r="A582" s="72" t="s">
        <v>472</v>
      </c>
      <c r="B582" s="116" t="s">
        <v>473</v>
      </c>
      <c r="C582" s="279" t="s">
        <v>729</v>
      </c>
      <c r="D582" s="280">
        <v>0.0</v>
      </c>
      <c r="E582" s="281">
        <f>SUMIF(RM_Purchase_YTD!C:C,'RM Rollforward'!A582,RM_Purchase_YTD!E:E)</f>
        <v>0</v>
      </c>
      <c r="F582" s="281">
        <f>SUMIF(RM_InboundProd_YTD!B:B,'RM Rollforward'!A582,RM_InboundProd_YTD!D:D)</f>
        <v>503</v>
      </c>
      <c r="G582" s="282">
        <f>SUMIF(RM_Outbound_YTD!B:B,'RM Rollforward'!A582,RM_Outbound_YTD!D:D)</f>
        <v>485</v>
      </c>
      <c r="H582" s="283">
        <f t="shared" si="1"/>
        <v>18</v>
      </c>
      <c r="I582" s="284"/>
      <c r="J582" s="319">
        <v>75.0</v>
      </c>
      <c r="K582" s="286">
        <v>1.0</v>
      </c>
      <c r="L582" s="287">
        <f t="shared" si="4"/>
        <v>1350</v>
      </c>
      <c r="M582" s="169"/>
    </row>
    <row r="583" ht="15.75" customHeight="1">
      <c r="A583" s="72" t="s">
        <v>552</v>
      </c>
      <c r="B583" s="116" t="s">
        <v>553</v>
      </c>
      <c r="C583" s="279" t="s">
        <v>729</v>
      </c>
      <c r="D583" s="280">
        <v>43.0</v>
      </c>
      <c r="E583" s="281">
        <f>SUMIF(RM_Purchase_YTD!C:C,'RM Rollforward'!A583,RM_Purchase_YTD!E:E)</f>
        <v>0</v>
      </c>
      <c r="F583" s="281">
        <f>SUMIF(RM_InboundProd_YTD!B:B,'RM Rollforward'!A583,RM_InboundProd_YTD!D:D)</f>
        <v>1312</v>
      </c>
      <c r="G583" s="282">
        <f>SUMIF(RM_Outbound_YTD!B:B,'RM Rollforward'!A583,RM_Outbound_YTD!D:D)</f>
        <v>759</v>
      </c>
      <c r="H583" s="283">
        <f t="shared" si="1"/>
        <v>596</v>
      </c>
      <c r="I583" s="284"/>
      <c r="J583" s="319">
        <v>75.0</v>
      </c>
      <c r="K583" s="286">
        <v>1.0</v>
      </c>
      <c r="L583" s="287">
        <f t="shared" si="4"/>
        <v>44700</v>
      </c>
      <c r="M583" s="169"/>
    </row>
    <row r="584" ht="15.75" customHeight="1">
      <c r="A584" s="72" t="s">
        <v>504</v>
      </c>
      <c r="B584" s="149" t="s">
        <v>505</v>
      </c>
      <c r="C584" s="279" t="s">
        <v>729</v>
      </c>
      <c r="D584" s="280">
        <v>0.0</v>
      </c>
      <c r="E584" s="281">
        <f>SUMIF(RM_Purchase_YTD!C:C,'RM Rollforward'!A584,RM_Purchase_YTD!E:E)</f>
        <v>0</v>
      </c>
      <c r="F584" s="281">
        <f>SUMIF(RM_InboundProd_YTD!B:B,'RM Rollforward'!A584,RM_InboundProd_YTD!D:D)</f>
        <v>534</v>
      </c>
      <c r="G584" s="282">
        <f>SUMIF(RM_Outbound_YTD!B:B,'RM Rollforward'!A584,RM_Outbound_YTD!D:D)</f>
        <v>534</v>
      </c>
      <c r="H584" s="283">
        <f t="shared" si="1"/>
        <v>0</v>
      </c>
      <c r="I584" s="284"/>
      <c r="J584" s="319">
        <v>75.0</v>
      </c>
      <c r="K584" s="286">
        <v>1.0</v>
      </c>
      <c r="L584" s="287">
        <f t="shared" si="4"/>
        <v>0</v>
      </c>
      <c r="M584" s="169"/>
    </row>
    <row r="585" ht="15.75" customHeight="1">
      <c r="A585" s="72" t="s">
        <v>1444</v>
      </c>
      <c r="B585" s="149" t="s">
        <v>1445</v>
      </c>
      <c r="C585" s="279" t="s">
        <v>729</v>
      </c>
      <c r="D585" s="280">
        <v>0.0</v>
      </c>
      <c r="E585" s="281">
        <f>SUMIF(RM_Purchase_YTD!C:C,'RM Rollforward'!A585,RM_Purchase_YTD!E:E)</f>
        <v>0</v>
      </c>
      <c r="F585" s="281">
        <f>SUMIF(RM_InboundProd_YTD!B:B,'RM Rollforward'!A585,RM_InboundProd_YTD!D:D)</f>
        <v>0</v>
      </c>
      <c r="G585" s="282">
        <f>SUMIF(RM_Outbound_YTD!B:B,'RM Rollforward'!A585,RM_Outbound_YTD!D:D)</f>
        <v>0</v>
      </c>
      <c r="H585" s="283">
        <f t="shared" si="1"/>
        <v>0</v>
      </c>
      <c r="I585" s="284"/>
      <c r="J585" s="319">
        <v>75.0</v>
      </c>
      <c r="K585" s="286">
        <v>1.0</v>
      </c>
      <c r="L585" s="287">
        <f t="shared" si="4"/>
        <v>0</v>
      </c>
      <c r="M585" s="169"/>
    </row>
    <row r="586" ht="15.75" customHeight="1">
      <c r="A586" s="72" t="s">
        <v>512</v>
      </c>
      <c r="B586" s="149" t="s">
        <v>513</v>
      </c>
      <c r="C586" s="279" t="s">
        <v>729</v>
      </c>
      <c r="D586" s="280">
        <v>44.0</v>
      </c>
      <c r="E586" s="281">
        <f>SUMIF(RM_Purchase_YTD!C:C,'RM Rollforward'!A586,RM_Purchase_YTD!E:E)</f>
        <v>0</v>
      </c>
      <c r="F586" s="281">
        <f>SUMIF(RM_InboundProd_YTD!B:B,'RM Rollforward'!A586,RM_InboundProd_YTD!D:D)</f>
        <v>533</v>
      </c>
      <c r="G586" s="282">
        <f>SUMIF(RM_Outbound_YTD!B:B,'RM Rollforward'!A586,RM_Outbound_YTD!D:D)</f>
        <v>533</v>
      </c>
      <c r="H586" s="283">
        <f t="shared" si="1"/>
        <v>44</v>
      </c>
      <c r="I586" s="284"/>
      <c r="J586" s="319">
        <v>75.0</v>
      </c>
      <c r="K586" s="286">
        <v>1.0</v>
      </c>
      <c r="L586" s="287">
        <f t="shared" si="4"/>
        <v>3300</v>
      </c>
      <c r="M586" s="169"/>
    </row>
    <row r="587" ht="15.75" customHeight="1">
      <c r="A587" s="124" t="s">
        <v>1446</v>
      </c>
      <c r="B587" s="116" t="s">
        <v>1447</v>
      </c>
      <c r="C587" s="279" t="s">
        <v>729</v>
      </c>
      <c r="D587" s="280">
        <v>0.0</v>
      </c>
      <c r="E587" s="281">
        <f>SUMIF(RM_Purchase_YTD!C:C,'RM Rollforward'!A587,RM_Purchase_YTD!E:E)</f>
        <v>0</v>
      </c>
      <c r="F587" s="281">
        <f>SUMIF(RM_InboundProd_YTD!B:B,'RM Rollforward'!A587,RM_InboundProd_YTD!D:D)</f>
        <v>0</v>
      </c>
      <c r="G587" s="282">
        <f>SUMIF(RM_Outbound_YTD!B:B,'RM Rollforward'!A587,RM_Outbound_YTD!D:D)</f>
        <v>0</v>
      </c>
      <c r="H587" s="283">
        <f t="shared" si="1"/>
        <v>0</v>
      </c>
      <c r="I587" s="284"/>
      <c r="J587" s="319">
        <v>75.0</v>
      </c>
      <c r="K587" s="286">
        <v>1.0</v>
      </c>
      <c r="L587" s="287">
        <f t="shared" si="4"/>
        <v>0</v>
      </c>
      <c r="M587" s="169"/>
    </row>
    <row r="588" ht="15.75" customHeight="1">
      <c r="A588" s="124" t="s">
        <v>1448</v>
      </c>
      <c r="B588" s="116" t="s">
        <v>1449</v>
      </c>
      <c r="C588" s="279" t="s">
        <v>729</v>
      </c>
      <c r="D588" s="280">
        <v>0.0</v>
      </c>
      <c r="E588" s="281">
        <f>SUMIF(RM_Purchase_YTD!C:C,'RM Rollforward'!A588,RM_Purchase_YTD!E:E)</f>
        <v>0</v>
      </c>
      <c r="F588" s="281">
        <f>SUMIF(RM_InboundProd_YTD!B:B,'RM Rollforward'!A588,RM_InboundProd_YTD!D:D)</f>
        <v>0</v>
      </c>
      <c r="G588" s="282">
        <f>SUMIF(RM_Outbound_YTD!B:B,'RM Rollforward'!A588,RM_Outbound_YTD!D:D)</f>
        <v>0</v>
      </c>
      <c r="H588" s="283">
        <f t="shared" si="1"/>
        <v>0</v>
      </c>
      <c r="I588" s="284"/>
      <c r="J588" s="319">
        <v>75.0</v>
      </c>
      <c r="K588" s="286">
        <v>1.0</v>
      </c>
      <c r="L588" s="287">
        <f t="shared" si="4"/>
        <v>0</v>
      </c>
      <c r="M588" s="169"/>
    </row>
    <row r="589" ht="15.75" customHeight="1">
      <c r="A589" s="124" t="s">
        <v>486</v>
      </c>
      <c r="B589" s="116" t="s">
        <v>487</v>
      </c>
      <c r="C589" s="279" t="s">
        <v>729</v>
      </c>
      <c r="D589" s="280">
        <v>44.0</v>
      </c>
      <c r="E589" s="281">
        <f>SUMIF(RM_Purchase_YTD!C:C,'RM Rollforward'!A589,RM_Purchase_YTD!E:E)</f>
        <v>0</v>
      </c>
      <c r="F589" s="281">
        <f>SUMIF(RM_InboundProd_YTD!B:B,'RM Rollforward'!A589,RM_InboundProd_YTD!D:D)</f>
        <v>901</v>
      </c>
      <c r="G589" s="282">
        <f>SUMIF(RM_Outbound_YTD!B:B,'RM Rollforward'!A589,RM_Outbound_YTD!D:D)</f>
        <v>510</v>
      </c>
      <c r="H589" s="283">
        <f t="shared" si="1"/>
        <v>435</v>
      </c>
      <c r="I589" s="284"/>
      <c r="J589" s="319">
        <v>75.0</v>
      </c>
      <c r="K589" s="286">
        <v>1.0</v>
      </c>
      <c r="L589" s="287">
        <f t="shared" si="4"/>
        <v>32625</v>
      </c>
      <c r="M589" s="169"/>
    </row>
    <row r="590" ht="15.75" customHeight="1">
      <c r="A590" s="124" t="s">
        <v>464</v>
      </c>
      <c r="B590" s="116" t="s">
        <v>465</v>
      </c>
      <c r="C590" s="279" t="s">
        <v>729</v>
      </c>
      <c r="D590" s="280">
        <v>0.0</v>
      </c>
      <c r="E590" s="281">
        <f>SUMIF(RM_Purchase_YTD!C:C,'RM Rollforward'!A590,RM_Purchase_YTD!E:E)</f>
        <v>0</v>
      </c>
      <c r="F590" s="281">
        <f>SUMIF(RM_InboundProd_YTD!B:B,'RM Rollforward'!A590,RM_InboundProd_YTD!D:D)</f>
        <v>3993</v>
      </c>
      <c r="G590" s="282">
        <f>SUMIF(RM_Outbound_YTD!B:B,'RM Rollforward'!A590,RM_Outbound_YTD!D:D)</f>
        <v>3897</v>
      </c>
      <c r="H590" s="283">
        <f t="shared" si="1"/>
        <v>96</v>
      </c>
      <c r="I590" s="284"/>
      <c r="J590" s="285">
        <v>45.0</v>
      </c>
      <c r="K590" s="286">
        <v>1.0</v>
      </c>
      <c r="L590" s="287">
        <f t="shared" si="4"/>
        <v>4320</v>
      </c>
      <c r="M590" s="169"/>
    </row>
    <row r="591" ht="15.75" customHeight="1">
      <c r="A591" s="72" t="s">
        <v>522</v>
      </c>
      <c r="B591" s="149" t="s">
        <v>523</v>
      </c>
      <c r="C591" s="279" t="s">
        <v>729</v>
      </c>
      <c r="D591" s="280">
        <v>70.0</v>
      </c>
      <c r="E591" s="281">
        <f>SUMIF(RM_Purchase_YTD!C:C,'RM Rollforward'!A591,RM_Purchase_YTD!E:E)</f>
        <v>0</v>
      </c>
      <c r="F591" s="281">
        <f>SUMIF(RM_InboundProd_YTD!B:B,'RM Rollforward'!A591,RM_InboundProd_YTD!D:D)</f>
        <v>2843</v>
      </c>
      <c r="G591" s="282">
        <f>SUMIF(RM_Outbound_YTD!B:B,'RM Rollforward'!A591,RM_Outbound_YTD!D:D)</f>
        <v>736</v>
      </c>
      <c r="H591" s="283">
        <f t="shared" si="1"/>
        <v>2177</v>
      </c>
      <c r="I591" s="284"/>
      <c r="J591" s="285">
        <v>45.0</v>
      </c>
      <c r="K591" s="286">
        <v>1.0</v>
      </c>
      <c r="L591" s="287">
        <f t="shared" si="4"/>
        <v>97965</v>
      </c>
      <c r="M591" s="169"/>
    </row>
    <row r="592" ht="15.75" customHeight="1">
      <c r="A592" s="72" t="s">
        <v>1450</v>
      </c>
      <c r="B592" s="149" t="s">
        <v>1451</v>
      </c>
      <c r="C592" s="279" t="s">
        <v>729</v>
      </c>
      <c r="D592" s="280">
        <v>0.0</v>
      </c>
      <c r="E592" s="281">
        <f>SUMIF(RM_Purchase_YTD!C:C,'RM Rollforward'!A592,RM_Purchase_YTD!E:E)</f>
        <v>0</v>
      </c>
      <c r="F592" s="281">
        <f>SUMIF(RM_InboundProd_YTD!B:B,'RM Rollforward'!A592,RM_InboundProd_YTD!D:D)</f>
        <v>0</v>
      </c>
      <c r="G592" s="282">
        <f>SUMIF(RM_Outbound_YTD!B:B,'RM Rollforward'!A592,RM_Outbound_YTD!D:D)</f>
        <v>0</v>
      </c>
      <c r="H592" s="283">
        <f t="shared" si="1"/>
        <v>0</v>
      </c>
      <c r="I592" s="284"/>
      <c r="J592" s="285">
        <v>45.0</v>
      </c>
      <c r="K592" s="286">
        <v>1.0</v>
      </c>
      <c r="L592" s="287">
        <f t="shared" si="4"/>
        <v>0</v>
      </c>
      <c r="M592" s="169"/>
    </row>
    <row r="593" ht="15.75" customHeight="1">
      <c r="A593" s="72" t="s">
        <v>1452</v>
      </c>
      <c r="B593" s="149" t="s">
        <v>1453</v>
      </c>
      <c r="C593" s="279" t="s">
        <v>729</v>
      </c>
      <c r="D593" s="280">
        <v>0.0</v>
      </c>
      <c r="E593" s="281">
        <f>SUMIF(RM_Purchase_YTD!C:C,'RM Rollforward'!A593,RM_Purchase_YTD!E:E)</f>
        <v>0</v>
      </c>
      <c r="F593" s="281">
        <f>SUMIF(RM_InboundProd_YTD!B:B,'RM Rollforward'!A593,RM_InboundProd_YTD!D:D)</f>
        <v>0</v>
      </c>
      <c r="G593" s="282">
        <f>SUMIF(RM_Outbound_YTD!B:B,'RM Rollforward'!A593,RM_Outbound_YTD!D:D)</f>
        <v>0</v>
      </c>
      <c r="H593" s="283">
        <f t="shared" si="1"/>
        <v>0</v>
      </c>
      <c r="I593" s="284"/>
      <c r="J593" s="285">
        <v>45.0</v>
      </c>
      <c r="K593" s="286">
        <v>1.0</v>
      </c>
      <c r="L593" s="287">
        <f t="shared" si="4"/>
        <v>0</v>
      </c>
      <c r="M593" s="169"/>
    </row>
    <row r="594" ht="15.75" customHeight="1">
      <c r="A594" s="72" t="s">
        <v>1454</v>
      </c>
      <c r="B594" s="149" t="s">
        <v>1455</v>
      </c>
      <c r="C594" s="279" t="s">
        <v>729</v>
      </c>
      <c r="D594" s="280">
        <v>21.0</v>
      </c>
      <c r="E594" s="281">
        <f>SUMIF(RM_Purchase_YTD!C:C,'RM Rollforward'!A594,RM_Purchase_YTD!E:E)</f>
        <v>0</v>
      </c>
      <c r="F594" s="281">
        <f>SUMIF(RM_InboundProd_YTD!B:B,'RM Rollforward'!A594,RM_InboundProd_YTD!D:D)</f>
        <v>0</v>
      </c>
      <c r="G594" s="282">
        <f>SUMIF(RM_Outbound_YTD!B:B,'RM Rollforward'!A594,RM_Outbound_YTD!D:D)</f>
        <v>0</v>
      </c>
      <c r="H594" s="283">
        <f t="shared" si="1"/>
        <v>21</v>
      </c>
      <c r="I594" s="284"/>
      <c r="J594" s="285">
        <v>45.0</v>
      </c>
      <c r="K594" s="286">
        <v>1.0</v>
      </c>
      <c r="L594" s="287">
        <f t="shared" si="4"/>
        <v>945</v>
      </c>
      <c r="M594" s="169"/>
    </row>
    <row r="595" ht="15.75" customHeight="1">
      <c r="A595" s="72" t="s">
        <v>560</v>
      </c>
      <c r="B595" s="149" t="s">
        <v>561</v>
      </c>
      <c r="C595" s="279" t="s">
        <v>729</v>
      </c>
      <c r="D595" s="280">
        <v>56.0</v>
      </c>
      <c r="E595" s="281">
        <f>SUMIF(RM_Purchase_YTD!C:C,'RM Rollforward'!A595,RM_Purchase_YTD!E:E)</f>
        <v>0</v>
      </c>
      <c r="F595" s="281">
        <f>SUMIF(RM_InboundProd_YTD!B:B,'RM Rollforward'!A595,RM_InboundProd_YTD!D:D)</f>
        <v>105</v>
      </c>
      <c r="G595" s="282">
        <f>SUMIF(RM_Outbound_YTD!B:B,'RM Rollforward'!A595,RM_Outbound_YTD!D:D)</f>
        <v>161</v>
      </c>
      <c r="H595" s="283">
        <f t="shared" si="1"/>
        <v>0</v>
      </c>
      <c r="I595" s="284"/>
      <c r="J595" s="285">
        <v>45.0</v>
      </c>
      <c r="K595" s="286">
        <v>1.0</v>
      </c>
      <c r="L595" s="287">
        <f t="shared" si="4"/>
        <v>0</v>
      </c>
      <c r="M595" s="169"/>
    </row>
    <row r="596" ht="15.75" customHeight="1">
      <c r="A596" s="72" t="s">
        <v>1456</v>
      </c>
      <c r="B596" s="149" t="s">
        <v>1457</v>
      </c>
      <c r="C596" s="279" t="s">
        <v>729</v>
      </c>
      <c r="D596" s="280">
        <v>23.0</v>
      </c>
      <c r="E596" s="281">
        <f>SUMIF(RM_Purchase_YTD!C:C,'RM Rollforward'!A596,RM_Purchase_YTD!E:E)</f>
        <v>0</v>
      </c>
      <c r="F596" s="281">
        <f>SUMIF(RM_InboundProd_YTD!B:B,'RM Rollforward'!A596,RM_InboundProd_YTD!D:D)</f>
        <v>0</v>
      </c>
      <c r="G596" s="282">
        <f>SUMIF(RM_Outbound_YTD!B:B,'RM Rollforward'!A596,RM_Outbound_YTD!D:D)</f>
        <v>0</v>
      </c>
      <c r="H596" s="283">
        <f t="shared" si="1"/>
        <v>23</v>
      </c>
      <c r="I596" s="284"/>
      <c r="J596" s="285">
        <v>45.0</v>
      </c>
      <c r="K596" s="286">
        <v>1.0</v>
      </c>
      <c r="L596" s="287">
        <f t="shared" si="4"/>
        <v>1035</v>
      </c>
      <c r="M596" s="169"/>
    </row>
    <row r="597" ht="15.75" customHeight="1">
      <c r="A597" s="72" t="s">
        <v>466</v>
      </c>
      <c r="B597" s="149" t="s">
        <v>467</v>
      </c>
      <c r="C597" s="279" t="s">
        <v>729</v>
      </c>
      <c r="D597" s="280">
        <v>0.0</v>
      </c>
      <c r="E597" s="281">
        <f>SUMIF(RM_Purchase_YTD!C:C,'RM Rollforward'!A597,RM_Purchase_YTD!E:E)</f>
        <v>0</v>
      </c>
      <c r="F597" s="281">
        <f>SUMIF(RM_InboundProd_YTD!B:B,'RM Rollforward'!A597,RM_InboundProd_YTD!D:D)</f>
        <v>4033</v>
      </c>
      <c r="G597" s="282">
        <f>SUMIF(RM_Outbound_YTD!B:B,'RM Rollforward'!A597,RM_Outbound_YTD!D:D)</f>
        <v>4033</v>
      </c>
      <c r="H597" s="283">
        <f t="shared" si="1"/>
        <v>0</v>
      </c>
      <c r="I597" s="284"/>
      <c r="J597" s="285">
        <v>45.0</v>
      </c>
      <c r="K597" s="286">
        <v>1.0</v>
      </c>
      <c r="L597" s="287">
        <f t="shared" si="4"/>
        <v>0</v>
      </c>
      <c r="M597" s="169"/>
    </row>
    <row r="598" ht="15.75" customHeight="1">
      <c r="A598" s="72" t="s">
        <v>584</v>
      </c>
      <c r="B598" s="149" t="s">
        <v>585</v>
      </c>
      <c r="C598" s="279" t="s">
        <v>729</v>
      </c>
      <c r="D598" s="280">
        <v>91.0</v>
      </c>
      <c r="E598" s="281">
        <f>SUMIF(RM_Purchase_YTD!C:C,'RM Rollforward'!A598,RM_Purchase_YTD!E:E)</f>
        <v>0</v>
      </c>
      <c r="F598" s="281">
        <f>SUMIF(RM_InboundProd_YTD!B:B,'RM Rollforward'!A598,RM_InboundProd_YTD!D:D)</f>
        <v>6663</v>
      </c>
      <c r="G598" s="282">
        <f>SUMIF(RM_Outbound_YTD!B:B,'RM Rollforward'!A598,RM_Outbound_YTD!D:D)</f>
        <v>5069</v>
      </c>
      <c r="H598" s="283">
        <f t="shared" si="1"/>
        <v>1685</v>
      </c>
      <c r="I598" s="284"/>
      <c r="J598" s="285">
        <v>45.0</v>
      </c>
      <c r="K598" s="286">
        <v>1.0</v>
      </c>
      <c r="L598" s="287">
        <f t="shared" si="4"/>
        <v>75825</v>
      </c>
      <c r="M598" s="169"/>
    </row>
    <row r="599" ht="15.75" customHeight="1">
      <c r="A599" s="72" t="s">
        <v>458</v>
      </c>
      <c r="B599" s="149" t="s">
        <v>459</v>
      </c>
      <c r="C599" s="279" t="s">
        <v>729</v>
      </c>
      <c r="D599" s="280">
        <v>466.0</v>
      </c>
      <c r="E599" s="281">
        <f>SUMIF(RM_Purchase_YTD!C:C,'RM Rollforward'!A599,RM_Purchase_YTD!E:E)</f>
        <v>0</v>
      </c>
      <c r="F599" s="281">
        <f>SUMIF(RM_InboundProd_YTD!B:B,'RM Rollforward'!A599,RM_InboundProd_YTD!D:D)</f>
        <v>10958</v>
      </c>
      <c r="G599" s="282">
        <f>SUMIF(RM_Outbound_YTD!B:B,'RM Rollforward'!A599,RM_Outbound_YTD!D:D)</f>
        <v>10213</v>
      </c>
      <c r="H599" s="283">
        <f t="shared" si="1"/>
        <v>1211</v>
      </c>
      <c r="I599" s="284"/>
      <c r="J599" s="285">
        <v>45.0</v>
      </c>
      <c r="K599" s="286">
        <v>1.0</v>
      </c>
      <c r="L599" s="287">
        <f t="shared" si="4"/>
        <v>54495</v>
      </c>
      <c r="M599" s="169"/>
    </row>
    <row r="600" ht="15.75" customHeight="1">
      <c r="A600" s="72" t="s">
        <v>454</v>
      </c>
      <c r="B600" s="149" t="s">
        <v>455</v>
      </c>
      <c r="C600" s="279" t="s">
        <v>729</v>
      </c>
      <c r="D600" s="280">
        <v>186.0</v>
      </c>
      <c r="E600" s="281">
        <f>SUMIF(RM_Purchase_YTD!C:C,'RM Rollforward'!A600,RM_Purchase_YTD!E:E)</f>
        <v>0</v>
      </c>
      <c r="F600" s="281">
        <f>SUMIF(RM_InboundProd_YTD!B:B,'RM Rollforward'!A600,RM_InboundProd_YTD!D:D)</f>
        <v>5064</v>
      </c>
      <c r="G600" s="282">
        <f>SUMIF(RM_Outbound_YTD!B:B,'RM Rollforward'!A600,RM_Outbound_YTD!D:D)</f>
        <v>3584</v>
      </c>
      <c r="H600" s="283">
        <f t="shared" si="1"/>
        <v>1666</v>
      </c>
      <c r="I600" s="284"/>
      <c r="J600" s="285">
        <v>45.0</v>
      </c>
      <c r="K600" s="286">
        <v>1.0</v>
      </c>
      <c r="L600" s="287">
        <f t="shared" si="4"/>
        <v>74970</v>
      </c>
      <c r="M600" s="169"/>
    </row>
    <row r="601" ht="15.75" customHeight="1">
      <c r="A601" s="72" t="s">
        <v>452</v>
      </c>
      <c r="B601" s="116" t="s">
        <v>453</v>
      </c>
      <c r="C601" s="279" t="s">
        <v>729</v>
      </c>
      <c r="D601" s="280">
        <v>662.0</v>
      </c>
      <c r="E601" s="281">
        <f>SUMIF(RM_Purchase_YTD!C:C,'RM Rollforward'!A601,RM_Purchase_YTD!E:E)</f>
        <v>0</v>
      </c>
      <c r="F601" s="281">
        <f>SUMIF(RM_InboundProd_YTD!B:B,'RM Rollforward'!A601,RM_InboundProd_YTD!D:D)</f>
        <v>2094</v>
      </c>
      <c r="G601" s="282">
        <f>SUMIF(RM_Outbound_YTD!B:B,'RM Rollforward'!A601,RM_Outbound_YTD!D:D)</f>
        <v>2756</v>
      </c>
      <c r="H601" s="283">
        <f t="shared" si="1"/>
        <v>0</v>
      </c>
      <c r="I601" s="284"/>
      <c r="J601" s="285">
        <v>45.0</v>
      </c>
      <c r="K601" s="286">
        <v>1.0</v>
      </c>
      <c r="L601" s="287">
        <f t="shared" si="4"/>
        <v>0</v>
      </c>
      <c r="M601" s="169"/>
    </row>
    <row r="602" ht="15.75" customHeight="1">
      <c r="A602" s="72" t="s">
        <v>456</v>
      </c>
      <c r="B602" s="116" t="s">
        <v>457</v>
      </c>
      <c r="C602" s="279" t="s">
        <v>729</v>
      </c>
      <c r="D602" s="280">
        <v>484.0</v>
      </c>
      <c r="E602" s="281">
        <f>SUMIF(RM_Purchase_YTD!C:C,'RM Rollforward'!A602,RM_Purchase_YTD!E:E)</f>
        <v>0</v>
      </c>
      <c r="F602" s="281">
        <f>SUMIF(RM_InboundProd_YTD!B:B,'RM Rollforward'!A602,RM_InboundProd_YTD!D:D)</f>
        <v>2071</v>
      </c>
      <c r="G602" s="282">
        <f>SUMIF(RM_Outbound_YTD!B:B,'RM Rollforward'!A602,RM_Outbound_YTD!D:D)</f>
        <v>2555</v>
      </c>
      <c r="H602" s="283">
        <f t="shared" si="1"/>
        <v>0</v>
      </c>
      <c r="I602" s="284"/>
      <c r="J602" s="285">
        <v>45.0</v>
      </c>
      <c r="K602" s="286">
        <v>1.0</v>
      </c>
      <c r="L602" s="287">
        <f t="shared" si="4"/>
        <v>0</v>
      </c>
      <c r="M602" s="169"/>
    </row>
    <row r="603" ht="15.75" customHeight="1">
      <c r="A603" s="72" t="s">
        <v>450</v>
      </c>
      <c r="B603" s="149" t="s">
        <v>451</v>
      </c>
      <c r="C603" s="279" t="s">
        <v>729</v>
      </c>
      <c r="D603" s="280">
        <v>421.0</v>
      </c>
      <c r="E603" s="281">
        <f>SUMIF(RM_Purchase_YTD!C:C,'RM Rollforward'!A603,RM_Purchase_YTD!E:E)</f>
        <v>0</v>
      </c>
      <c r="F603" s="281">
        <f>SUMIF(RM_InboundProd_YTD!B:B,'RM Rollforward'!A603,RM_InboundProd_YTD!D:D)</f>
        <v>1176</v>
      </c>
      <c r="G603" s="282">
        <f>SUMIF(RM_Outbound_YTD!B:B,'RM Rollforward'!A603,RM_Outbound_YTD!D:D)</f>
        <v>1597</v>
      </c>
      <c r="H603" s="283">
        <f t="shared" si="1"/>
        <v>0</v>
      </c>
      <c r="I603" s="284"/>
      <c r="J603" s="285">
        <v>45.0</v>
      </c>
      <c r="K603" s="286">
        <v>1.0</v>
      </c>
      <c r="L603" s="287">
        <f t="shared" si="4"/>
        <v>0</v>
      </c>
      <c r="M603" s="169"/>
    </row>
    <row r="604" ht="15.75" customHeight="1">
      <c r="A604" s="72" t="s">
        <v>468</v>
      </c>
      <c r="B604" s="149" t="s">
        <v>469</v>
      </c>
      <c r="C604" s="279" t="s">
        <v>729</v>
      </c>
      <c r="D604" s="280">
        <v>445.0</v>
      </c>
      <c r="E604" s="281">
        <f>SUMIF(RM_Purchase_YTD!C:C,'RM Rollforward'!A604,RM_Purchase_YTD!E:E)</f>
        <v>0</v>
      </c>
      <c r="F604" s="281">
        <f>SUMIF(RM_InboundProd_YTD!B:B,'RM Rollforward'!A604,RM_InboundProd_YTD!D:D)</f>
        <v>3258</v>
      </c>
      <c r="G604" s="282">
        <f>SUMIF(RM_Outbound_YTD!B:B,'RM Rollforward'!A604,RM_Outbound_YTD!D:D)</f>
        <v>2998</v>
      </c>
      <c r="H604" s="283">
        <f t="shared" si="1"/>
        <v>705</v>
      </c>
      <c r="I604" s="284"/>
      <c r="J604" s="285">
        <v>45.0</v>
      </c>
      <c r="K604" s="286">
        <v>1.0</v>
      </c>
      <c r="L604" s="287">
        <f t="shared" si="4"/>
        <v>31725</v>
      </c>
      <c r="M604" s="169"/>
    </row>
    <row r="605" ht="15.75" customHeight="1">
      <c r="A605" s="72" t="s">
        <v>524</v>
      </c>
      <c r="B605" s="116" t="s">
        <v>525</v>
      </c>
      <c r="C605" s="39" t="s">
        <v>729</v>
      </c>
      <c r="D605" s="280">
        <v>2048.0</v>
      </c>
      <c r="E605" s="281">
        <f>SUMIF(RM_Purchase_YTD!C:C,'RM Rollforward'!A605,RM_Purchase_YTD!E:E)</f>
        <v>0</v>
      </c>
      <c r="F605" s="281">
        <f>SUMIF(RM_InboundProd_YTD!B:B,'RM Rollforward'!A605,RM_InboundProd_YTD!D:D)</f>
        <v>1622</v>
      </c>
      <c r="G605" s="282">
        <f>SUMIF(RM_Outbound_YTD!B:B,'RM Rollforward'!A605,RM_Outbound_YTD!D:D)</f>
        <v>3403</v>
      </c>
      <c r="H605" s="283">
        <f t="shared" si="1"/>
        <v>267</v>
      </c>
      <c r="I605" s="284"/>
      <c r="J605" s="285">
        <v>45.0</v>
      </c>
      <c r="K605" s="286">
        <v>1.0</v>
      </c>
      <c r="L605" s="287">
        <f t="shared" si="4"/>
        <v>12015</v>
      </c>
      <c r="M605" s="169"/>
    </row>
    <row r="606" ht="15.75" customHeight="1">
      <c r="A606" s="72" t="s">
        <v>596</v>
      </c>
      <c r="B606" s="116" t="s">
        <v>597</v>
      </c>
      <c r="C606" s="39" t="s">
        <v>729</v>
      </c>
      <c r="D606" s="280">
        <v>347.0</v>
      </c>
      <c r="E606" s="281">
        <f>SUMIF(RM_Purchase_YTD!C:C,'RM Rollforward'!A606,RM_Purchase_YTD!E:E)</f>
        <v>0</v>
      </c>
      <c r="F606" s="281">
        <f>SUMIF(RM_InboundProd_YTD!B:B,'RM Rollforward'!A606,RM_InboundProd_YTD!D:D)</f>
        <v>1189</v>
      </c>
      <c r="G606" s="282">
        <f>SUMIF(RM_Outbound_YTD!B:B,'RM Rollforward'!A606,RM_Outbound_YTD!D:D)</f>
        <v>309</v>
      </c>
      <c r="H606" s="283">
        <f t="shared" si="1"/>
        <v>1227</v>
      </c>
      <c r="I606" s="284"/>
      <c r="J606" s="285">
        <v>45.0</v>
      </c>
      <c r="K606" s="286">
        <v>1.0</v>
      </c>
      <c r="L606" s="287">
        <f t="shared" si="4"/>
        <v>55215</v>
      </c>
      <c r="M606" s="169"/>
    </row>
    <row r="607" ht="15.75" customHeight="1">
      <c r="A607" s="72" t="s">
        <v>590</v>
      </c>
      <c r="B607" s="116" t="s">
        <v>591</v>
      </c>
      <c r="C607" s="39" t="s">
        <v>729</v>
      </c>
      <c r="D607" s="280">
        <v>77.0</v>
      </c>
      <c r="E607" s="281">
        <f>SUMIF(RM_Purchase_YTD!C:C,'RM Rollforward'!A607,RM_Purchase_YTD!E:E)</f>
        <v>0</v>
      </c>
      <c r="F607" s="281">
        <f>SUMIF(RM_InboundProd_YTD!B:B,'RM Rollforward'!A607,RM_InboundProd_YTD!D:D)</f>
        <v>1539</v>
      </c>
      <c r="G607" s="282">
        <f>SUMIF(RM_Outbound_YTD!B:B,'RM Rollforward'!A607,RM_Outbound_YTD!D:D)</f>
        <v>0</v>
      </c>
      <c r="H607" s="283">
        <f t="shared" si="1"/>
        <v>1616</v>
      </c>
      <c r="I607" s="284"/>
      <c r="J607" s="285">
        <v>45.0</v>
      </c>
      <c r="K607" s="286">
        <v>1.0</v>
      </c>
      <c r="L607" s="287">
        <f t="shared" si="4"/>
        <v>72720</v>
      </c>
      <c r="M607" s="169"/>
    </row>
    <row r="608" ht="15.75" customHeight="1">
      <c r="A608" s="72" t="s">
        <v>695</v>
      </c>
      <c r="B608" s="116" t="s">
        <v>696</v>
      </c>
      <c r="C608" s="39" t="s">
        <v>729</v>
      </c>
      <c r="D608" s="280">
        <v>331.0</v>
      </c>
      <c r="E608" s="281">
        <f>SUMIF(RM_Purchase_YTD!C:C,'RM Rollforward'!A608,RM_Purchase_YTD!E:E)</f>
        <v>0</v>
      </c>
      <c r="F608" s="281">
        <f>SUMIF(RM_InboundProd_YTD!B:B,'RM Rollforward'!A608,RM_InboundProd_YTD!D:D)</f>
        <v>0</v>
      </c>
      <c r="G608" s="282">
        <f>SUMIF(RM_Outbound_YTD!B:B,'RM Rollforward'!A608,RM_Outbound_YTD!D:D)</f>
        <v>257</v>
      </c>
      <c r="H608" s="283">
        <f t="shared" si="1"/>
        <v>74</v>
      </c>
      <c r="I608" s="284"/>
      <c r="J608" s="285">
        <v>45.0</v>
      </c>
      <c r="K608" s="286">
        <v>1.0</v>
      </c>
      <c r="L608" s="287">
        <f t="shared" si="4"/>
        <v>3330</v>
      </c>
      <c r="M608" s="169"/>
    </row>
    <row r="609" ht="15.75" customHeight="1">
      <c r="A609" s="72" t="s">
        <v>693</v>
      </c>
      <c r="B609" s="116" t="s">
        <v>694</v>
      </c>
      <c r="C609" s="39" t="s">
        <v>729</v>
      </c>
      <c r="D609" s="280">
        <v>1161.0</v>
      </c>
      <c r="E609" s="281">
        <f>SUMIF(RM_Purchase_YTD!C:C,'RM Rollforward'!A609,RM_Purchase_YTD!E:E)</f>
        <v>0</v>
      </c>
      <c r="F609" s="281">
        <f>SUMIF(RM_InboundProd_YTD!B:B,'RM Rollforward'!A609,RM_InboundProd_YTD!D:D)</f>
        <v>0</v>
      </c>
      <c r="G609" s="282">
        <f>SUMIF(RM_Outbound_YTD!B:B,'RM Rollforward'!A609,RM_Outbound_YTD!D:D)</f>
        <v>775</v>
      </c>
      <c r="H609" s="283">
        <f t="shared" si="1"/>
        <v>386</v>
      </c>
      <c r="I609" s="284"/>
      <c r="J609" s="285">
        <v>45.0</v>
      </c>
      <c r="K609" s="286">
        <v>1.0</v>
      </c>
      <c r="L609" s="287">
        <f t="shared" si="4"/>
        <v>17370</v>
      </c>
      <c r="M609" s="169"/>
    </row>
    <row r="610" ht="15.75" customHeight="1">
      <c r="A610" s="72" t="s">
        <v>1458</v>
      </c>
      <c r="B610" s="116" t="s">
        <v>1459</v>
      </c>
      <c r="C610" s="39" t="s">
        <v>729</v>
      </c>
      <c r="D610" s="280">
        <v>0.0</v>
      </c>
      <c r="E610" s="281">
        <f>SUMIF(RM_Purchase_YTD!C:C,'RM Rollforward'!A610,RM_Purchase_YTD!E:E)</f>
        <v>0</v>
      </c>
      <c r="F610" s="281">
        <f>SUMIF(RM_InboundProd_YTD!B:B,'RM Rollforward'!A610,RM_InboundProd_YTD!D:D)</f>
        <v>0</v>
      </c>
      <c r="G610" s="282">
        <f>SUMIF(RM_Outbound_YTD!B:B,'RM Rollforward'!A610,RM_Outbound_YTD!D:D)</f>
        <v>0</v>
      </c>
      <c r="H610" s="283">
        <f t="shared" si="1"/>
        <v>0</v>
      </c>
      <c r="I610" s="284"/>
      <c r="J610" s="285">
        <v>45.0</v>
      </c>
      <c r="K610" s="286">
        <v>1.0</v>
      </c>
      <c r="L610" s="287">
        <f t="shared" si="4"/>
        <v>0</v>
      </c>
      <c r="M610" s="169"/>
    </row>
    <row r="611" ht="15.75" customHeight="1">
      <c r="A611" s="72" t="s">
        <v>1460</v>
      </c>
      <c r="B611" s="116" t="s">
        <v>1461</v>
      </c>
      <c r="C611" s="39" t="s">
        <v>729</v>
      </c>
      <c r="D611" s="280">
        <v>0.0</v>
      </c>
      <c r="E611" s="281">
        <f>SUMIF(RM_Purchase_YTD!C:C,'RM Rollforward'!A611,RM_Purchase_YTD!E:E)</f>
        <v>0</v>
      </c>
      <c r="F611" s="281">
        <f>SUMIF(RM_InboundProd_YTD!B:B,'RM Rollforward'!A611,RM_InboundProd_YTD!D:D)</f>
        <v>0</v>
      </c>
      <c r="G611" s="282">
        <f>SUMIF(RM_Outbound_YTD!B:B,'RM Rollforward'!A611,RM_Outbound_YTD!D:D)</f>
        <v>0</v>
      </c>
      <c r="H611" s="283">
        <f t="shared" si="1"/>
        <v>0</v>
      </c>
      <c r="I611" s="284"/>
      <c r="J611" s="285">
        <v>45.0</v>
      </c>
      <c r="K611" s="286">
        <v>1.0</v>
      </c>
      <c r="L611" s="287">
        <f t="shared" si="4"/>
        <v>0</v>
      </c>
      <c r="M611" s="169"/>
    </row>
    <row r="612" ht="15.75" customHeight="1">
      <c r="A612" s="72" t="s">
        <v>1462</v>
      </c>
      <c r="B612" s="325" t="s">
        <v>1463</v>
      </c>
      <c r="C612" s="279" t="s">
        <v>729</v>
      </c>
      <c r="D612" s="280">
        <v>107.0</v>
      </c>
      <c r="E612" s="281">
        <f>SUMIF(RM_Purchase_YTD!C:C,'RM Rollforward'!A612,RM_Purchase_YTD!E:E)</f>
        <v>0</v>
      </c>
      <c r="F612" s="281">
        <f>SUMIF(RM_InboundProd_YTD!B:B,'RM Rollforward'!A612,RM_InboundProd_YTD!D:D)</f>
        <v>0</v>
      </c>
      <c r="G612" s="282">
        <f>SUMIF(RM_Outbound_YTD!B:B,'RM Rollforward'!A612,RM_Outbound_YTD!D:D)</f>
        <v>0</v>
      </c>
      <c r="H612" s="283">
        <f t="shared" si="1"/>
        <v>107</v>
      </c>
      <c r="I612" s="284"/>
      <c r="J612" s="285">
        <v>45.0</v>
      </c>
      <c r="K612" s="286">
        <v>1.0</v>
      </c>
      <c r="L612" s="287">
        <f t="shared" si="4"/>
        <v>4815</v>
      </c>
      <c r="M612" s="169"/>
    </row>
    <row r="613" ht="15.75" customHeight="1">
      <c r="A613" s="72" t="s">
        <v>502</v>
      </c>
      <c r="B613" s="116" t="s">
        <v>503</v>
      </c>
      <c r="C613" s="279" t="s">
        <v>729</v>
      </c>
      <c r="D613" s="280">
        <v>0.0</v>
      </c>
      <c r="E613" s="281">
        <f>SUMIF(RM_Purchase_YTD!C:C,'RM Rollforward'!A613,RM_Purchase_YTD!E:E)</f>
        <v>0</v>
      </c>
      <c r="F613" s="281">
        <f>SUMIF(RM_InboundProd_YTD!B:B,'RM Rollforward'!A613,RM_InboundProd_YTD!D:D)</f>
        <v>3395</v>
      </c>
      <c r="G613" s="282">
        <f>SUMIF(RM_Outbound_YTD!B:B,'RM Rollforward'!A613,RM_Outbound_YTD!D:D)</f>
        <v>2228</v>
      </c>
      <c r="H613" s="283">
        <f t="shared" si="1"/>
        <v>1167</v>
      </c>
      <c r="I613" s="284"/>
      <c r="J613" s="285">
        <v>45.0</v>
      </c>
      <c r="K613" s="286">
        <v>1.0</v>
      </c>
      <c r="L613" s="287">
        <f t="shared" si="4"/>
        <v>52515</v>
      </c>
      <c r="M613" s="169"/>
    </row>
    <row r="614" ht="15.75" customHeight="1">
      <c r="A614" s="72" t="s">
        <v>510</v>
      </c>
      <c r="B614" s="116" t="s">
        <v>511</v>
      </c>
      <c r="C614" s="279" t="s">
        <v>729</v>
      </c>
      <c r="D614" s="280">
        <v>0.0</v>
      </c>
      <c r="E614" s="281">
        <f>SUMIF(RM_Purchase_YTD!C:C,'RM Rollforward'!A614,RM_Purchase_YTD!E:E)</f>
        <v>0</v>
      </c>
      <c r="F614" s="281">
        <f>SUMIF(RM_InboundProd_YTD!B:B,'RM Rollforward'!A614,RM_InboundProd_YTD!D:D)</f>
        <v>3368</v>
      </c>
      <c r="G614" s="282">
        <f>SUMIF(RM_Outbound_YTD!B:B,'RM Rollforward'!A614,RM_Outbound_YTD!D:D)</f>
        <v>2207</v>
      </c>
      <c r="H614" s="283">
        <f t="shared" si="1"/>
        <v>1161</v>
      </c>
      <c r="I614" s="284"/>
      <c r="J614" s="285">
        <v>45.0</v>
      </c>
      <c r="K614" s="286">
        <v>1.0</v>
      </c>
      <c r="L614" s="287">
        <f t="shared" si="4"/>
        <v>52245</v>
      </c>
      <c r="M614" s="169"/>
    </row>
    <row r="615" ht="15.75" customHeight="1">
      <c r="A615" s="72" t="s">
        <v>492</v>
      </c>
      <c r="B615" s="116" t="s">
        <v>493</v>
      </c>
      <c r="C615" s="279" t="s">
        <v>729</v>
      </c>
      <c r="D615" s="280">
        <v>0.0</v>
      </c>
      <c r="E615" s="281">
        <f>SUMIF(RM_Purchase_YTD!C:C,'RM Rollforward'!A615,RM_Purchase_YTD!E:E)</f>
        <v>0</v>
      </c>
      <c r="F615" s="281">
        <f>SUMIF(RM_InboundProd_YTD!B:B,'RM Rollforward'!A615,RM_InboundProd_YTD!D:D)</f>
        <v>829</v>
      </c>
      <c r="G615" s="282">
        <f>SUMIF(RM_Outbound_YTD!B:B,'RM Rollforward'!A615,RM_Outbound_YTD!D:D)</f>
        <v>829</v>
      </c>
      <c r="H615" s="283">
        <f t="shared" si="1"/>
        <v>0</v>
      </c>
      <c r="I615" s="284"/>
      <c r="J615" s="285">
        <v>45.0</v>
      </c>
      <c r="K615" s="286">
        <v>1.0</v>
      </c>
      <c r="L615" s="287">
        <f t="shared" si="4"/>
        <v>0</v>
      </c>
      <c r="M615" s="169"/>
    </row>
    <row r="616" ht="15.75" customHeight="1">
      <c r="A616" s="72" t="s">
        <v>1464</v>
      </c>
      <c r="B616" s="116" t="s">
        <v>1465</v>
      </c>
      <c r="C616" s="279" t="s">
        <v>729</v>
      </c>
      <c r="D616" s="280">
        <v>0.0</v>
      </c>
      <c r="E616" s="281">
        <f>SUMIF(RM_Purchase_YTD!C:C,'RM Rollforward'!A616,RM_Purchase_YTD!E:E)</f>
        <v>0</v>
      </c>
      <c r="F616" s="281">
        <f>SUMIF(RM_InboundProd_YTD!B:B,'RM Rollforward'!A616,RM_InboundProd_YTD!D:D)</f>
        <v>0</v>
      </c>
      <c r="G616" s="282">
        <f>SUMIF(RM_Outbound_YTD!B:B,'RM Rollforward'!A616,RM_Outbound_YTD!D:D)</f>
        <v>0</v>
      </c>
      <c r="H616" s="283">
        <f t="shared" si="1"/>
        <v>0</v>
      </c>
      <c r="I616" s="284"/>
      <c r="J616" s="285">
        <v>45.0</v>
      </c>
      <c r="K616" s="286">
        <v>1.0</v>
      </c>
      <c r="L616" s="287">
        <f t="shared" si="4"/>
        <v>0</v>
      </c>
      <c r="M616" s="169"/>
    </row>
    <row r="617" ht="15.75" customHeight="1">
      <c r="A617" s="72" t="s">
        <v>1466</v>
      </c>
      <c r="B617" s="116" t="s">
        <v>1467</v>
      </c>
      <c r="C617" s="279" t="s">
        <v>729</v>
      </c>
      <c r="D617" s="280">
        <v>0.0</v>
      </c>
      <c r="E617" s="281">
        <f>SUMIF(RM_Purchase_YTD!C:C,'RM Rollforward'!A617,RM_Purchase_YTD!E:E)</f>
        <v>0</v>
      </c>
      <c r="F617" s="281">
        <f>SUMIF(RM_InboundProd_YTD!B:B,'RM Rollforward'!A617,RM_InboundProd_YTD!D:D)</f>
        <v>0</v>
      </c>
      <c r="G617" s="282">
        <f>SUMIF(RM_Outbound_YTD!B:B,'RM Rollforward'!A617,RM_Outbound_YTD!D:D)</f>
        <v>0</v>
      </c>
      <c r="H617" s="283">
        <f t="shared" si="1"/>
        <v>0</v>
      </c>
      <c r="I617" s="284"/>
      <c r="J617" s="285">
        <v>45.0</v>
      </c>
      <c r="K617" s="286">
        <v>1.0</v>
      </c>
      <c r="L617" s="287">
        <f t="shared" si="4"/>
        <v>0</v>
      </c>
      <c r="M617" s="169"/>
    </row>
    <row r="618" ht="15.75" customHeight="1">
      <c r="A618" s="72" t="s">
        <v>1468</v>
      </c>
      <c r="B618" s="116" t="s">
        <v>1469</v>
      </c>
      <c r="C618" s="279" t="s">
        <v>729</v>
      </c>
      <c r="D618" s="280">
        <v>32.0</v>
      </c>
      <c r="E618" s="281">
        <f>SUMIF(RM_Purchase_YTD!C:C,'RM Rollforward'!A618,RM_Purchase_YTD!E:E)</f>
        <v>0</v>
      </c>
      <c r="F618" s="281">
        <f>SUMIF(RM_InboundProd_YTD!B:B,'RM Rollforward'!A618,RM_InboundProd_YTD!D:D)</f>
        <v>0</v>
      </c>
      <c r="G618" s="282">
        <f>SUMIF(RM_Outbound_YTD!B:B,'RM Rollforward'!A618,RM_Outbound_YTD!D:D)</f>
        <v>0</v>
      </c>
      <c r="H618" s="283">
        <f t="shared" si="1"/>
        <v>32</v>
      </c>
      <c r="I618" s="284"/>
      <c r="J618" s="285">
        <v>45.0</v>
      </c>
      <c r="K618" s="286">
        <v>1.0</v>
      </c>
      <c r="L618" s="287">
        <f t="shared" si="4"/>
        <v>1440</v>
      </c>
      <c r="M618" s="169"/>
    </row>
    <row r="619" ht="15.75" customHeight="1">
      <c r="A619" s="72" t="s">
        <v>1470</v>
      </c>
      <c r="B619" s="116" t="s">
        <v>1471</v>
      </c>
      <c r="C619" s="279" t="s">
        <v>729</v>
      </c>
      <c r="D619" s="280">
        <v>0.0</v>
      </c>
      <c r="E619" s="281">
        <f>SUMIF(RM_Purchase_YTD!C:C,'RM Rollforward'!A619,RM_Purchase_YTD!E:E)</f>
        <v>0</v>
      </c>
      <c r="F619" s="281">
        <f>SUMIF(RM_InboundProd_YTD!B:B,'RM Rollforward'!A619,RM_InboundProd_YTD!D:D)</f>
        <v>0</v>
      </c>
      <c r="G619" s="282">
        <f>SUMIF(RM_Outbound_YTD!B:B,'RM Rollforward'!A619,RM_Outbound_YTD!D:D)</f>
        <v>0</v>
      </c>
      <c r="H619" s="283">
        <f t="shared" si="1"/>
        <v>0</v>
      </c>
      <c r="I619" s="284"/>
      <c r="J619" s="285">
        <v>45.0</v>
      </c>
      <c r="K619" s="286">
        <v>1.0</v>
      </c>
      <c r="L619" s="287">
        <f t="shared" si="4"/>
        <v>0</v>
      </c>
      <c r="M619" s="169"/>
    </row>
    <row r="620" ht="15.75" customHeight="1">
      <c r="A620" s="72" t="s">
        <v>1472</v>
      </c>
      <c r="B620" s="116" t="s">
        <v>1473</v>
      </c>
      <c r="C620" s="279" t="s">
        <v>729</v>
      </c>
      <c r="D620" s="280">
        <v>0.0</v>
      </c>
      <c r="E620" s="281">
        <f>SUMIF(RM_Purchase_YTD!C:C,'RM Rollforward'!A620,RM_Purchase_YTD!E:E)</f>
        <v>0</v>
      </c>
      <c r="F620" s="281">
        <f>SUMIF(RM_InboundProd_YTD!B:B,'RM Rollforward'!A620,RM_InboundProd_YTD!D:D)</f>
        <v>0</v>
      </c>
      <c r="G620" s="282">
        <f>SUMIF(RM_Outbound_YTD!B:B,'RM Rollforward'!A620,RM_Outbound_YTD!D:D)</f>
        <v>0</v>
      </c>
      <c r="H620" s="283">
        <f t="shared" si="1"/>
        <v>0</v>
      </c>
      <c r="I620" s="284"/>
      <c r="J620" s="285">
        <v>45.0</v>
      </c>
      <c r="K620" s="286">
        <v>1.0</v>
      </c>
      <c r="L620" s="287">
        <f t="shared" si="4"/>
        <v>0</v>
      </c>
      <c r="M620" s="169"/>
    </row>
    <row r="621" ht="15.75" customHeight="1">
      <c r="A621" s="72" t="s">
        <v>1474</v>
      </c>
      <c r="B621" s="116" t="s">
        <v>1475</v>
      </c>
      <c r="C621" s="279" t="s">
        <v>729</v>
      </c>
      <c r="D621" s="280">
        <v>0.0</v>
      </c>
      <c r="E621" s="281">
        <f>SUMIF(RM_Purchase_YTD!C:C,'RM Rollforward'!A621,RM_Purchase_YTD!E:E)</f>
        <v>0</v>
      </c>
      <c r="F621" s="281">
        <f>SUMIF(RM_InboundProd_YTD!B:B,'RM Rollforward'!A621,RM_InboundProd_YTD!D:D)</f>
        <v>0</v>
      </c>
      <c r="G621" s="282">
        <f>SUMIF(RM_Outbound_YTD!B:B,'RM Rollforward'!A621,RM_Outbound_YTD!D:D)</f>
        <v>0</v>
      </c>
      <c r="H621" s="283">
        <f t="shared" si="1"/>
        <v>0</v>
      </c>
      <c r="I621" s="284"/>
      <c r="J621" s="285">
        <v>45.0</v>
      </c>
      <c r="K621" s="286">
        <v>1.0</v>
      </c>
      <c r="L621" s="287">
        <f t="shared" si="4"/>
        <v>0</v>
      </c>
      <c r="M621" s="169"/>
    </row>
    <row r="622" ht="15.75" customHeight="1">
      <c r="A622" s="72" t="s">
        <v>1476</v>
      </c>
      <c r="B622" s="116" t="s">
        <v>1477</v>
      </c>
      <c r="C622" s="279" t="s">
        <v>729</v>
      </c>
      <c r="D622" s="280">
        <v>32.0</v>
      </c>
      <c r="E622" s="281">
        <f>SUMIF(RM_Purchase_YTD!C:C,'RM Rollforward'!A622,RM_Purchase_YTD!E:E)</f>
        <v>0</v>
      </c>
      <c r="F622" s="281">
        <f>SUMIF(RM_InboundProd_YTD!B:B,'RM Rollforward'!A622,RM_InboundProd_YTD!D:D)</f>
        <v>0</v>
      </c>
      <c r="G622" s="282">
        <f>SUMIF(RM_Outbound_YTD!B:B,'RM Rollforward'!A622,RM_Outbound_YTD!D:D)</f>
        <v>0</v>
      </c>
      <c r="H622" s="283">
        <f t="shared" si="1"/>
        <v>32</v>
      </c>
      <c r="I622" s="284"/>
      <c r="J622" s="285">
        <v>45.0</v>
      </c>
      <c r="K622" s="286">
        <v>1.0</v>
      </c>
      <c r="L622" s="287">
        <f t="shared" si="4"/>
        <v>1440</v>
      </c>
      <c r="M622" s="169"/>
    </row>
    <row r="623" ht="15.75" customHeight="1">
      <c r="A623" s="72" t="s">
        <v>1478</v>
      </c>
      <c r="B623" s="116" t="s">
        <v>1479</v>
      </c>
      <c r="C623" s="279" t="s">
        <v>729</v>
      </c>
      <c r="D623" s="280">
        <v>0.0</v>
      </c>
      <c r="E623" s="281">
        <f>SUMIF(RM_Purchase_YTD!C:C,'RM Rollforward'!A623,RM_Purchase_YTD!E:E)</f>
        <v>0</v>
      </c>
      <c r="F623" s="281">
        <f>SUMIF(RM_InboundProd_YTD!B:B,'RM Rollforward'!A623,RM_InboundProd_YTD!D:D)</f>
        <v>0</v>
      </c>
      <c r="G623" s="282">
        <f>SUMIF(RM_Outbound_YTD!B:B,'RM Rollforward'!A623,RM_Outbound_YTD!D:D)</f>
        <v>0</v>
      </c>
      <c r="H623" s="283">
        <f t="shared" si="1"/>
        <v>0</v>
      </c>
      <c r="I623" s="284"/>
      <c r="J623" s="285">
        <v>45.0</v>
      </c>
      <c r="K623" s="286">
        <v>1.0</v>
      </c>
      <c r="L623" s="287">
        <f t="shared" si="4"/>
        <v>0</v>
      </c>
      <c r="M623" s="169"/>
    </row>
    <row r="624" ht="15.75" customHeight="1">
      <c r="A624" s="72" t="s">
        <v>1480</v>
      </c>
      <c r="B624" s="116" t="s">
        <v>1481</v>
      </c>
      <c r="C624" s="279" t="s">
        <v>729</v>
      </c>
      <c r="D624" s="280">
        <v>0.0</v>
      </c>
      <c r="E624" s="281">
        <f>SUMIF(RM_Purchase_YTD!C:C,'RM Rollforward'!A624,RM_Purchase_YTD!E:E)</f>
        <v>0</v>
      </c>
      <c r="F624" s="281">
        <f>SUMIF(RM_InboundProd_YTD!B:B,'RM Rollforward'!A624,RM_InboundProd_YTD!D:D)</f>
        <v>0</v>
      </c>
      <c r="G624" s="282">
        <f>SUMIF(RM_Outbound_YTD!B:B,'RM Rollforward'!A624,RM_Outbound_YTD!D:D)</f>
        <v>0</v>
      </c>
      <c r="H624" s="283">
        <f t="shared" si="1"/>
        <v>0</v>
      </c>
      <c r="I624" s="284"/>
      <c r="J624" s="285">
        <v>45.0</v>
      </c>
      <c r="K624" s="286">
        <v>1.0</v>
      </c>
      <c r="L624" s="287">
        <f t="shared" si="4"/>
        <v>0</v>
      </c>
      <c r="M624" s="169"/>
    </row>
    <row r="625" ht="15.75" customHeight="1">
      <c r="A625" s="72" t="s">
        <v>1482</v>
      </c>
      <c r="B625" s="116" t="s">
        <v>1483</v>
      </c>
      <c r="C625" s="279" t="s">
        <v>729</v>
      </c>
      <c r="D625" s="280">
        <v>37.0</v>
      </c>
      <c r="E625" s="281">
        <f>SUMIF(RM_Purchase_YTD!C:C,'RM Rollforward'!A625,RM_Purchase_YTD!E:E)</f>
        <v>0</v>
      </c>
      <c r="F625" s="281">
        <f>SUMIF(RM_InboundProd_YTD!B:B,'RM Rollforward'!A625,RM_InboundProd_YTD!D:D)</f>
        <v>0</v>
      </c>
      <c r="G625" s="282">
        <f>SUMIF(RM_Outbound_YTD!B:B,'RM Rollforward'!A625,RM_Outbound_YTD!D:D)</f>
        <v>0</v>
      </c>
      <c r="H625" s="283">
        <f t="shared" si="1"/>
        <v>37</v>
      </c>
      <c r="I625" s="284"/>
      <c r="J625" s="285">
        <v>45.0</v>
      </c>
      <c r="K625" s="286">
        <v>1.0</v>
      </c>
      <c r="L625" s="287">
        <f t="shared" si="4"/>
        <v>1665</v>
      </c>
      <c r="M625" s="169"/>
    </row>
    <row r="626" ht="15.75" customHeight="1">
      <c r="A626" s="72" t="s">
        <v>1484</v>
      </c>
      <c r="B626" s="116" t="s">
        <v>1485</v>
      </c>
      <c r="C626" s="279" t="s">
        <v>729</v>
      </c>
      <c r="D626" s="280">
        <v>0.0</v>
      </c>
      <c r="E626" s="281">
        <f>SUMIF(RM_Purchase_YTD!C:C,'RM Rollforward'!A626,RM_Purchase_YTD!E:E)</f>
        <v>0</v>
      </c>
      <c r="F626" s="281">
        <f>SUMIF(RM_InboundProd_YTD!B:B,'RM Rollforward'!A626,RM_InboundProd_YTD!D:D)</f>
        <v>0</v>
      </c>
      <c r="G626" s="282">
        <f>SUMIF(RM_Outbound_YTD!B:B,'RM Rollforward'!A626,RM_Outbound_YTD!D:D)</f>
        <v>0</v>
      </c>
      <c r="H626" s="283">
        <f t="shared" si="1"/>
        <v>0</v>
      </c>
      <c r="I626" s="284"/>
      <c r="J626" s="285">
        <v>45.0</v>
      </c>
      <c r="K626" s="286">
        <v>1.0</v>
      </c>
      <c r="L626" s="287">
        <f t="shared" si="4"/>
        <v>0</v>
      </c>
      <c r="M626" s="169"/>
    </row>
    <row r="627" ht="15.75" customHeight="1">
      <c r="A627" s="72" t="s">
        <v>1486</v>
      </c>
      <c r="B627" s="116" t="s">
        <v>1487</v>
      </c>
      <c r="C627" s="279" t="s">
        <v>729</v>
      </c>
      <c r="D627" s="280">
        <v>0.0</v>
      </c>
      <c r="E627" s="281">
        <f>SUMIF(RM_Purchase_YTD!C:C,'RM Rollforward'!A627,RM_Purchase_YTD!E:E)</f>
        <v>0</v>
      </c>
      <c r="F627" s="281">
        <f>SUMIF(RM_InboundProd_YTD!B:B,'RM Rollforward'!A627,RM_InboundProd_YTD!D:D)</f>
        <v>0</v>
      </c>
      <c r="G627" s="282">
        <f>SUMIF(RM_Outbound_YTD!B:B,'RM Rollforward'!A627,RM_Outbound_YTD!D:D)</f>
        <v>0</v>
      </c>
      <c r="H627" s="283">
        <f t="shared" si="1"/>
        <v>0</v>
      </c>
      <c r="I627" s="284"/>
      <c r="J627" s="285">
        <v>45.0</v>
      </c>
      <c r="K627" s="286">
        <v>1.0</v>
      </c>
      <c r="L627" s="287">
        <f t="shared" si="4"/>
        <v>0</v>
      </c>
      <c r="M627" s="169"/>
    </row>
    <row r="628" ht="15.75" customHeight="1">
      <c r="A628" s="72" t="s">
        <v>1488</v>
      </c>
      <c r="B628" s="116" t="s">
        <v>1489</v>
      </c>
      <c r="C628" s="279" t="s">
        <v>729</v>
      </c>
      <c r="D628" s="280">
        <v>0.0</v>
      </c>
      <c r="E628" s="281">
        <f>SUMIF(RM_Purchase_YTD!C:C,'RM Rollforward'!A628,RM_Purchase_YTD!E:E)</f>
        <v>0</v>
      </c>
      <c r="F628" s="281">
        <f>SUMIF(RM_InboundProd_YTD!B:B,'RM Rollforward'!A628,RM_InboundProd_YTD!D:D)</f>
        <v>0</v>
      </c>
      <c r="G628" s="282">
        <f>SUMIF(RM_Outbound_YTD!B:B,'RM Rollforward'!A628,RM_Outbound_YTD!D:D)</f>
        <v>0</v>
      </c>
      <c r="H628" s="283">
        <f t="shared" si="1"/>
        <v>0</v>
      </c>
      <c r="I628" s="284"/>
      <c r="J628" s="285">
        <v>45.0</v>
      </c>
      <c r="K628" s="286">
        <v>1.0</v>
      </c>
      <c r="L628" s="287">
        <f t="shared" si="4"/>
        <v>0</v>
      </c>
      <c r="M628" s="169"/>
    </row>
    <row r="629" ht="15.75" customHeight="1">
      <c r="A629" s="72" t="s">
        <v>1490</v>
      </c>
      <c r="B629" s="116" t="s">
        <v>1491</v>
      </c>
      <c r="C629" s="279" t="s">
        <v>729</v>
      </c>
      <c r="D629" s="280">
        <v>0.0</v>
      </c>
      <c r="E629" s="281">
        <f>SUMIF(RM_Purchase_YTD!C:C,'RM Rollforward'!A629,RM_Purchase_YTD!E:E)</f>
        <v>0</v>
      </c>
      <c r="F629" s="281">
        <f>SUMIF(RM_InboundProd_YTD!B:B,'RM Rollforward'!A629,RM_InboundProd_YTD!D:D)</f>
        <v>0</v>
      </c>
      <c r="G629" s="282">
        <f>SUMIF(RM_Outbound_YTD!B:B,'RM Rollforward'!A629,RM_Outbound_YTD!D:D)</f>
        <v>0</v>
      </c>
      <c r="H629" s="283">
        <f t="shared" si="1"/>
        <v>0</v>
      </c>
      <c r="I629" s="284"/>
      <c r="J629" s="285">
        <v>45.0</v>
      </c>
      <c r="K629" s="286">
        <v>1.0</v>
      </c>
      <c r="L629" s="287">
        <f t="shared" si="4"/>
        <v>0</v>
      </c>
      <c r="M629" s="169"/>
    </row>
    <row r="630" ht="15.75" customHeight="1">
      <c r="A630" s="72" t="s">
        <v>1492</v>
      </c>
      <c r="B630" s="116" t="s">
        <v>1493</v>
      </c>
      <c r="C630" s="279" t="s">
        <v>729</v>
      </c>
      <c r="D630" s="280">
        <v>0.0</v>
      </c>
      <c r="E630" s="281">
        <f>SUMIF(RM_Purchase_YTD!C:C,'RM Rollforward'!A630,RM_Purchase_YTD!E:E)</f>
        <v>0</v>
      </c>
      <c r="F630" s="281">
        <f>SUMIF(RM_InboundProd_YTD!B:B,'RM Rollforward'!A630,RM_InboundProd_YTD!D:D)</f>
        <v>0</v>
      </c>
      <c r="G630" s="282">
        <f>SUMIF(RM_Outbound_YTD!B:B,'RM Rollforward'!A630,RM_Outbound_YTD!D:D)</f>
        <v>0</v>
      </c>
      <c r="H630" s="283">
        <f t="shared" si="1"/>
        <v>0</v>
      </c>
      <c r="I630" s="284"/>
      <c r="J630" s="285">
        <v>45.0</v>
      </c>
      <c r="K630" s="286">
        <v>1.0</v>
      </c>
      <c r="L630" s="287">
        <f t="shared" si="4"/>
        <v>0</v>
      </c>
      <c r="M630" s="169"/>
    </row>
    <row r="631" ht="15.75" customHeight="1">
      <c r="A631" s="72" t="s">
        <v>1494</v>
      </c>
      <c r="B631" s="116" t="s">
        <v>1495</v>
      </c>
      <c r="C631" s="279" t="s">
        <v>729</v>
      </c>
      <c r="D631" s="280">
        <v>0.0</v>
      </c>
      <c r="E631" s="281">
        <f>SUMIF(RM_Purchase_YTD!C:C,'RM Rollforward'!A631,RM_Purchase_YTD!E:E)</f>
        <v>0</v>
      </c>
      <c r="F631" s="281">
        <f>SUMIF(RM_InboundProd_YTD!B:B,'RM Rollforward'!A631,RM_InboundProd_YTD!D:D)</f>
        <v>0</v>
      </c>
      <c r="G631" s="282">
        <f>SUMIF(RM_Outbound_YTD!B:B,'RM Rollforward'!A631,RM_Outbound_YTD!D:D)</f>
        <v>0</v>
      </c>
      <c r="H631" s="283">
        <f t="shared" si="1"/>
        <v>0</v>
      </c>
      <c r="I631" s="284"/>
      <c r="J631" s="285">
        <v>45.0</v>
      </c>
      <c r="K631" s="286">
        <v>1.0</v>
      </c>
      <c r="L631" s="287">
        <f t="shared" si="4"/>
        <v>0</v>
      </c>
      <c r="M631" s="169"/>
    </row>
    <row r="632" ht="15.75" customHeight="1">
      <c r="A632" s="72" t="s">
        <v>1496</v>
      </c>
      <c r="B632" s="116" t="s">
        <v>1497</v>
      </c>
      <c r="C632" s="279" t="s">
        <v>729</v>
      </c>
      <c r="D632" s="280">
        <v>0.0</v>
      </c>
      <c r="E632" s="281">
        <f>SUMIF(RM_Purchase_YTD!C:C,'RM Rollforward'!A632,RM_Purchase_YTD!E:E)</f>
        <v>0</v>
      </c>
      <c r="F632" s="281">
        <f>SUMIF(RM_InboundProd_YTD!B:B,'RM Rollforward'!A632,RM_InboundProd_YTD!D:D)</f>
        <v>0</v>
      </c>
      <c r="G632" s="282">
        <f>SUMIF(RM_Outbound_YTD!B:B,'RM Rollforward'!A632,RM_Outbound_YTD!D:D)</f>
        <v>0</v>
      </c>
      <c r="H632" s="283">
        <f t="shared" si="1"/>
        <v>0</v>
      </c>
      <c r="I632" s="284"/>
      <c r="J632" s="285">
        <v>45.0</v>
      </c>
      <c r="K632" s="286">
        <v>1.0</v>
      </c>
      <c r="L632" s="287">
        <f t="shared" si="4"/>
        <v>0</v>
      </c>
      <c r="M632" s="169"/>
    </row>
    <row r="633" ht="15.75" customHeight="1">
      <c r="A633" s="72" t="s">
        <v>1498</v>
      </c>
      <c r="B633" s="116" t="s">
        <v>1499</v>
      </c>
      <c r="C633" s="279" t="s">
        <v>729</v>
      </c>
      <c r="D633" s="280">
        <v>0.0</v>
      </c>
      <c r="E633" s="281">
        <f>SUMIF(RM_Purchase_YTD!C:C,'RM Rollforward'!A633,RM_Purchase_YTD!E:E)</f>
        <v>0</v>
      </c>
      <c r="F633" s="281">
        <f>SUMIF(RM_InboundProd_YTD!B:B,'RM Rollforward'!A633,RM_InboundProd_YTD!D:D)</f>
        <v>0</v>
      </c>
      <c r="G633" s="282">
        <f>SUMIF(RM_Outbound_YTD!B:B,'RM Rollforward'!A633,RM_Outbound_YTD!D:D)</f>
        <v>0</v>
      </c>
      <c r="H633" s="283">
        <f t="shared" si="1"/>
        <v>0</v>
      </c>
      <c r="I633" s="284"/>
      <c r="J633" s="285">
        <v>45.0</v>
      </c>
      <c r="K633" s="286">
        <v>1.0</v>
      </c>
      <c r="L633" s="287">
        <f t="shared" si="4"/>
        <v>0</v>
      </c>
      <c r="M633" s="169"/>
    </row>
    <row r="634" ht="15.75" customHeight="1">
      <c r="A634" s="72" t="s">
        <v>1500</v>
      </c>
      <c r="B634" s="116" t="s">
        <v>1501</v>
      </c>
      <c r="C634" s="279" t="s">
        <v>729</v>
      </c>
      <c r="D634" s="280">
        <v>0.0</v>
      </c>
      <c r="E634" s="281">
        <f>SUMIF(RM_Purchase_YTD!C:C,'RM Rollforward'!A634,RM_Purchase_YTD!E:E)</f>
        <v>0</v>
      </c>
      <c r="F634" s="281">
        <f>SUMIF(RM_InboundProd_YTD!B:B,'RM Rollforward'!A634,RM_InboundProd_YTD!D:D)</f>
        <v>0</v>
      </c>
      <c r="G634" s="282">
        <f>SUMIF(RM_Outbound_YTD!B:B,'RM Rollforward'!A634,RM_Outbound_YTD!D:D)</f>
        <v>0</v>
      </c>
      <c r="H634" s="283">
        <f t="shared" si="1"/>
        <v>0</v>
      </c>
      <c r="I634" s="284"/>
      <c r="J634" s="285">
        <v>45.0</v>
      </c>
      <c r="K634" s="286">
        <v>1.0</v>
      </c>
      <c r="L634" s="287">
        <f t="shared" si="4"/>
        <v>0</v>
      </c>
      <c r="M634" s="169"/>
    </row>
    <row r="635" ht="15.75" customHeight="1">
      <c r="A635" s="72" t="s">
        <v>1502</v>
      </c>
      <c r="B635" s="116" t="s">
        <v>1503</v>
      </c>
      <c r="C635" s="279" t="s">
        <v>729</v>
      </c>
      <c r="D635" s="280">
        <v>0.0</v>
      </c>
      <c r="E635" s="281">
        <f>SUMIF(RM_Purchase_YTD!C:C,'RM Rollforward'!A635,RM_Purchase_YTD!E:E)</f>
        <v>0</v>
      </c>
      <c r="F635" s="281">
        <f>SUMIF(RM_InboundProd_YTD!B:B,'RM Rollforward'!A635,RM_InboundProd_YTD!D:D)</f>
        <v>0</v>
      </c>
      <c r="G635" s="282">
        <f>SUMIF(RM_Outbound_YTD!B:B,'RM Rollforward'!A635,RM_Outbound_YTD!D:D)</f>
        <v>0</v>
      </c>
      <c r="H635" s="283">
        <f t="shared" si="1"/>
        <v>0</v>
      </c>
      <c r="I635" s="284"/>
      <c r="J635" s="285">
        <v>45.0</v>
      </c>
      <c r="K635" s="286">
        <v>1.0</v>
      </c>
      <c r="L635" s="287">
        <f t="shared" si="4"/>
        <v>0</v>
      </c>
      <c r="M635" s="169"/>
    </row>
    <row r="636" ht="15.75" customHeight="1">
      <c r="A636" s="72" t="s">
        <v>1504</v>
      </c>
      <c r="B636" s="116" t="s">
        <v>1505</v>
      </c>
      <c r="C636" s="279" t="s">
        <v>729</v>
      </c>
      <c r="D636" s="280">
        <v>0.0</v>
      </c>
      <c r="E636" s="281">
        <f>SUMIF(RM_Purchase_YTD!C:C,'RM Rollforward'!A636,RM_Purchase_YTD!E:E)</f>
        <v>0</v>
      </c>
      <c r="F636" s="281">
        <f>SUMIF(RM_InboundProd_YTD!B:B,'RM Rollforward'!A636,RM_InboundProd_YTD!D:D)</f>
        <v>0</v>
      </c>
      <c r="G636" s="282">
        <f>SUMIF(RM_Outbound_YTD!B:B,'RM Rollforward'!A636,RM_Outbound_YTD!D:D)</f>
        <v>0</v>
      </c>
      <c r="H636" s="283">
        <f t="shared" si="1"/>
        <v>0</v>
      </c>
      <c r="I636" s="284"/>
      <c r="J636" s="285">
        <v>45.0</v>
      </c>
      <c r="K636" s="286">
        <v>1.0</v>
      </c>
      <c r="L636" s="287">
        <f t="shared" si="4"/>
        <v>0</v>
      </c>
      <c r="M636" s="169"/>
    </row>
    <row r="637" ht="15.75" customHeight="1">
      <c r="A637" s="72" t="s">
        <v>1506</v>
      </c>
      <c r="B637" s="116" t="s">
        <v>1507</v>
      </c>
      <c r="C637" s="279" t="s">
        <v>729</v>
      </c>
      <c r="D637" s="280">
        <v>0.0</v>
      </c>
      <c r="E637" s="281">
        <f>SUMIF(RM_Purchase_YTD!C:C,'RM Rollforward'!A637,RM_Purchase_YTD!E:E)</f>
        <v>0</v>
      </c>
      <c r="F637" s="281">
        <f>SUMIF(RM_InboundProd_YTD!B:B,'RM Rollforward'!A637,RM_InboundProd_YTD!D:D)</f>
        <v>0</v>
      </c>
      <c r="G637" s="282">
        <f>SUMIF(RM_Outbound_YTD!B:B,'RM Rollforward'!A637,RM_Outbound_YTD!D:D)</f>
        <v>0</v>
      </c>
      <c r="H637" s="283">
        <f t="shared" si="1"/>
        <v>0</v>
      </c>
      <c r="I637" s="284"/>
      <c r="J637" s="285">
        <v>45.0</v>
      </c>
      <c r="K637" s="286">
        <v>1.0</v>
      </c>
      <c r="L637" s="287">
        <f t="shared" si="4"/>
        <v>0</v>
      </c>
      <c r="M637" s="169"/>
    </row>
    <row r="638" ht="15.75" customHeight="1">
      <c r="A638" s="72" t="s">
        <v>1508</v>
      </c>
      <c r="B638" s="116" t="s">
        <v>1509</v>
      </c>
      <c r="C638" s="279" t="s">
        <v>729</v>
      </c>
      <c r="D638" s="280">
        <v>77.0</v>
      </c>
      <c r="E638" s="281">
        <f>SUMIF(RM_Purchase_YTD!C:C,'RM Rollforward'!A638,RM_Purchase_YTD!E:E)</f>
        <v>0</v>
      </c>
      <c r="F638" s="281">
        <f>SUMIF(RM_InboundProd_YTD!B:B,'RM Rollforward'!A638,RM_InboundProd_YTD!D:D)</f>
        <v>0</v>
      </c>
      <c r="G638" s="282">
        <f>SUMIF(RM_Outbound_YTD!B:B,'RM Rollforward'!A638,RM_Outbound_YTD!D:D)</f>
        <v>0</v>
      </c>
      <c r="H638" s="283">
        <f t="shared" si="1"/>
        <v>77</v>
      </c>
      <c r="I638" s="284"/>
      <c r="J638" s="285">
        <v>45.0</v>
      </c>
      <c r="K638" s="286">
        <v>1.0</v>
      </c>
      <c r="L638" s="287">
        <f t="shared" si="4"/>
        <v>3465</v>
      </c>
      <c r="M638" s="169"/>
    </row>
    <row r="639" ht="15.75" customHeight="1">
      <c r="A639" s="72" t="s">
        <v>1510</v>
      </c>
      <c r="B639" s="116" t="s">
        <v>1511</v>
      </c>
      <c r="C639" s="279" t="s">
        <v>729</v>
      </c>
      <c r="D639" s="280">
        <v>0.0</v>
      </c>
      <c r="E639" s="281">
        <f>SUMIF(RM_Purchase_YTD!C:C,'RM Rollforward'!A639,RM_Purchase_YTD!E:E)</f>
        <v>0</v>
      </c>
      <c r="F639" s="281">
        <f>SUMIF(RM_InboundProd_YTD!B:B,'RM Rollforward'!A639,RM_InboundProd_YTD!D:D)</f>
        <v>0</v>
      </c>
      <c r="G639" s="282">
        <f>SUMIF(RM_Outbound_YTD!B:B,'RM Rollforward'!A639,RM_Outbound_YTD!D:D)</f>
        <v>0</v>
      </c>
      <c r="H639" s="283">
        <f t="shared" si="1"/>
        <v>0</v>
      </c>
      <c r="I639" s="284"/>
      <c r="J639" s="285">
        <v>45.0</v>
      </c>
      <c r="K639" s="286">
        <v>1.0</v>
      </c>
      <c r="L639" s="287">
        <f t="shared" si="4"/>
        <v>0</v>
      </c>
      <c r="M639" s="169"/>
    </row>
    <row r="640" ht="15.75" customHeight="1">
      <c r="A640" s="72" t="s">
        <v>1512</v>
      </c>
      <c r="B640" s="116" t="s">
        <v>1513</v>
      </c>
      <c r="C640" s="279" t="s">
        <v>729</v>
      </c>
      <c r="D640" s="280">
        <v>0.0</v>
      </c>
      <c r="E640" s="281">
        <f>SUMIF(RM_Purchase_YTD!C:C,'RM Rollforward'!A640,RM_Purchase_YTD!E:E)</f>
        <v>0</v>
      </c>
      <c r="F640" s="281">
        <f>SUMIF(RM_InboundProd_YTD!B:B,'RM Rollforward'!A640,RM_InboundProd_YTD!D:D)</f>
        <v>0</v>
      </c>
      <c r="G640" s="282">
        <f>SUMIF(RM_Outbound_YTD!B:B,'RM Rollforward'!A640,RM_Outbound_YTD!D:D)</f>
        <v>0</v>
      </c>
      <c r="H640" s="283">
        <f t="shared" si="1"/>
        <v>0</v>
      </c>
      <c r="I640" s="284"/>
      <c r="J640" s="285">
        <v>45.0</v>
      </c>
      <c r="K640" s="286">
        <v>1.0</v>
      </c>
      <c r="L640" s="287">
        <f t="shared" si="4"/>
        <v>0</v>
      </c>
      <c r="M640" s="169"/>
    </row>
    <row r="641" ht="15.75" customHeight="1">
      <c r="A641" s="72" t="s">
        <v>1514</v>
      </c>
      <c r="B641" s="116" t="s">
        <v>1515</v>
      </c>
      <c r="C641" s="279" t="s">
        <v>729</v>
      </c>
      <c r="D641" s="280">
        <v>0.0</v>
      </c>
      <c r="E641" s="281">
        <f>SUMIF(RM_Purchase_YTD!C:C,'RM Rollforward'!A641,RM_Purchase_YTD!E:E)</f>
        <v>0</v>
      </c>
      <c r="F641" s="281">
        <f>SUMIF(RM_InboundProd_YTD!B:B,'RM Rollforward'!A641,RM_InboundProd_YTD!D:D)</f>
        <v>0</v>
      </c>
      <c r="G641" s="282">
        <f>SUMIF(RM_Outbound_YTD!B:B,'RM Rollforward'!A641,RM_Outbound_YTD!D:D)</f>
        <v>0</v>
      </c>
      <c r="H641" s="283">
        <f t="shared" si="1"/>
        <v>0</v>
      </c>
      <c r="I641" s="284"/>
      <c r="J641" s="285">
        <v>45.0</v>
      </c>
      <c r="K641" s="286">
        <v>1.0</v>
      </c>
      <c r="L641" s="287">
        <f t="shared" si="4"/>
        <v>0</v>
      </c>
      <c r="M641" s="169"/>
    </row>
    <row r="642" ht="15.75" customHeight="1">
      <c r="A642" s="72" t="s">
        <v>1516</v>
      </c>
      <c r="B642" s="116" t="s">
        <v>1517</v>
      </c>
      <c r="C642" s="279" t="s">
        <v>729</v>
      </c>
      <c r="D642" s="280">
        <v>0.0</v>
      </c>
      <c r="E642" s="281">
        <f>SUMIF(RM_Purchase_YTD!C:C,'RM Rollforward'!A642,RM_Purchase_YTD!E:E)</f>
        <v>0</v>
      </c>
      <c r="F642" s="281">
        <f>SUMIF(RM_InboundProd_YTD!B:B,'RM Rollforward'!A642,RM_InboundProd_YTD!D:D)</f>
        <v>0</v>
      </c>
      <c r="G642" s="282">
        <f>SUMIF(RM_Outbound_YTD!B:B,'RM Rollforward'!A642,RM_Outbound_YTD!D:D)</f>
        <v>0</v>
      </c>
      <c r="H642" s="283">
        <f t="shared" si="1"/>
        <v>0</v>
      </c>
      <c r="I642" s="284"/>
      <c r="J642" s="285">
        <v>45.0</v>
      </c>
      <c r="K642" s="286">
        <v>1.0</v>
      </c>
      <c r="L642" s="287">
        <f t="shared" si="4"/>
        <v>0</v>
      </c>
      <c r="M642" s="169"/>
    </row>
    <row r="643" ht="15.75" customHeight="1">
      <c r="A643" s="72" t="s">
        <v>1518</v>
      </c>
      <c r="B643" s="116" t="s">
        <v>1519</v>
      </c>
      <c r="C643" s="279" t="s">
        <v>729</v>
      </c>
      <c r="D643" s="280">
        <v>0.0</v>
      </c>
      <c r="E643" s="281">
        <f>SUMIF(RM_Purchase_YTD!C:C,'RM Rollforward'!A643,RM_Purchase_YTD!E:E)</f>
        <v>0</v>
      </c>
      <c r="F643" s="281">
        <f>SUMIF(RM_InboundProd_YTD!B:B,'RM Rollforward'!A643,RM_InboundProd_YTD!D:D)</f>
        <v>0</v>
      </c>
      <c r="G643" s="282">
        <f>SUMIF(RM_Outbound_YTD!B:B,'RM Rollforward'!A643,RM_Outbound_YTD!D:D)</f>
        <v>0</v>
      </c>
      <c r="H643" s="283">
        <f t="shared" si="1"/>
        <v>0</v>
      </c>
      <c r="I643" s="284"/>
      <c r="J643" s="285">
        <v>45.0</v>
      </c>
      <c r="K643" s="286">
        <v>1.0</v>
      </c>
      <c r="L643" s="287">
        <f t="shared" si="4"/>
        <v>0</v>
      </c>
      <c r="M643" s="169"/>
    </row>
    <row r="644" ht="15.75" customHeight="1">
      <c r="A644" s="72" t="s">
        <v>1520</v>
      </c>
      <c r="B644" s="116" t="s">
        <v>1521</v>
      </c>
      <c r="C644" s="279" t="s">
        <v>729</v>
      </c>
      <c r="D644" s="280">
        <v>0.0</v>
      </c>
      <c r="E644" s="281">
        <f>SUMIF(RM_Purchase_YTD!C:C,'RM Rollforward'!A644,RM_Purchase_YTD!E:E)</f>
        <v>0</v>
      </c>
      <c r="F644" s="281">
        <f>SUMIF(RM_InboundProd_YTD!B:B,'RM Rollforward'!A644,RM_InboundProd_YTD!D:D)</f>
        <v>0</v>
      </c>
      <c r="G644" s="282">
        <f>SUMIF(RM_Outbound_YTD!B:B,'RM Rollforward'!A644,RM_Outbound_YTD!D:D)</f>
        <v>0</v>
      </c>
      <c r="H644" s="283">
        <f t="shared" si="1"/>
        <v>0</v>
      </c>
      <c r="I644" s="284"/>
      <c r="J644" s="285">
        <v>45.0</v>
      </c>
      <c r="K644" s="286">
        <v>1.0</v>
      </c>
      <c r="L644" s="287">
        <f t="shared" si="4"/>
        <v>0</v>
      </c>
      <c r="M644" s="169"/>
    </row>
    <row r="645" ht="15.75" customHeight="1">
      <c r="A645" s="72" t="s">
        <v>1522</v>
      </c>
      <c r="B645" s="116" t="s">
        <v>1523</v>
      </c>
      <c r="C645" s="279" t="s">
        <v>729</v>
      </c>
      <c r="D645" s="280">
        <v>0.0</v>
      </c>
      <c r="E645" s="281">
        <f>SUMIF(RM_Purchase_YTD!C:C,'RM Rollforward'!A645,RM_Purchase_YTD!E:E)</f>
        <v>0</v>
      </c>
      <c r="F645" s="281">
        <f>SUMIF(RM_InboundProd_YTD!B:B,'RM Rollforward'!A645,RM_InboundProd_YTD!D:D)</f>
        <v>0</v>
      </c>
      <c r="G645" s="282">
        <f>SUMIF(RM_Outbound_YTD!B:B,'RM Rollforward'!A645,RM_Outbound_YTD!D:D)</f>
        <v>0</v>
      </c>
      <c r="H645" s="283">
        <f t="shared" si="1"/>
        <v>0</v>
      </c>
      <c r="I645" s="284"/>
      <c r="J645" s="285">
        <v>45.0</v>
      </c>
      <c r="K645" s="286">
        <v>1.0</v>
      </c>
      <c r="L645" s="287">
        <f t="shared" si="4"/>
        <v>0</v>
      </c>
      <c r="M645" s="169"/>
    </row>
    <row r="646" ht="15.75" customHeight="1">
      <c r="A646" s="72" t="s">
        <v>1524</v>
      </c>
      <c r="B646" s="116" t="s">
        <v>1525</v>
      </c>
      <c r="C646" s="279" t="s">
        <v>729</v>
      </c>
      <c r="D646" s="280">
        <v>0.0</v>
      </c>
      <c r="E646" s="281">
        <f>SUMIF(RM_Purchase_YTD!C:C,'RM Rollforward'!A646,RM_Purchase_YTD!E:E)</f>
        <v>0</v>
      </c>
      <c r="F646" s="281">
        <f>SUMIF(RM_InboundProd_YTD!B:B,'RM Rollforward'!A646,RM_InboundProd_YTD!D:D)</f>
        <v>0</v>
      </c>
      <c r="G646" s="282">
        <f>SUMIF(RM_Outbound_YTD!B:B,'RM Rollforward'!A646,RM_Outbound_YTD!D:D)</f>
        <v>0</v>
      </c>
      <c r="H646" s="283">
        <f t="shared" si="1"/>
        <v>0</v>
      </c>
      <c r="I646" s="284"/>
      <c r="J646" s="285">
        <v>45.0</v>
      </c>
      <c r="K646" s="286">
        <v>1.0</v>
      </c>
      <c r="L646" s="287">
        <f t="shared" si="4"/>
        <v>0</v>
      </c>
      <c r="M646" s="169"/>
    </row>
    <row r="647" ht="15.75" customHeight="1">
      <c r="A647" s="72" t="s">
        <v>540</v>
      </c>
      <c r="B647" s="116" t="s">
        <v>541</v>
      </c>
      <c r="C647" s="279" t="s">
        <v>729</v>
      </c>
      <c r="D647" s="280">
        <v>94.0</v>
      </c>
      <c r="E647" s="281">
        <f>SUMIF(RM_Purchase_YTD!C:C,'RM Rollforward'!A647,RM_Purchase_YTD!E:E)</f>
        <v>0</v>
      </c>
      <c r="F647" s="281">
        <f>SUMIF(RM_InboundProd_YTD!B:B,'RM Rollforward'!A647,RM_InboundProd_YTD!D:D)</f>
        <v>1772</v>
      </c>
      <c r="G647" s="282">
        <f>SUMIF(RM_Outbound_YTD!B:B,'RM Rollforward'!A647,RM_Outbound_YTD!D:D)</f>
        <v>1866</v>
      </c>
      <c r="H647" s="283">
        <f t="shared" si="1"/>
        <v>0</v>
      </c>
      <c r="I647" s="284"/>
      <c r="J647" s="285">
        <v>45.0</v>
      </c>
      <c r="K647" s="286">
        <v>1.0</v>
      </c>
      <c r="L647" s="287">
        <f t="shared" si="4"/>
        <v>0</v>
      </c>
      <c r="M647" s="169"/>
    </row>
    <row r="648" ht="15.75" customHeight="1">
      <c r="A648" s="72" t="s">
        <v>514</v>
      </c>
      <c r="B648" s="116" t="s">
        <v>515</v>
      </c>
      <c r="C648" s="279" t="s">
        <v>729</v>
      </c>
      <c r="D648" s="280">
        <v>0.0</v>
      </c>
      <c r="E648" s="281">
        <f>SUMIF(RM_Purchase_YTD!C:C,'RM Rollforward'!A648,RM_Purchase_YTD!E:E)</f>
        <v>0</v>
      </c>
      <c r="F648" s="281">
        <f>SUMIF(RM_InboundProd_YTD!B:B,'RM Rollforward'!A648,RM_InboundProd_YTD!D:D)</f>
        <v>1447</v>
      </c>
      <c r="G648" s="282">
        <f>SUMIF(RM_Outbound_YTD!B:B,'RM Rollforward'!A648,RM_Outbound_YTD!D:D)</f>
        <v>1240</v>
      </c>
      <c r="H648" s="283">
        <f t="shared" si="1"/>
        <v>207</v>
      </c>
      <c r="I648" s="284"/>
      <c r="J648" s="285">
        <v>45.0</v>
      </c>
      <c r="K648" s="286">
        <v>1.0</v>
      </c>
      <c r="L648" s="287">
        <f t="shared" si="4"/>
        <v>9315</v>
      </c>
      <c r="M648" s="169"/>
    </row>
    <row r="649" ht="15.75" customHeight="1">
      <c r="A649" s="72" t="s">
        <v>516</v>
      </c>
      <c r="B649" s="116" t="s">
        <v>517</v>
      </c>
      <c r="C649" s="279" t="s">
        <v>729</v>
      </c>
      <c r="D649" s="280">
        <v>43.0</v>
      </c>
      <c r="E649" s="281">
        <f>SUMIF(RM_Purchase_YTD!C:C,'RM Rollforward'!A649,RM_Purchase_YTD!E:E)</f>
        <v>0</v>
      </c>
      <c r="F649" s="281">
        <f>SUMIF(RM_InboundProd_YTD!B:B,'RM Rollforward'!A649,RM_InboundProd_YTD!D:D)</f>
        <v>570</v>
      </c>
      <c r="G649" s="282">
        <f>SUMIF(RM_Outbound_YTD!B:B,'RM Rollforward'!A649,RM_Outbound_YTD!D:D)</f>
        <v>611</v>
      </c>
      <c r="H649" s="283">
        <f t="shared" si="1"/>
        <v>2</v>
      </c>
      <c r="I649" s="284"/>
      <c r="J649" s="285">
        <v>45.0</v>
      </c>
      <c r="K649" s="286">
        <v>1.0</v>
      </c>
      <c r="L649" s="287">
        <f t="shared" si="4"/>
        <v>90</v>
      </c>
      <c r="M649" s="169"/>
    </row>
    <row r="650" ht="15.75" customHeight="1">
      <c r="A650" s="72" t="s">
        <v>570</v>
      </c>
      <c r="B650" s="116" t="s">
        <v>571</v>
      </c>
      <c r="C650" s="279" t="s">
        <v>729</v>
      </c>
      <c r="D650" s="280">
        <v>0.0</v>
      </c>
      <c r="E650" s="281">
        <f>SUMIF(RM_Purchase_YTD!C:C,'RM Rollforward'!A650,RM_Purchase_YTD!E:E)</f>
        <v>0</v>
      </c>
      <c r="F650" s="281">
        <f>SUMIF(RM_InboundProd_YTD!B:B,'RM Rollforward'!A650,RM_InboundProd_YTD!D:D)</f>
        <v>192</v>
      </c>
      <c r="G650" s="282">
        <f>SUMIF(RM_Outbound_YTD!B:B,'RM Rollforward'!A650,RM_Outbound_YTD!D:D)</f>
        <v>117</v>
      </c>
      <c r="H650" s="283">
        <f t="shared" si="1"/>
        <v>75</v>
      </c>
      <c r="I650" s="284"/>
      <c r="J650" s="285">
        <v>45.0</v>
      </c>
      <c r="K650" s="286">
        <v>1.0</v>
      </c>
      <c r="L650" s="287">
        <f t="shared" si="4"/>
        <v>3375</v>
      </c>
      <c r="M650" s="169"/>
    </row>
    <row r="651" ht="15.75" customHeight="1">
      <c r="A651" s="72" t="s">
        <v>538</v>
      </c>
      <c r="B651" s="116" t="s">
        <v>539</v>
      </c>
      <c r="C651" s="279" t="s">
        <v>729</v>
      </c>
      <c r="D651" s="280">
        <v>0.0</v>
      </c>
      <c r="E651" s="281">
        <f>SUMIF(RM_Purchase_YTD!C:C,'RM Rollforward'!A651,RM_Purchase_YTD!E:E)</f>
        <v>0</v>
      </c>
      <c r="F651" s="281">
        <f>SUMIF(RM_InboundProd_YTD!B:B,'RM Rollforward'!A651,RM_InboundProd_YTD!D:D)</f>
        <v>559</v>
      </c>
      <c r="G651" s="282">
        <f>SUMIF(RM_Outbound_YTD!B:B,'RM Rollforward'!A651,RM_Outbound_YTD!D:D)</f>
        <v>559</v>
      </c>
      <c r="H651" s="283">
        <f t="shared" si="1"/>
        <v>0</v>
      </c>
      <c r="I651" s="284"/>
      <c r="J651" s="285">
        <v>45.0</v>
      </c>
      <c r="K651" s="286">
        <v>1.0</v>
      </c>
      <c r="L651" s="287">
        <f t="shared" si="4"/>
        <v>0</v>
      </c>
      <c r="M651" s="169"/>
    </row>
    <row r="652" ht="15.75" customHeight="1">
      <c r="A652" s="72" t="s">
        <v>1526</v>
      </c>
      <c r="B652" s="116" t="s">
        <v>1527</v>
      </c>
      <c r="C652" s="279" t="s">
        <v>729</v>
      </c>
      <c r="D652" s="280">
        <v>0.0</v>
      </c>
      <c r="E652" s="281">
        <f>SUMIF(RM_Purchase_YTD!C:C,'RM Rollforward'!A652,RM_Purchase_YTD!E:E)</f>
        <v>0</v>
      </c>
      <c r="F652" s="281">
        <f>SUMIF(RM_InboundProd_YTD!B:B,'RM Rollforward'!A652,RM_InboundProd_YTD!D:D)</f>
        <v>0</v>
      </c>
      <c r="G652" s="282">
        <f>SUMIF(RM_Outbound_YTD!B:B,'RM Rollforward'!A652,RM_Outbound_YTD!D:D)</f>
        <v>0</v>
      </c>
      <c r="H652" s="283">
        <f t="shared" si="1"/>
        <v>0</v>
      </c>
      <c r="I652" s="284"/>
      <c r="J652" s="285">
        <v>45.0</v>
      </c>
      <c r="K652" s="286">
        <v>1.0</v>
      </c>
      <c r="L652" s="287">
        <f t="shared" si="4"/>
        <v>0</v>
      </c>
      <c r="M652" s="169"/>
    </row>
    <row r="653" ht="15.75" customHeight="1">
      <c r="A653" s="72" t="s">
        <v>448</v>
      </c>
      <c r="B653" s="116" t="s">
        <v>449</v>
      </c>
      <c r="C653" s="279" t="s">
        <v>729</v>
      </c>
      <c r="D653" s="280">
        <v>184.0</v>
      </c>
      <c r="E653" s="281">
        <f>SUMIF(RM_Purchase_YTD!C:C,'RM Rollforward'!A653,RM_Purchase_YTD!E:E)</f>
        <v>0</v>
      </c>
      <c r="F653" s="281">
        <f>SUMIF(RM_InboundProd_YTD!B:B,'RM Rollforward'!A653,RM_InboundProd_YTD!D:D)</f>
        <v>5529</v>
      </c>
      <c r="G653" s="282">
        <f>SUMIF(RM_Outbound_YTD!B:B,'RM Rollforward'!A653,RM_Outbound_YTD!D:D)</f>
        <v>4563</v>
      </c>
      <c r="H653" s="283">
        <f t="shared" si="1"/>
        <v>1150</v>
      </c>
      <c r="I653" s="284"/>
      <c r="J653" s="285">
        <v>45.0</v>
      </c>
      <c r="K653" s="286">
        <v>1.0</v>
      </c>
      <c r="L653" s="287">
        <f t="shared" si="4"/>
        <v>51750</v>
      </c>
      <c r="M653" s="169"/>
    </row>
    <row r="654" ht="15.75" customHeight="1">
      <c r="A654" s="72" t="s">
        <v>494</v>
      </c>
      <c r="B654" s="116" t="s">
        <v>495</v>
      </c>
      <c r="C654" s="279" t="s">
        <v>729</v>
      </c>
      <c r="D654" s="280">
        <v>27.0</v>
      </c>
      <c r="E654" s="281">
        <f>SUMIF(RM_Purchase_YTD!C:C,'RM Rollforward'!A654,RM_Purchase_YTD!E:E)</f>
        <v>0</v>
      </c>
      <c r="F654" s="281">
        <f>SUMIF(RM_InboundProd_YTD!B:B,'RM Rollforward'!A654,RM_InboundProd_YTD!D:D)</f>
        <v>5419</v>
      </c>
      <c r="G654" s="282">
        <f>SUMIF(RM_Outbound_YTD!B:B,'RM Rollforward'!A654,RM_Outbound_YTD!D:D)</f>
        <v>3579</v>
      </c>
      <c r="H654" s="283">
        <f t="shared" si="1"/>
        <v>1867</v>
      </c>
      <c r="I654" s="284"/>
      <c r="J654" s="285">
        <v>45.0</v>
      </c>
      <c r="K654" s="286">
        <v>1.0</v>
      </c>
      <c r="L654" s="287">
        <f t="shared" si="4"/>
        <v>84015</v>
      </c>
      <c r="M654" s="169"/>
    </row>
    <row r="655" ht="15.75" customHeight="1">
      <c r="A655" s="72" t="s">
        <v>434</v>
      </c>
      <c r="B655" s="116" t="s">
        <v>435</v>
      </c>
      <c r="C655" s="279" t="s">
        <v>729</v>
      </c>
      <c r="D655" s="280">
        <v>31.0</v>
      </c>
      <c r="E655" s="281">
        <f>SUMIF(RM_Purchase_YTD!C:C,'RM Rollforward'!A655,RM_Purchase_YTD!E:E)</f>
        <v>0</v>
      </c>
      <c r="F655" s="281">
        <f>SUMIF(RM_InboundProd_YTD!B:B,'RM Rollforward'!A655,RM_InboundProd_YTD!D:D)</f>
        <v>4387</v>
      </c>
      <c r="G655" s="282">
        <f>SUMIF(RM_Outbound_YTD!B:B,'RM Rollforward'!A655,RM_Outbound_YTD!D:D)</f>
        <v>3764</v>
      </c>
      <c r="H655" s="283">
        <f t="shared" si="1"/>
        <v>654</v>
      </c>
      <c r="I655" s="284"/>
      <c r="J655" s="285">
        <v>45.0</v>
      </c>
      <c r="K655" s="286">
        <v>1.0</v>
      </c>
      <c r="L655" s="287">
        <f t="shared" si="4"/>
        <v>29430</v>
      </c>
      <c r="M655" s="169"/>
    </row>
    <row r="656" ht="15.75" customHeight="1">
      <c r="A656" s="72" t="s">
        <v>436</v>
      </c>
      <c r="B656" s="116" t="s">
        <v>437</v>
      </c>
      <c r="C656" s="279" t="s">
        <v>729</v>
      </c>
      <c r="D656" s="280">
        <v>99.0</v>
      </c>
      <c r="E656" s="281">
        <f>SUMIF(RM_Purchase_YTD!C:C,'RM Rollforward'!A656,RM_Purchase_YTD!E:E)</f>
        <v>0</v>
      </c>
      <c r="F656" s="281">
        <f>SUMIF(RM_InboundProd_YTD!B:B,'RM Rollforward'!A656,RM_InboundProd_YTD!D:D)</f>
        <v>1273</v>
      </c>
      <c r="G656" s="282">
        <f>SUMIF(RM_Outbound_YTD!B:B,'RM Rollforward'!A656,RM_Outbound_YTD!D:D)</f>
        <v>992</v>
      </c>
      <c r="H656" s="283">
        <f t="shared" si="1"/>
        <v>380</v>
      </c>
      <c r="I656" s="284"/>
      <c r="J656" s="285">
        <v>45.0</v>
      </c>
      <c r="K656" s="286">
        <v>1.0</v>
      </c>
      <c r="L656" s="287">
        <f t="shared" si="4"/>
        <v>17100</v>
      </c>
      <c r="M656" s="169"/>
    </row>
    <row r="657" ht="15.75" customHeight="1">
      <c r="A657" s="72" t="s">
        <v>460</v>
      </c>
      <c r="B657" s="116" t="s">
        <v>461</v>
      </c>
      <c r="C657" s="279" t="s">
        <v>729</v>
      </c>
      <c r="D657" s="280">
        <v>0.0</v>
      </c>
      <c r="E657" s="281">
        <f>SUMIF(RM_Purchase_YTD!C:C,'RM Rollforward'!A657,RM_Purchase_YTD!E:E)</f>
        <v>0</v>
      </c>
      <c r="F657" s="281">
        <f>SUMIF(RM_InboundProd_YTD!B:B,'RM Rollforward'!A657,RM_InboundProd_YTD!D:D)</f>
        <v>1780</v>
      </c>
      <c r="G657" s="282">
        <f>SUMIF(RM_Outbound_YTD!B:B,'RM Rollforward'!A657,RM_Outbound_YTD!D:D)</f>
        <v>1561</v>
      </c>
      <c r="H657" s="283">
        <f t="shared" si="1"/>
        <v>219</v>
      </c>
      <c r="I657" s="284"/>
      <c r="J657" s="285">
        <v>45.0</v>
      </c>
      <c r="K657" s="286">
        <v>1.0</v>
      </c>
      <c r="L657" s="287">
        <f t="shared" si="4"/>
        <v>9855</v>
      </c>
      <c r="M657" s="169"/>
    </row>
    <row r="658" ht="15.75" customHeight="1">
      <c r="A658" s="72" t="s">
        <v>438</v>
      </c>
      <c r="B658" s="116" t="s">
        <v>439</v>
      </c>
      <c r="C658" s="279" t="s">
        <v>729</v>
      </c>
      <c r="D658" s="280">
        <v>138.0</v>
      </c>
      <c r="E658" s="281">
        <f>SUMIF(RM_Purchase_YTD!C:C,'RM Rollforward'!A658,RM_Purchase_YTD!E:E)</f>
        <v>0</v>
      </c>
      <c r="F658" s="281">
        <f>SUMIF(RM_InboundProd_YTD!B:B,'RM Rollforward'!A658,RM_InboundProd_YTD!D:D)</f>
        <v>1300</v>
      </c>
      <c r="G658" s="282">
        <f>SUMIF(RM_Outbound_YTD!B:B,'RM Rollforward'!A658,RM_Outbound_YTD!D:D)</f>
        <v>1438</v>
      </c>
      <c r="H658" s="283">
        <f t="shared" si="1"/>
        <v>0</v>
      </c>
      <c r="I658" s="284"/>
      <c r="J658" s="285">
        <v>45.0</v>
      </c>
      <c r="K658" s="286">
        <v>1.0</v>
      </c>
      <c r="L658" s="287">
        <f t="shared" si="4"/>
        <v>0</v>
      </c>
      <c r="M658" s="169"/>
    </row>
    <row r="659" ht="15.75" customHeight="1">
      <c r="A659" s="72" t="s">
        <v>442</v>
      </c>
      <c r="B659" s="116" t="s">
        <v>443</v>
      </c>
      <c r="C659" s="279" t="s">
        <v>729</v>
      </c>
      <c r="D659" s="280">
        <v>344.0</v>
      </c>
      <c r="E659" s="281">
        <f>SUMIF(RM_Purchase_YTD!C:C,'RM Rollforward'!A659,RM_Purchase_YTD!E:E)</f>
        <v>0</v>
      </c>
      <c r="F659" s="281">
        <f>SUMIF(RM_InboundProd_YTD!B:B,'RM Rollforward'!A659,RM_InboundProd_YTD!D:D)</f>
        <v>2923</v>
      </c>
      <c r="G659" s="282">
        <f>SUMIF(RM_Outbound_YTD!B:B,'RM Rollforward'!A659,RM_Outbound_YTD!D:D)</f>
        <v>3000</v>
      </c>
      <c r="H659" s="283">
        <f t="shared" si="1"/>
        <v>267</v>
      </c>
      <c r="I659" s="284"/>
      <c r="J659" s="285">
        <v>45.0</v>
      </c>
      <c r="K659" s="286">
        <v>1.0</v>
      </c>
      <c r="L659" s="287">
        <f t="shared" si="4"/>
        <v>12015</v>
      </c>
      <c r="M659" s="169"/>
    </row>
    <row r="660" ht="15.75" customHeight="1">
      <c r="A660" s="72" t="s">
        <v>544</v>
      </c>
      <c r="B660" s="116" t="s">
        <v>545</v>
      </c>
      <c r="C660" s="279" t="s">
        <v>729</v>
      </c>
      <c r="D660" s="280">
        <v>0.0</v>
      </c>
      <c r="E660" s="281">
        <f>SUMIF(RM_Purchase_YTD!C:C,'RM Rollforward'!A660,RM_Purchase_YTD!E:E)</f>
        <v>0</v>
      </c>
      <c r="F660" s="281">
        <f>SUMIF(RM_InboundProd_YTD!B:B,'RM Rollforward'!A660,RM_InboundProd_YTD!D:D)</f>
        <v>1354</v>
      </c>
      <c r="G660" s="282">
        <f>SUMIF(RM_Outbound_YTD!B:B,'RM Rollforward'!A660,RM_Outbound_YTD!D:D)</f>
        <v>399</v>
      </c>
      <c r="H660" s="283">
        <f t="shared" si="1"/>
        <v>955</v>
      </c>
      <c r="I660" s="284"/>
      <c r="J660" s="285">
        <v>45.0</v>
      </c>
      <c r="K660" s="286">
        <v>1.0</v>
      </c>
      <c r="L660" s="287">
        <f t="shared" si="4"/>
        <v>42975</v>
      </c>
      <c r="M660" s="169"/>
    </row>
    <row r="661" ht="15.75" customHeight="1">
      <c r="A661" s="72" t="s">
        <v>588</v>
      </c>
      <c r="B661" s="116" t="s">
        <v>589</v>
      </c>
      <c r="C661" s="279" t="s">
        <v>729</v>
      </c>
      <c r="D661" s="280">
        <v>0.0</v>
      </c>
      <c r="E661" s="281">
        <f>SUMIF(RM_Purchase_YTD!C:C,'RM Rollforward'!A661,RM_Purchase_YTD!E:E)</f>
        <v>0</v>
      </c>
      <c r="F661" s="281">
        <f>SUMIF(RM_InboundProd_YTD!B:B,'RM Rollforward'!A661,RM_InboundProd_YTD!D:D)</f>
        <v>2147</v>
      </c>
      <c r="G661" s="282">
        <f>SUMIF(RM_Outbound_YTD!B:B,'RM Rollforward'!A661,RM_Outbound_YTD!D:D)</f>
        <v>1147</v>
      </c>
      <c r="H661" s="283">
        <f t="shared" si="1"/>
        <v>1000</v>
      </c>
      <c r="I661" s="284"/>
      <c r="J661" s="285">
        <v>45.0</v>
      </c>
      <c r="K661" s="286">
        <v>1.0</v>
      </c>
      <c r="L661" s="287">
        <f t="shared" si="4"/>
        <v>45000</v>
      </c>
      <c r="M661" s="169"/>
    </row>
    <row r="662" ht="15.75" customHeight="1">
      <c r="A662" s="72" t="s">
        <v>592</v>
      </c>
      <c r="B662" s="116" t="s">
        <v>593</v>
      </c>
      <c r="C662" s="279" t="s">
        <v>729</v>
      </c>
      <c r="D662" s="280">
        <v>0.0</v>
      </c>
      <c r="E662" s="281">
        <f>SUMIF(RM_Purchase_YTD!C:C,'RM Rollforward'!A662,RM_Purchase_YTD!E:E)</f>
        <v>0</v>
      </c>
      <c r="F662" s="281">
        <f>SUMIF(RM_InboundProd_YTD!B:B,'RM Rollforward'!A662,RM_InboundProd_YTD!D:D)</f>
        <v>501</v>
      </c>
      <c r="G662" s="282">
        <f>SUMIF(RM_Outbound_YTD!B:B,'RM Rollforward'!A662,RM_Outbound_YTD!D:D)</f>
        <v>0</v>
      </c>
      <c r="H662" s="283">
        <f t="shared" si="1"/>
        <v>501</v>
      </c>
      <c r="I662" s="284"/>
      <c r="J662" s="285">
        <v>45.0</v>
      </c>
      <c r="K662" s="286">
        <v>1.0</v>
      </c>
      <c r="L662" s="287">
        <f t="shared" si="4"/>
        <v>22545</v>
      </c>
      <c r="M662" s="169"/>
    </row>
    <row r="663" ht="15.75" customHeight="1">
      <c r="A663" s="72" t="s">
        <v>532</v>
      </c>
      <c r="B663" s="148" t="s">
        <v>533</v>
      </c>
      <c r="C663" s="279" t="s">
        <v>729</v>
      </c>
      <c r="D663" s="280">
        <v>0.0</v>
      </c>
      <c r="E663" s="281">
        <f>SUMIF(RM_Purchase_YTD!C:C,'RM Rollforward'!A663,RM_Purchase_YTD!E:E)</f>
        <v>0</v>
      </c>
      <c r="F663" s="281">
        <f>SUMIF(RM_InboundProd_YTD!B:B,'RM Rollforward'!A663,RM_InboundProd_YTD!D:D)</f>
        <v>647</v>
      </c>
      <c r="G663" s="282">
        <f>SUMIF(RM_Outbound_YTD!B:B,'RM Rollforward'!A663,RM_Outbound_YTD!D:D)</f>
        <v>524</v>
      </c>
      <c r="H663" s="283">
        <f t="shared" si="1"/>
        <v>123</v>
      </c>
      <c r="I663" s="284"/>
      <c r="J663" s="285">
        <v>45.0</v>
      </c>
      <c r="K663" s="286">
        <v>1.0</v>
      </c>
      <c r="L663" s="287">
        <f t="shared" si="4"/>
        <v>5535</v>
      </c>
      <c r="M663" s="169"/>
    </row>
    <row r="664" ht="15.75" customHeight="1">
      <c r="A664" s="72" t="s">
        <v>1528</v>
      </c>
      <c r="B664" s="148" t="s">
        <v>1529</v>
      </c>
      <c r="C664" s="279" t="s">
        <v>729</v>
      </c>
      <c r="D664" s="280">
        <v>0.0</v>
      </c>
      <c r="E664" s="281">
        <f>SUMIF(RM_Purchase_YTD!C:C,'RM Rollforward'!A664,RM_Purchase_YTD!E:E)</f>
        <v>0</v>
      </c>
      <c r="F664" s="281">
        <f>SUMIF(RM_InboundProd_YTD!B:B,'RM Rollforward'!A664,RM_InboundProd_YTD!D:D)</f>
        <v>0</v>
      </c>
      <c r="G664" s="282">
        <f>SUMIF(RM_Outbound_YTD!B:B,'RM Rollforward'!A664,RM_Outbound_YTD!D:D)</f>
        <v>0</v>
      </c>
      <c r="H664" s="283">
        <f t="shared" si="1"/>
        <v>0</v>
      </c>
      <c r="I664" s="284"/>
      <c r="J664" s="285">
        <v>45.0</v>
      </c>
      <c r="K664" s="286">
        <v>1.0</v>
      </c>
      <c r="L664" s="287">
        <f t="shared" si="4"/>
        <v>0</v>
      </c>
      <c r="M664" s="169"/>
    </row>
    <row r="665" ht="15.75" customHeight="1">
      <c r="A665" s="72" t="s">
        <v>444</v>
      </c>
      <c r="B665" s="148" t="s">
        <v>445</v>
      </c>
      <c r="C665" s="279" t="s">
        <v>729</v>
      </c>
      <c r="D665" s="280">
        <v>99.0</v>
      </c>
      <c r="E665" s="281">
        <f>SUMIF(RM_Purchase_YTD!C:C,'RM Rollforward'!A665,RM_Purchase_YTD!E:E)</f>
        <v>0</v>
      </c>
      <c r="F665" s="281">
        <f>SUMIF(RM_InboundProd_YTD!B:B,'RM Rollforward'!A665,RM_InboundProd_YTD!D:D)</f>
        <v>1777</v>
      </c>
      <c r="G665" s="282">
        <f>SUMIF(RM_Outbound_YTD!B:B,'RM Rollforward'!A665,RM_Outbound_YTD!D:D)</f>
        <v>1656</v>
      </c>
      <c r="H665" s="283">
        <f t="shared" si="1"/>
        <v>220</v>
      </c>
      <c r="I665" s="284"/>
      <c r="J665" s="285">
        <v>45.0</v>
      </c>
      <c r="K665" s="286">
        <v>1.0</v>
      </c>
      <c r="L665" s="287">
        <f t="shared" si="4"/>
        <v>9900</v>
      </c>
      <c r="M665" s="169"/>
    </row>
    <row r="666" ht="15.75" customHeight="1">
      <c r="A666" s="158" t="s">
        <v>526</v>
      </c>
      <c r="B666" s="159" t="s">
        <v>527</v>
      </c>
      <c r="C666" s="279" t="s">
        <v>729</v>
      </c>
      <c r="D666" s="280">
        <v>0.0</v>
      </c>
      <c r="E666" s="281">
        <f>SUMIF(RM_Purchase_YTD!C:C,'RM Rollforward'!A666,RM_Purchase_YTD!E:E)</f>
        <v>0</v>
      </c>
      <c r="F666" s="281">
        <f>SUMIF(RM_InboundProd_YTD!B:B,'RM Rollforward'!A666,RM_InboundProd_YTD!D:D)</f>
        <v>1275</v>
      </c>
      <c r="G666" s="282">
        <f>SUMIF(RM_Outbound_YTD!B:B,'RM Rollforward'!A666,RM_Outbound_YTD!D:D)</f>
        <v>1275</v>
      </c>
      <c r="H666" s="283">
        <f t="shared" si="1"/>
        <v>0</v>
      </c>
      <c r="I666" s="284"/>
      <c r="J666" s="285">
        <v>45.0</v>
      </c>
      <c r="K666" s="286">
        <v>1.0</v>
      </c>
      <c r="L666" s="287">
        <f t="shared" si="4"/>
        <v>0</v>
      </c>
      <c r="M666" s="169"/>
    </row>
    <row r="667" ht="15.75" customHeight="1">
      <c r="A667" s="246" t="s">
        <v>508</v>
      </c>
      <c r="B667" s="247" t="s">
        <v>509</v>
      </c>
      <c r="C667" s="279" t="s">
        <v>729</v>
      </c>
      <c r="D667" s="280">
        <v>0.0</v>
      </c>
      <c r="E667" s="281">
        <f>SUMIF(RM_Purchase_YTD!C:C,'RM Rollforward'!A667,RM_Purchase_YTD!E:E)</f>
        <v>0</v>
      </c>
      <c r="F667" s="281">
        <f>SUMIF(RM_InboundProd_YTD!B:B,'RM Rollforward'!A667,RM_InboundProd_YTD!D:D)</f>
        <v>1054</v>
      </c>
      <c r="G667" s="282">
        <f>SUMIF(RM_Outbound_YTD!B:B,'RM Rollforward'!A667,RM_Outbound_YTD!D:D)</f>
        <v>1052</v>
      </c>
      <c r="H667" s="283">
        <f t="shared" si="1"/>
        <v>2</v>
      </c>
      <c r="I667" s="284"/>
      <c r="J667" s="285">
        <v>45.0</v>
      </c>
      <c r="K667" s="286">
        <v>1.0</v>
      </c>
      <c r="L667" s="287">
        <f t="shared" si="4"/>
        <v>90</v>
      </c>
      <c r="M667" s="169"/>
    </row>
    <row r="668" ht="15.75" customHeight="1">
      <c r="A668" s="124" t="s">
        <v>1530</v>
      </c>
      <c r="B668" s="326" t="s">
        <v>1531</v>
      </c>
      <c r="C668" s="279" t="s">
        <v>729</v>
      </c>
      <c r="D668" s="280">
        <v>0.0</v>
      </c>
      <c r="E668" s="281">
        <f>SUMIF(RM_Purchase_YTD!C:C,'RM Rollforward'!A668,RM_Purchase_YTD!E:E)</f>
        <v>0</v>
      </c>
      <c r="F668" s="281">
        <f>SUMIF(RM_InboundProd_YTD!B:B,'RM Rollforward'!A668,RM_InboundProd_YTD!D:D)</f>
        <v>0</v>
      </c>
      <c r="G668" s="282">
        <f>SUMIF(RM_Outbound_YTD!B:B,'RM Rollforward'!A668,RM_Outbound_YTD!D:D)</f>
        <v>0</v>
      </c>
      <c r="H668" s="283">
        <f t="shared" si="1"/>
        <v>0</v>
      </c>
      <c r="I668" s="284"/>
      <c r="J668" s="285">
        <v>45.0</v>
      </c>
      <c r="K668" s="286">
        <v>1.0</v>
      </c>
      <c r="L668" s="287">
        <f t="shared" si="4"/>
        <v>0</v>
      </c>
      <c r="M668" s="169"/>
    </row>
    <row r="669" ht="15.75" customHeight="1">
      <c r="A669" s="124" t="s">
        <v>534</v>
      </c>
      <c r="B669" s="153" t="s">
        <v>535</v>
      </c>
      <c r="C669" s="279" t="s">
        <v>729</v>
      </c>
      <c r="D669" s="280">
        <v>0.0</v>
      </c>
      <c r="E669" s="281">
        <f>SUMIF(RM_Purchase_YTD!C:C,'RM Rollforward'!A669,RM_Purchase_YTD!E:E)</f>
        <v>0</v>
      </c>
      <c r="F669" s="281">
        <f>SUMIF(RM_InboundProd_YTD!B:B,'RM Rollforward'!A669,RM_InboundProd_YTD!D:D)</f>
        <v>922</v>
      </c>
      <c r="G669" s="282">
        <f>SUMIF(RM_Outbound_YTD!B:B,'RM Rollforward'!A669,RM_Outbound_YTD!D:D)</f>
        <v>566</v>
      </c>
      <c r="H669" s="283">
        <f t="shared" si="1"/>
        <v>356</v>
      </c>
      <c r="I669" s="284"/>
      <c r="J669" s="285">
        <v>45.0</v>
      </c>
      <c r="K669" s="286">
        <v>1.0</v>
      </c>
      <c r="L669" s="287">
        <f t="shared" si="4"/>
        <v>16020</v>
      </c>
      <c r="M669" s="169"/>
    </row>
    <row r="670" ht="15.75" customHeight="1">
      <c r="A670" s="124" t="s">
        <v>1532</v>
      </c>
      <c r="B670" s="327" t="s">
        <v>1533</v>
      </c>
      <c r="C670" s="279" t="s">
        <v>729</v>
      </c>
      <c r="D670" s="280">
        <v>0.0</v>
      </c>
      <c r="E670" s="281">
        <f>SUMIF(RM_Purchase_YTD!C:C,'RM Rollforward'!A670,RM_Purchase_YTD!E:E)</f>
        <v>0</v>
      </c>
      <c r="F670" s="281">
        <f>SUMIF(RM_InboundProd_YTD!B:B,'RM Rollforward'!A670,RM_InboundProd_YTD!D:D)</f>
        <v>0</v>
      </c>
      <c r="G670" s="282">
        <f>SUMIF(RM_Outbound_YTD!B:B,'RM Rollforward'!A670,RM_Outbound_YTD!D:D)</f>
        <v>0</v>
      </c>
      <c r="H670" s="283">
        <f t="shared" si="1"/>
        <v>0</v>
      </c>
      <c r="I670" s="284"/>
      <c r="J670" s="285">
        <v>45.0</v>
      </c>
      <c r="K670" s="286">
        <v>1.0</v>
      </c>
      <c r="L670" s="287">
        <f t="shared" si="4"/>
        <v>0</v>
      </c>
      <c r="M670" s="169"/>
    </row>
    <row r="671" ht="15.75" customHeight="1">
      <c r="A671" s="328" t="s">
        <v>1534</v>
      </c>
      <c r="B671" s="328" t="s">
        <v>1535</v>
      </c>
      <c r="C671" s="279" t="s">
        <v>729</v>
      </c>
      <c r="D671" s="280">
        <v>0.0</v>
      </c>
      <c r="E671" s="281">
        <f>SUMIF(RM_Purchase_YTD!C:C,'RM Rollforward'!A671,RM_Purchase_YTD!E:E)</f>
        <v>0</v>
      </c>
      <c r="F671" s="281">
        <f>SUMIF(RM_InboundProd_YTD!B:B,'RM Rollforward'!A671,RM_InboundProd_YTD!D:D)</f>
        <v>0</v>
      </c>
      <c r="G671" s="282">
        <f>SUMIF(RM_Outbound_YTD!B:B,'RM Rollforward'!A671,RM_Outbound_YTD!D:D)</f>
        <v>0</v>
      </c>
      <c r="H671" s="283">
        <f t="shared" si="1"/>
        <v>0</v>
      </c>
      <c r="I671" s="284"/>
      <c r="J671" s="285">
        <v>45.0</v>
      </c>
      <c r="K671" s="286">
        <v>1.0</v>
      </c>
      <c r="L671" s="287">
        <f t="shared" si="4"/>
        <v>0</v>
      </c>
      <c r="M671" s="169"/>
    </row>
    <row r="672" ht="15.75" customHeight="1">
      <c r="A672" s="328" t="s">
        <v>1536</v>
      </c>
      <c r="B672" s="328" t="s">
        <v>1537</v>
      </c>
      <c r="C672" s="279" t="s">
        <v>729</v>
      </c>
      <c r="D672" s="280">
        <v>0.0</v>
      </c>
      <c r="E672" s="281">
        <f>SUMIF(RM_Purchase_YTD!C:C,'RM Rollforward'!A672,RM_Purchase_YTD!E:E)</f>
        <v>0</v>
      </c>
      <c r="F672" s="281">
        <f>SUMIF(RM_InboundProd_YTD!B:B,'RM Rollforward'!A672,RM_InboundProd_YTD!D:D)</f>
        <v>0</v>
      </c>
      <c r="G672" s="282">
        <f>SUMIF(RM_Outbound_YTD!B:B,'RM Rollforward'!A672,RM_Outbound_YTD!D:D)</f>
        <v>0</v>
      </c>
      <c r="H672" s="283">
        <f t="shared" si="1"/>
        <v>0</v>
      </c>
      <c r="I672" s="284"/>
      <c r="J672" s="285">
        <v>45.0</v>
      </c>
      <c r="K672" s="286">
        <v>1.0</v>
      </c>
      <c r="L672" s="287">
        <f t="shared" si="4"/>
        <v>0</v>
      </c>
      <c r="M672" s="169"/>
    </row>
    <row r="673" ht="15.75" customHeight="1">
      <c r="A673" s="328" t="s">
        <v>1538</v>
      </c>
      <c r="B673" s="328" t="s">
        <v>1539</v>
      </c>
      <c r="C673" s="279" t="s">
        <v>729</v>
      </c>
      <c r="D673" s="280">
        <v>0.0</v>
      </c>
      <c r="E673" s="281">
        <f>SUMIF(RM_Purchase_YTD!C:C,'RM Rollforward'!A673,RM_Purchase_YTD!E:E)</f>
        <v>0</v>
      </c>
      <c r="F673" s="281">
        <f>SUMIF(RM_InboundProd_YTD!B:B,'RM Rollforward'!A673,RM_InboundProd_YTD!D:D)</f>
        <v>0</v>
      </c>
      <c r="G673" s="282">
        <f>SUMIF(RM_Outbound_YTD!B:B,'RM Rollforward'!A673,RM_Outbound_YTD!D:D)</f>
        <v>0</v>
      </c>
      <c r="H673" s="329">
        <f t="shared" si="1"/>
        <v>0</v>
      </c>
      <c r="I673" s="330"/>
      <c r="J673" s="302">
        <v>45.0</v>
      </c>
      <c r="K673" s="286">
        <v>1.0</v>
      </c>
      <c r="L673" s="287">
        <f t="shared" si="4"/>
        <v>0</v>
      </c>
      <c r="M673" s="254"/>
    </row>
    <row r="674" ht="15.75" customHeight="1">
      <c r="A674" s="328" t="s">
        <v>1540</v>
      </c>
      <c r="B674" s="331" t="s">
        <v>1541</v>
      </c>
      <c r="C674" s="332" t="s">
        <v>729</v>
      </c>
      <c r="D674" s="280">
        <v>0.0</v>
      </c>
      <c r="E674" s="333">
        <f>SUMIF(RM_Purchase_YTD!C:C,'RM Rollforward'!A674,RM_Purchase_YTD!E:E)</f>
        <v>0</v>
      </c>
      <c r="F674" s="333">
        <f>SUMIF(RM_InboundProd_YTD!B:B,'RM Rollforward'!A674,RM_InboundProd_YTD!D:D)</f>
        <v>0</v>
      </c>
      <c r="G674" s="333">
        <f>SUMIF(RM_Outbound_YTD!B:B,'RM Rollforward'!A674,RM_Outbound_YTD!D:D)</f>
        <v>0</v>
      </c>
      <c r="H674" s="283">
        <f t="shared" si="1"/>
        <v>0</v>
      </c>
      <c r="I674" s="284"/>
      <c r="J674" s="285">
        <v>45.0</v>
      </c>
      <c r="K674" s="286">
        <v>1.0</v>
      </c>
      <c r="L674" s="334">
        <f t="shared" si="4"/>
        <v>0</v>
      </c>
      <c r="M674" s="169"/>
    </row>
    <row r="675" ht="15.75" customHeight="1">
      <c r="C675" s="89"/>
      <c r="D675" s="335"/>
      <c r="E675" s="336"/>
      <c r="F675" s="336"/>
      <c r="G675" s="336"/>
      <c r="H675" s="336">
        <f>sum(H514:H674)</f>
        <v>35306</v>
      </c>
      <c r="I675" s="337"/>
      <c r="L675" s="338"/>
    </row>
    <row r="676" ht="15.75" customHeight="1">
      <c r="C676" s="89"/>
      <c r="D676" s="335"/>
      <c r="E676" s="336"/>
      <c r="F676" s="336"/>
      <c r="G676" s="336"/>
      <c r="H676" s="336"/>
      <c r="I676" s="337"/>
      <c r="L676" s="338"/>
    </row>
    <row r="677" ht="15.75" customHeight="1">
      <c r="C677" s="89"/>
      <c r="D677" s="335"/>
      <c r="E677" s="336"/>
      <c r="F677" s="336"/>
      <c r="G677" s="336"/>
      <c r="H677" s="336"/>
      <c r="I677" s="337"/>
      <c r="L677" s="338"/>
    </row>
    <row r="678" ht="15.75" customHeight="1">
      <c r="C678" s="89"/>
      <c r="D678" s="335"/>
      <c r="E678" s="336"/>
      <c r="F678" s="336"/>
      <c r="G678" s="336"/>
      <c r="H678" s="336"/>
      <c r="I678" s="337"/>
      <c r="L678" s="338"/>
    </row>
    <row r="679" ht="15.75" customHeight="1">
      <c r="C679" s="89"/>
      <c r="D679" s="335"/>
      <c r="E679" s="336"/>
      <c r="F679" s="336"/>
      <c r="G679" s="336"/>
      <c r="H679" s="336"/>
      <c r="I679" s="337"/>
      <c r="L679" s="338"/>
    </row>
    <row r="680" ht="15.75" customHeight="1">
      <c r="C680" s="89"/>
      <c r="D680" s="335"/>
      <c r="E680" s="336"/>
      <c r="F680" s="336"/>
      <c r="G680" s="336"/>
      <c r="H680" s="336"/>
      <c r="I680" s="337"/>
      <c r="L680" s="338"/>
    </row>
    <row r="681" ht="15.75" customHeight="1">
      <c r="C681" s="89"/>
      <c r="D681" s="335"/>
      <c r="E681" s="336"/>
      <c r="F681" s="336"/>
      <c r="G681" s="336"/>
      <c r="H681" s="336"/>
      <c r="I681" s="337"/>
      <c r="L681" s="338"/>
    </row>
    <row r="682" ht="15.75" customHeight="1">
      <c r="C682" s="89"/>
      <c r="D682" s="335"/>
      <c r="E682" s="336"/>
      <c r="F682" s="336"/>
      <c r="G682" s="336"/>
      <c r="H682" s="336"/>
      <c r="I682" s="337"/>
      <c r="L682" s="338"/>
    </row>
    <row r="683" ht="15.75" customHeight="1">
      <c r="C683" s="89"/>
      <c r="D683" s="335"/>
      <c r="E683" s="336"/>
      <c r="F683" s="336"/>
      <c r="G683" s="336"/>
      <c r="H683" s="336"/>
      <c r="I683" s="337"/>
      <c r="L683" s="338"/>
    </row>
    <row r="684" ht="15.75" customHeight="1">
      <c r="C684" s="89"/>
      <c r="D684" s="335"/>
      <c r="E684" s="336"/>
      <c r="F684" s="336"/>
      <c r="G684" s="336"/>
      <c r="H684" s="336"/>
      <c r="I684" s="337"/>
      <c r="L684" s="338"/>
    </row>
    <row r="685" ht="15.75" customHeight="1">
      <c r="C685" s="89"/>
      <c r="D685" s="335"/>
      <c r="E685" s="336"/>
      <c r="F685" s="336"/>
      <c r="G685" s="336"/>
      <c r="H685" s="336"/>
      <c r="I685" s="337"/>
      <c r="L685" s="338"/>
    </row>
    <row r="686" ht="15.75" customHeight="1">
      <c r="C686" s="89"/>
      <c r="D686" s="335"/>
      <c r="E686" s="336"/>
      <c r="F686" s="336"/>
      <c r="G686" s="336"/>
      <c r="H686" s="336"/>
      <c r="I686" s="337"/>
      <c r="L686" s="338"/>
    </row>
    <row r="687" ht="15.75" customHeight="1">
      <c r="C687" s="89"/>
      <c r="D687" s="335"/>
      <c r="E687" s="336"/>
      <c r="F687" s="336"/>
      <c r="G687" s="336"/>
      <c r="H687" s="336"/>
      <c r="I687" s="337"/>
      <c r="L687" s="338"/>
    </row>
    <row r="688" ht="15.75" customHeight="1">
      <c r="C688" s="89"/>
      <c r="D688" s="335"/>
      <c r="E688" s="336"/>
      <c r="F688" s="336"/>
      <c r="G688" s="336"/>
      <c r="H688" s="336"/>
      <c r="I688" s="337"/>
      <c r="L688" s="338"/>
    </row>
    <row r="689" ht="15.75" customHeight="1">
      <c r="C689" s="89"/>
      <c r="D689" s="335"/>
      <c r="E689" s="336"/>
      <c r="F689" s="336"/>
      <c r="G689" s="336"/>
      <c r="H689" s="336"/>
      <c r="I689" s="337"/>
      <c r="L689" s="338"/>
    </row>
    <row r="690" ht="15.75" customHeight="1">
      <c r="C690" s="89"/>
      <c r="D690" s="335"/>
      <c r="E690" s="336"/>
      <c r="F690" s="336"/>
      <c r="G690" s="336"/>
      <c r="H690" s="336"/>
      <c r="I690" s="337"/>
      <c r="L690" s="338"/>
    </row>
    <row r="691" ht="15.75" customHeight="1">
      <c r="C691" s="89"/>
      <c r="D691" s="335"/>
      <c r="E691" s="336"/>
      <c r="F691" s="336"/>
      <c r="G691" s="336"/>
      <c r="H691" s="336"/>
      <c r="I691" s="337"/>
      <c r="L691" s="338"/>
    </row>
    <row r="692" ht="15.75" customHeight="1">
      <c r="C692" s="89"/>
      <c r="D692" s="335"/>
      <c r="E692" s="336"/>
      <c r="F692" s="336"/>
      <c r="G692" s="336"/>
      <c r="H692" s="336"/>
      <c r="I692" s="337"/>
      <c r="L692" s="338"/>
    </row>
    <row r="693" ht="15.75" customHeight="1">
      <c r="C693" s="89"/>
      <c r="D693" s="335"/>
      <c r="E693" s="336"/>
      <c r="F693" s="336"/>
      <c r="G693" s="336"/>
      <c r="H693" s="336"/>
      <c r="I693" s="337"/>
      <c r="L693" s="338"/>
    </row>
    <row r="694" ht="15.75" customHeight="1">
      <c r="C694" s="89"/>
      <c r="D694" s="335"/>
      <c r="E694" s="336"/>
      <c r="F694" s="336"/>
      <c r="G694" s="336"/>
      <c r="H694" s="336"/>
      <c r="I694" s="337"/>
      <c r="L694" s="338"/>
    </row>
    <row r="695" ht="15.75" customHeight="1">
      <c r="C695" s="89"/>
      <c r="D695" s="335"/>
      <c r="E695" s="336"/>
      <c r="F695" s="336"/>
      <c r="G695" s="336"/>
      <c r="H695" s="336"/>
      <c r="I695" s="337"/>
      <c r="L695" s="338"/>
    </row>
    <row r="696" ht="15.75" customHeight="1">
      <c r="C696" s="89"/>
      <c r="D696" s="335"/>
      <c r="E696" s="336"/>
      <c r="F696" s="336"/>
      <c r="G696" s="336"/>
      <c r="H696" s="336"/>
      <c r="I696" s="337"/>
      <c r="L696" s="338"/>
    </row>
    <row r="697" ht="15.75" customHeight="1">
      <c r="C697" s="89"/>
      <c r="D697" s="335"/>
      <c r="E697" s="336"/>
      <c r="F697" s="336"/>
      <c r="G697" s="336"/>
      <c r="H697" s="336"/>
      <c r="I697" s="337"/>
      <c r="L697" s="338"/>
    </row>
    <row r="698" ht="15.75" customHeight="1">
      <c r="C698" s="89"/>
      <c r="D698" s="335"/>
      <c r="E698" s="336"/>
      <c r="F698" s="336"/>
      <c r="G698" s="336"/>
      <c r="H698" s="336"/>
      <c r="I698" s="337"/>
      <c r="L698" s="338"/>
    </row>
    <row r="699" ht="15.75" customHeight="1">
      <c r="C699" s="89"/>
      <c r="D699" s="335"/>
      <c r="E699" s="336"/>
      <c r="F699" s="336"/>
      <c r="G699" s="336"/>
      <c r="H699" s="336"/>
      <c r="I699" s="337"/>
      <c r="L699" s="338"/>
    </row>
    <row r="700" ht="15.75" customHeight="1">
      <c r="C700" s="89"/>
      <c r="D700" s="335"/>
      <c r="E700" s="336"/>
      <c r="F700" s="336"/>
      <c r="G700" s="336"/>
      <c r="H700" s="336"/>
      <c r="I700" s="337"/>
      <c r="L700" s="338"/>
    </row>
    <row r="701" ht="15.75" customHeight="1">
      <c r="C701" s="89"/>
      <c r="D701" s="335"/>
      <c r="E701" s="336"/>
      <c r="F701" s="336"/>
      <c r="G701" s="336"/>
      <c r="H701" s="336"/>
      <c r="I701" s="337"/>
      <c r="L701" s="338"/>
    </row>
    <row r="702" ht="15.75" customHeight="1">
      <c r="C702" s="89"/>
      <c r="D702" s="335"/>
      <c r="E702" s="336"/>
      <c r="F702" s="336"/>
      <c r="G702" s="336"/>
      <c r="H702" s="336"/>
      <c r="I702" s="337"/>
      <c r="L702" s="338"/>
    </row>
    <row r="703" ht="15.75" customHeight="1">
      <c r="C703" s="89"/>
      <c r="D703" s="335"/>
      <c r="E703" s="336"/>
      <c r="F703" s="336"/>
      <c r="G703" s="336"/>
      <c r="H703" s="336"/>
      <c r="I703" s="337"/>
      <c r="L703" s="338"/>
    </row>
    <row r="704" ht="15.75" customHeight="1">
      <c r="C704" s="89"/>
      <c r="D704" s="335"/>
      <c r="E704" s="336"/>
      <c r="F704" s="336"/>
      <c r="G704" s="336"/>
      <c r="H704" s="336"/>
      <c r="I704" s="337"/>
      <c r="L704" s="338"/>
    </row>
    <row r="705" ht="15.75" customHeight="1">
      <c r="C705" s="89"/>
      <c r="D705" s="335"/>
      <c r="E705" s="336"/>
      <c r="F705" s="336"/>
      <c r="G705" s="336"/>
      <c r="H705" s="336"/>
      <c r="I705" s="337"/>
      <c r="L705" s="338"/>
    </row>
    <row r="706" ht="15.75" customHeight="1">
      <c r="C706" s="89"/>
      <c r="D706" s="335"/>
      <c r="E706" s="336"/>
      <c r="F706" s="336"/>
      <c r="G706" s="336"/>
      <c r="H706" s="336"/>
      <c r="I706" s="337"/>
      <c r="L706" s="338"/>
    </row>
    <row r="707" ht="15.75" customHeight="1">
      <c r="C707" s="89"/>
      <c r="D707" s="335"/>
      <c r="E707" s="336"/>
      <c r="F707" s="336"/>
      <c r="G707" s="336"/>
      <c r="H707" s="336"/>
      <c r="I707" s="337"/>
      <c r="L707" s="338"/>
    </row>
    <row r="708" ht="15.75" customHeight="1">
      <c r="C708" s="89"/>
      <c r="D708" s="335"/>
      <c r="E708" s="336"/>
      <c r="F708" s="336"/>
      <c r="G708" s="336"/>
      <c r="H708" s="336"/>
      <c r="I708" s="337"/>
      <c r="L708" s="338"/>
    </row>
    <row r="709" ht="15.75" customHeight="1">
      <c r="C709" s="89"/>
      <c r="D709" s="335"/>
      <c r="E709" s="336"/>
      <c r="F709" s="336"/>
      <c r="G709" s="336"/>
      <c r="H709" s="336"/>
      <c r="I709" s="337"/>
      <c r="L709" s="338"/>
    </row>
    <row r="710" ht="15.75" customHeight="1">
      <c r="C710" s="89"/>
      <c r="D710" s="335"/>
      <c r="E710" s="336"/>
      <c r="F710" s="336"/>
      <c r="G710" s="336"/>
      <c r="H710" s="336"/>
      <c r="I710" s="337"/>
      <c r="L710" s="338"/>
    </row>
    <row r="711" ht="15.75" customHeight="1">
      <c r="C711" s="89"/>
      <c r="D711" s="335"/>
      <c r="E711" s="336"/>
      <c r="F711" s="336"/>
      <c r="G711" s="336"/>
      <c r="H711" s="336"/>
      <c r="I711" s="337"/>
      <c r="L711" s="338"/>
    </row>
    <row r="712" ht="15.75" customHeight="1">
      <c r="C712" s="89"/>
      <c r="D712" s="335"/>
      <c r="E712" s="336"/>
      <c r="F712" s="336"/>
      <c r="G712" s="336"/>
      <c r="H712" s="336"/>
      <c r="I712" s="337"/>
      <c r="L712" s="338"/>
    </row>
    <row r="713" ht="15.75" customHeight="1">
      <c r="C713" s="89"/>
      <c r="D713" s="335"/>
      <c r="E713" s="336"/>
      <c r="F713" s="336"/>
      <c r="G713" s="336"/>
      <c r="H713" s="336"/>
      <c r="I713" s="337"/>
      <c r="L713" s="338"/>
    </row>
    <row r="714" ht="15.75" customHeight="1">
      <c r="C714" s="89"/>
      <c r="D714" s="335"/>
      <c r="E714" s="336"/>
      <c r="F714" s="336"/>
      <c r="G714" s="336"/>
      <c r="H714" s="336"/>
      <c r="I714" s="337"/>
      <c r="L714" s="338"/>
    </row>
    <row r="715" ht="15.75" customHeight="1">
      <c r="C715" s="89"/>
      <c r="D715" s="335"/>
      <c r="E715" s="336"/>
      <c r="F715" s="336"/>
      <c r="G715" s="336"/>
      <c r="H715" s="336"/>
      <c r="I715" s="337"/>
      <c r="L715" s="338"/>
    </row>
    <row r="716" ht="15.75" customHeight="1">
      <c r="C716" s="89"/>
      <c r="D716" s="335"/>
      <c r="E716" s="336"/>
      <c r="F716" s="336"/>
      <c r="G716" s="336"/>
      <c r="H716" s="336"/>
      <c r="I716" s="337"/>
      <c r="L716" s="338"/>
    </row>
    <row r="717" ht="15.75" customHeight="1">
      <c r="C717" s="89"/>
      <c r="D717" s="335"/>
      <c r="E717" s="336"/>
      <c r="F717" s="336"/>
      <c r="G717" s="336"/>
      <c r="H717" s="336"/>
      <c r="I717" s="337"/>
      <c r="L717" s="338"/>
    </row>
    <row r="718" ht="15.75" customHeight="1">
      <c r="C718" s="89"/>
      <c r="D718" s="335"/>
      <c r="E718" s="336"/>
      <c r="F718" s="336"/>
      <c r="G718" s="336"/>
      <c r="H718" s="336"/>
      <c r="I718" s="337"/>
      <c r="L718" s="338"/>
    </row>
    <row r="719" ht="15.75" customHeight="1">
      <c r="C719" s="89"/>
      <c r="D719" s="335"/>
      <c r="E719" s="336"/>
      <c r="F719" s="336"/>
      <c r="G719" s="336"/>
      <c r="H719" s="336"/>
      <c r="I719" s="337"/>
      <c r="L719" s="338"/>
    </row>
    <row r="720" ht="15.75" customHeight="1">
      <c r="C720" s="89"/>
      <c r="D720" s="335"/>
      <c r="E720" s="336"/>
      <c r="F720" s="336"/>
      <c r="G720" s="336"/>
      <c r="H720" s="336"/>
      <c r="I720" s="337"/>
      <c r="L720" s="338"/>
    </row>
    <row r="721" ht="15.75" customHeight="1">
      <c r="C721" s="89"/>
      <c r="D721" s="335"/>
      <c r="E721" s="336"/>
      <c r="F721" s="336"/>
      <c r="G721" s="336"/>
      <c r="H721" s="336"/>
      <c r="I721" s="337"/>
      <c r="L721" s="338"/>
    </row>
    <row r="722" ht="15.75" customHeight="1">
      <c r="C722" s="89"/>
      <c r="D722" s="335"/>
      <c r="E722" s="336"/>
      <c r="F722" s="336"/>
      <c r="G722" s="336"/>
      <c r="H722" s="336"/>
      <c r="I722" s="337"/>
      <c r="L722" s="338"/>
    </row>
    <row r="723" ht="15.75" customHeight="1">
      <c r="C723" s="89"/>
      <c r="D723" s="335"/>
      <c r="E723" s="336"/>
      <c r="F723" s="336"/>
      <c r="G723" s="336"/>
      <c r="H723" s="336"/>
      <c r="I723" s="337"/>
      <c r="L723" s="338"/>
    </row>
    <row r="724" ht="15.75" customHeight="1">
      <c r="C724" s="89"/>
      <c r="D724" s="335"/>
      <c r="E724" s="336"/>
      <c r="F724" s="336"/>
      <c r="G724" s="336"/>
      <c r="H724" s="336"/>
      <c r="I724" s="337"/>
      <c r="L724" s="338"/>
    </row>
    <row r="725" ht="15.75" customHeight="1">
      <c r="C725" s="89"/>
      <c r="D725" s="335"/>
      <c r="E725" s="336"/>
      <c r="F725" s="336"/>
      <c r="G725" s="336"/>
      <c r="H725" s="336"/>
      <c r="I725" s="337"/>
      <c r="L725" s="338"/>
    </row>
    <row r="726" ht="15.75" customHeight="1">
      <c r="C726" s="89"/>
      <c r="D726" s="335"/>
      <c r="E726" s="336"/>
      <c r="F726" s="336"/>
      <c r="G726" s="336"/>
      <c r="H726" s="336"/>
      <c r="I726" s="337"/>
      <c r="L726" s="338"/>
    </row>
    <row r="727" ht="15.75" customHeight="1">
      <c r="C727" s="89"/>
      <c r="D727" s="335"/>
      <c r="E727" s="336"/>
      <c r="F727" s="336"/>
      <c r="G727" s="336"/>
      <c r="H727" s="336"/>
      <c r="I727" s="337"/>
      <c r="L727" s="338"/>
    </row>
    <row r="728" ht="15.75" customHeight="1">
      <c r="D728" s="90"/>
      <c r="H728" s="101"/>
      <c r="I728" s="337"/>
    </row>
    <row r="729" ht="15.75" customHeight="1">
      <c r="D729" s="90"/>
      <c r="H729" s="101"/>
      <c r="I729" s="337"/>
    </row>
    <row r="730" ht="15.75" customHeight="1">
      <c r="D730" s="90"/>
      <c r="H730" s="101"/>
      <c r="I730" s="337"/>
    </row>
    <row r="731" ht="15.75" customHeight="1">
      <c r="D731" s="90"/>
      <c r="H731" s="101"/>
      <c r="I731" s="337"/>
    </row>
    <row r="732" ht="15.75" customHeight="1">
      <c r="D732" s="90"/>
      <c r="H732" s="101"/>
      <c r="I732" s="337"/>
    </row>
    <row r="733" ht="15.75" customHeight="1">
      <c r="D733" s="90"/>
      <c r="H733" s="101"/>
      <c r="I733" s="337"/>
    </row>
    <row r="734" ht="15.75" customHeight="1">
      <c r="D734" s="90"/>
      <c r="H734" s="101"/>
      <c r="I734" s="337"/>
    </row>
    <row r="735" ht="15.75" customHeight="1">
      <c r="D735" s="90"/>
      <c r="H735" s="101"/>
      <c r="I735" s="337"/>
    </row>
    <row r="736" ht="15.75" customHeight="1">
      <c r="D736" s="90"/>
      <c r="H736" s="101"/>
      <c r="I736" s="337"/>
    </row>
    <row r="737" ht="15.75" customHeight="1">
      <c r="D737" s="90"/>
      <c r="H737" s="101"/>
      <c r="I737" s="337"/>
    </row>
    <row r="738" ht="15.75" customHeight="1">
      <c r="D738" s="90"/>
      <c r="H738" s="101"/>
      <c r="I738" s="337"/>
    </row>
    <row r="739" ht="15.75" customHeight="1">
      <c r="D739" s="90"/>
      <c r="H739" s="101"/>
      <c r="I739" s="337"/>
    </row>
    <row r="740" ht="15.75" customHeight="1">
      <c r="D740" s="90"/>
      <c r="H740" s="101"/>
      <c r="I740" s="337"/>
    </row>
    <row r="741" ht="15.75" customHeight="1">
      <c r="D741" s="90"/>
      <c r="H741" s="101"/>
      <c r="I741" s="337"/>
    </row>
    <row r="742" ht="15.75" customHeight="1">
      <c r="D742" s="90"/>
      <c r="H742" s="101"/>
      <c r="I742" s="337"/>
    </row>
    <row r="743" ht="15.75" customHeight="1">
      <c r="D743" s="90"/>
      <c r="H743" s="101"/>
      <c r="I743" s="337"/>
    </row>
    <row r="744" ht="15.75" customHeight="1">
      <c r="D744" s="90"/>
      <c r="H744" s="101"/>
      <c r="I744" s="337"/>
    </row>
    <row r="745" ht="15.75" customHeight="1">
      <c r="D745" s="90"/>
      <c r="H745" s="101"/>
      <c r="I745" s="337"/>
    </row>
    <row r="746" ht="15.75" customHeight="1">
      <c r="D746" s="90"/>
      <c r="H746" s="101"/>
      <c r="I746" s="337"/>
    </row>
    <row r="747" ht="15.75" customHeight="1">
      <c r="D747" s="90"/>
      <c r="H747" s="101"/>
      <c r="I747" s="337"/>
    </row>
    <row r="748" ht="15.75" customHeight="1">
      <c r="D748" s="90"/>
      <c r="H748" s="101"/>
      <c r="I748" s="337"/>
    </row>
    <row r="749" ht="15.75" customHeight="1">
      <c r="D749" s="90"/>
      <c r="H749" s="101"/>
      <c r="I749" s="337"/>
    </row>
    <row r="750" ht="15.75" customHeight="1">
      <c r="D750" s="90"/>
      <c r="H750" s="101"/>
      <c r="I750" s="337"/>
    </row>
    <row r="751" ht="15.75" customHeight="1">
      <c r="D751" s="90"/>
      <c r="H751" s="101"/>
      <c r="I751" s="337"/>
    </row>
    <row r="752" ht="15.75" customHeight="1">
      <c r="D752" s="90"/>
      <c r="H752" s="101"/>
      <c r="I752" s="337"/>
    </row>
    <row r="753" ht="15.75" customHeight="1">
      <c r="D753" s="90"/>
      <c r="H753" s="101"/>
      <c r="I753" s="337"/>
    </row>
    <row r="754" ht="15.75" customHeight="1">
      <c r="D754" s="90"/>
      <c r="H754" s="101"/>
      <c r="I754" s="337"/>
    </row>
    <row r="755" ht="15.75" customHeight="1">
      <c r="D755" s="90"/>
      <c r="H755" s="101"/>
      <c r="I755" s="337"/>
    </row>
    <row r="756" ht="15.75" customHeight="1">
      <c r="D756" s="90"/>
      <c r="H756" s="101"/>
      <c r="I756" s="337"/>
    </row>
    <row r="757" ht="15.75" customHeight="1">
      <c r="D757" s="90"/>
      <c r="H757" s="101"/>
      <c r="I757" s="337"/>
    </row>
    <row r="758" ht="15.75" customHeight="1">
      <c r="D758" s="90"/>
      <c r="H758" s="101"/>
      <c r="I758" s="337"/>
    </row>
    <row r="759" ht="15.75" customHeight="1">
      <c r="D759" s="90"/>
      <c r="H759" s="101"/>
      <c r="I759" s="337"/>
    </row>
    <row r="760" ht="15.75" customHeight="1">
      <c r="D760" s="90"/>
      <c r="H760" s="101"/>
      <c r="I760" s="337"/>
    </row>
    <row r="761" ht="15.75" customHeight="1">
      <c r="D761" s="90"/>
      <c r="H761" s="101"/>
      <c r="I761" s="337"/>
    </row>
    <row r="762" ht="15.75" customHeight="1">
      <c r="D762" s="90"/>
      <c r="H762" s="101"/>
      <c r="I762" s="337"/>
    </row>
    <row r="763" ht="15.75" customHeight="1">
      <c r="D763" s="90"/>
      <c r="H763" s="101"/>
      <c r="I763" s="337"/>
    </row>
    <row r="764" ht="15.75" customHeight="1">
      <c r="D764" s="90"/>
      <c r="H764" s="101"/>
      <c r="I764" s="337"/>
    </row>
    <row r="765" ht="15.75" customHeight="1">
      <c r="D765" s="90"/>
      <c r="H765" s="101"/>
      <c r="I765" s="337"/>
    </row>
    <row r="766" ht="15.75" customHeight="1">
      <c r="D766" s="90"/>
      <c r="H766" s="101"/>
      <c r="I766" s="337"/>
    </row>
    <row r="767" ht="15.75" customHeight="1">
      <c r="D767" s="90"/>
      <c r="H767" s="101"/>
      <c r="I767" s="337"/>
    </row>
    <row r="768" ht="15.75" customHeight="1">
      <c r="D768" s="90"/>
      <c r="H768" s="101"/>
      <c r="I768" s="337"/>
    </row>
    <row r="769" ht="15.75" customHeight="1">
      <c r="D769" s="90"/>
      <c r="H769" s="101"/>
      <c r="I769" s="337"/>
    </row>
    <row r="770" ht="15.75" customHeight="1">
      <c r="D770" s="90"/>
      <c r="H770" s="101"/>
      <c r="I770" s="337"/>
    </row>
    <row r="771" ht="15.75" customHeight="1">
      <c r="D771" s="90"/>
      <c r="H771" s="101"/>
      <c r="I771" s="337"/>
    </row>
    <row r="772" ht="15.75" customHeight="1">
      <c r="D772" s="90"/>
      <c r="H772" s="101"/>
      <c r="I772" s="337"/>
    </row>
    <row r="773" ht="15.75" customHeight="1">
      <c r="D773" s="90"/>
      <c r="H773" s="101"/>
      <c r="I773" s="337"/>
    </row>
    <row r="774" ht="15.75" customHeight="1">
      <c r="D774" s="90"/>
      <c r="H774" s="101"/>
      <c r="I774" s="337"/>
    </row>
    <row r="775" ht="15.75" customHeight="1">
      <c r="D775" s="90"/>
      <c r="H775" s="101"/>
      <c r="I775" s="337"/>
    </row>
    <row r="776" ht="15.75" customHeight="1">
      <c r="D776" s="90"/>
      <c r="H776" s="101"/>
      <c r="I776" s="337"/>
    </row>
    <row r="777" ht="15.75" customHeight="1">
      <c r="D777" s="90"/>
      <c r="I777" s="337"/>
    </row>
    <row r="778" ht="15.75" customHeight="1">
      <c r="D778" s="90"/>
      <c r="I778" s="337"/>
    </row>
    <row r="779" ht="15.75" customHeight="1">
      <c r="D779" s="90"/>
      <c r="I779" s="337"/>
    </row>
    <row r="780" ht="15.75" customHeight="1">
      <c r="D780" s="90"/>
      <c r="I780" s="337"/>
    </row>
    <row r="781" ht="15.75" customHeight="1">
      <c r="D781" s="90"/>
      <c r="I781" s="337"/>
    </row>
    <row r="782" ht="15.75" customHeight="1">
      <c r="D782" s="90"/>
      <c r="I782" s="337"/>
    </row>
    <row r="783" ht="15.75" customHeight="1">
      <c r="D783" s="90"/>
      <c r="I783" s="337"/>
    </row>
    <row r="784" ht="15.75" customHeight="1">
      <c r="D784" s="90"/>
      <c r="I784" s="337"/>
    </row>
    <row r="785" ht="15.75" customHeight="1">
      <c r="D785" s="90"/>
      <c r="I785" s="337"/>
    </row>
    <row r="786" ht="15.75" customHeight="1">
      <c r="D786" s="90"/>
      <c r="I786" s="337"/>
    </row>
    <row r="787" ht="15.75" customHeight="1">
      <c r="D787" s="90"/>
      <c r="I787" s="337"/>
    </row>
    <row r="788" ht="15.75" customHeight="1">
      <c r="D788" s="90"/>
      <c r="I788" s="337"/>
    </row>
    <row r="789" ht="15.75" customHeight="1">
      <c r="D789" s="90"/>
      <c r="I789" s="337"/>
    </row>
    <row r="790" ht="15.75" customHeight="1">
      <c r="D790" s="90"/>
      <c r="I790" s="337"/>
    </row>
    <row r="791" ht="15.75" customHeight="1">
      <c r="D791" s="90"/>
      <c r="I791" s="337"/>
    </row>
    <row r="792" ht="15.75" customHeight="1">
      <c r="D792" s="90"/>
      <c r="I792" s="337"/>
    </row>
    <row r="793" ht="15.75" customHeight="1">
      <c r="D793" s="90"/>
      <c r="I793" s="337"/>
    </row>
    <row r="794" ht="15.75" customHeight="1">
      <c r="D794" s="90"/>
      <c r="I794" s="337"/>
    </row>
    <row r="795" ht="15.75" customHeight="1">
      <c r="D795" s="90"/>
      <c r="I795" s="337"/>
    </row>
    <row r="796" ht="15.75" customHeight="1">
      <c r="D796" s="90"/>
      <c r="I796" s="337"/>
    </row>
    <row r="797" ht="15.75" customHeight="1">
      <c r="D797" s="90"/>
      <c r="I797" s="337"/>
    </row>
    <row r="798" ht="15.75" customHeight="1">
      <c r="D798" s="90"/>
      <c r="I798" s="337"/>
    </row>
    <row r="799" ht="15.75" customHeight="1">
      <c r="D799" s="90"/>
      <c r="I799" s="337"/>
    </row>
    <row r="800" ht="15.75" customHeight="1">
      <c r="D800" s="90"/>
      <c r="I800" s="337"/>
    </row>
    <row r="801" ht="15.75" customHeight="1">
      <c r="D801" s="90"/>
      <c r="I801" s="337"/>
    </row>
    <row r="802" ht="15.75" customHeight="1">
      <c r="D802" s="90"/>
      <c r="I802" s="337"/>
    </row>
    <row r="803" ht="15.75" customHeight="1">
      <c r="D803" s="90"/>
      <c r="I803" s="337"/>
    </row>
    <row r="804" ht="15.75" customHeight="1">
      <c r="D804" s="90"/>
      <c r="I804" s="337"/>
    </row>
    <row r="805" ht="15.75" customHeight="1">
      <c r="D805" s="90"/>
      <c r="I805" s="337"/>
    </row>
    <row r="806" ht="15.75" customHeight="1">
      <c r="D806" s="90"/>
      <c r="I806" s="337"/>
    </row>
    <row r="807" ht="15.75" customHeight="1">
      <c r="D807" s="90"/>
      <c r="I807" s="337"/>
    </row>
    <row r="808" ht="15.75" customHeight="1">
      <c r="I808" s="337"/>
    </row>
    <row r="809" ht="15.75" customHeight="1">
      <c r="I809" s="337"/>
    </row>
    <row r="810" ht="15.75" customHeight="1">
      <c r="I810" s="337"/>
    </row>
    <row r="811" ht="15.75" customHeight="1">
      <c r="I811" s="337"/>
    </row>
    <row r="812" ht="15.75" customHeight="1">
      <c r="I812" s="337"/>
    </row>
    <row r="813" ht="15.75" customHeight="1">
      <c r="I813" s="337"/>
    </row>
    <row r="814" ht="15.75" customHeight="1">
      <c r="I814" s="337"/>
    </row>
    <row r="815" ht="15.75" customHeight="1">
      <c r="I815" s="337"/>
    </row>
    <row r="816" ht="15.75" customHeight="1">
      <c r="I816" s="337"/>
    </row>
    <row r="817" ht="15.75" customHeight="1">
      <c r="I817" s="337"/>
    </row>
    <row r="818" ht="15.75" customHeight="1">
      <c r="I818" s="337"/>
    </row>
    <row r="819" ht="15.75" customHeight="1">
      <c r="I819" s="337"/>
    </row>
    <row r="820" ht="15.75" customHeight="1">
      <c r="I820" s="337"/>
    </row>
    <row r="821" ht="15.75" customHeight="1">
      <c r="I821" s="337"/>
    </row>
    <row r="822" ht="15.75" customHeight="1">
      <c r="I822" s="337"/>
    </row>
    <row r="823" ht="15.75" customHeight="1">
      <c r="I823" s="337"/>
    </row>
    <row r="824" ht="15.75" customHeight="1">
      <c r="I824" s="337"/>
    </row>
    <row r="825" ht="15.75" customHeight="1">
      <c r="I825" s="337"/>
    </row>
    <row r="826" ht="15.75" customHeight="1">
      <c r="I826" s="337"/>
    </row>
    <row r="827" ht="15.75" customHeight="1">
      <c r="I827" s="337"/>
    </row>
    <row r="828" ht="15.75" customHeight="1">
      <c r="I828" s="337"/>
    </row>
    <row r="829" ht="15.75" customHeight="1">
      <c r="I829" s="337"/>
    </row>
    <row r="830" ht="15.75" customHeight="1">
      <c r="I830" s="337"/>
    </row>
    <row r="831" ht="15.75" customHeight="1">
      <c r="I831" s="337"/>
    </row>
    <row r="832" ht="15.75" customHeight="1">
      <c r="I832" s="337"/>
    </row>
    <row r="833" ht="15.75" customHeight="1">
      <c r="I833" s="337"/>
    </row>
    <row r="834" ht="15.75" customHeight="1">
      <c r="I834" s="337"/>
    </row>
    <row r="835" ht="15.75" customHeight="1">
      <c r="I835" s="337"/>
    </row>
    <row r="836" ht="15.75" customHeight="1">
      <c r="I836" s="337"/>
    </row>
    <row r="837" ht="15.75" customHeight="1">
      <c r="I837" s="337"/>
    </row>
    <row r="838" ht="15.75" customHeight="1">
      <c r="I838" s="337"/>
    </row>
    <row r="839" ht="15.75" customHeight="1">
      <c r="I839" s="337"/>
    </row>
    <row r="840" ht="15.75" customHeight="1">
      <c r="I840" s="337"/>
    </row>
    <row r="841" ht="15.75" customHeight="1">
      <c r="I841" s="337"/>
    </row>
    <row r="842" ht="15.75" customHeight="1">
      <c r="I842" s="337"/>
    </row>
    <row r="843" ht="15.75" customHeight="1">
      <c r="I843" s="337"/>
    </row>
    <row r="844" ht="15.75" customHeight="1">
      <c r="I844" s="337"/>
    </row>
    <row r="845" ht="15.75" customHeight="1">
      <c r="I845" s="337"/>
    </row>
    <row r="846" ht="15.75" customHeight="1">
      <c r="I846" s="337"/>
    </row>
    <row r="847" ht="15.75" customHeight="1">
      <c r="I847" s="337"/>
    </row>
    <row r="848" ht="15.75" customHeight="1">
      <c r="I848" s="337"/>
    </row>
    <row r="849" ht="15.75" customHeight="1">
      <c r="I849" s="337"/>
    </row>
    <row r="850" ht="15.75" customHeight="1">
      <c r="I850" s="337"/>
    </row>
    <row r="851" ht="15.75" customHeight="1">
      <c r="I851" s="337"/>
    </row>
    <row r="852" ht="15.75" customHeight="1">
      <c r="I852" s="337"/>
    </row>
    <row r="853" ht="15.75" customHeight="1">
      <c r="I853" s="337"/>
    </row>
    <row r="854" ht="15.75" customHeight="1">
      <c r="I854" s="337"/>
    </row>
    <row r="855" ht="15.75" customHeight="1">
      <c r="I855" s="337"/>
    </row>
    <row r="856" ht="15.75" customHeight="1">
      <c r="I856" s="337"/>
    </row>
    <row r="857" ht="15.75" customHeight="1">
      <c r="I857" s="337"/>
    </row>
    <row r="858" ht="15.75" customHeight="1">
      <c r="I858" s="337"/>
    </row>
    <row r="859" ht="15.75" customHeight="1">
      <c r="I859" s="337"/>
    </row>
    <row r="860" ht="15.75" customHeight="1">
      <c r="I860" s="337"/>
    </row>
    <row r="861" ht="15.75" customHeight="1">
      <c r="I861" s="337"/>
    </row>
    <row r="862" ht="15.75" customHeight="1">
      <c r="I862" s="337"/>
    </row>
    <row r="863" ht="15.75" customHeight="1">
      <c r="I863" s="337"/>
    </row>
    <row r="864" ht="15.75" customHeight="1">
      <c r="I864" s="337"/>
    </row>
    <row r="865" ht="15.75" customHeight="1">
      <c r="I865" s="337"/>
    </row>
    <row r="866" ht="15.75" customHeight="1">
      <c r="I866" s="337"/>
    </row>
    <row r="867" ht="15.75" customHeight="1">
      <c r="I867" s="337"/>
    </row>
    <row r="868" ht="15.75" customHeight="1">
      <c r="I868" s="337"/>
    </row>
    <row r="869" ht="15.75" customHeight="1">
      <c r="I869" s="337"/>
    </row>
    <row r="870" ht="15.75" customHeight="1">
      <c r="I870" s="337"/>
    </row>
    <row r="871" ht="15.75" customHeight="1">
      <c r="I871" s="337"/>
    </row>
    <row r="872" ht="15.75" customHeight="1">
      <c r="I872" s="337"/>
    </row>
    <row r="873" ht="15.75" customHeight="1">
      <c r="I873" s="337"/>
    </row>
    <row r="874" ht="15.75" customHeight="1">
      <c r="I874" s="337"/>
    </row>
    <row r="875" ht="15.75" customHeight="1">
      <c r="I875" s="337"/>
    </row>
    <row r="876" ht="15.75" customHeight="1">
      <c r="I876" s="337"/>
    </row>
    <row r="877" ht="15.75" customHeight="1">
      <c r="I877" s="337"/>
    </row>
    <row r="878" ht="15.75" customHeight="1">
      <c r="I878" s="337"/>
    </row>
    <row r="879" ht="15.75" customHeight="1">
      <c r="I879" s="337"/>
    </row>
    <row r="880" ht="15.75" customHeight="1">
      <c r="I880" s="337"/>
    </row>
    <row r="881" ht="15.75" customHeight="1">
      <c r="I881" s="337"/>
    </row>
    <row r="882" ht="15.75" customHeight="1">
      <c r="I882" s="337"/>
    </row>
    <row r="883" ht="15.75" customHeight="1">
      <c r="I883" s="337"/>
    </row>
    <row r="884" ht="15.75" customHeight="1">
      <c r="I884" s="337"/>
    </row>
    <row r="885" ht="15.75" customHeight="1">
      <c r="I885" s="337"/>
    </row>
    <row r="886" ht="15.75" customHeight="1">
      <c r="I886" s="337"/>
    </row>
    <row r="887" ht="15.75" customHeight="1">
      <c r="I887" s="337"/>
    </row>
    <row r="888" ht="15.75" customHeight="1">
      <c r="I888" s="337"/>
    </row>
    <row r="889" ht="15.75" customHeight="1">
      <c r="I889" s="337"/>
    </row>
    <row r="890" ht="15.75" customHeight="1">
      <c r="I890" s="337"/>
    </row>
    <row r="891" ht="15.75" customHeight="1">
      <c r="I891" s="337"/>
    </row>
    <row r="892" ht="15.75" customHeight="1">
      <c r="I892" s="337"/>
    </row>
    <row r="893" ht="15.75" customHeight="1">
      <c r="I893" s="337"/>
    </row>
    <row r="894" ht="15.75" customHeight="1">
      <c r="I894" s="337"/>
    </row>
    <row r="895" ht="15.75" customHeight="1">
      <c r="I895" s="337"/>
    </row>
    <row r="896" ht="15.75" customHeight="1">
      <c r="I896" s="337"/>
    </row>
    <row r="897" ht="15.75" customHeight="1">
      <c r="I897" s="337"/>
    </row>
    <row r="898" ht="15.75" customHeight="1">
      <c r="I898" s="337"/>
    </row>
    <row r="899" ht="15.75" customHeight="1">
      <c r="I899" s="337"/>
    </row>
    <row r="900" ht="15.75" customHeight="1">
      <c r="I900" s="337"/>
    </row>
    <row r="901" ht="15.75" customHeight="1">
      <c r="I901" s="337"/>
    </row>
    <row r="902" ht="15.75" customHeight="1">
      <c r="I902" s="337"/>
    </row>
    <row r="903" ht="15.75" customHeight="1">
      <c r="I903" s="337"/>
    </row>
    <row r="904" ht="15.75" customHeight="1">
      <c r="I904" s="337"/>
    </row>
    <row r="905" ht="15.75" customHeight="1">
      <c r="I905" s="337"/>
    </row>
    <row r="906" ht="15.75" customHeight="1">
      <c r="I906" s="337"/>
    </row>
    <row r="907" ht="15.75" customHeight="1">
      <c r="I907" s="337"/>
    </row>
    <row r="908" ht="15.75" customHeight="1">
      <c r="I908" s="337"/>
    </row>
    <row r="909" ht="15.75" customHeight="1">
      <c r="I909" s="337"/>
    </row>
    <row r="910" ht="15.75" customHeight="1">
      <c r="I910" s="337"/>
    </row>
    <row r="911" ht="15.75" customHeight="1">
      <c r="I911" s="337"/>
    </row>
    <row r="912" ht="15.75" customHeight="1">
      <c r="I912" s="337"/>
    </row>
    <row r="913" ht="15.75" customHeight="1">
      <c r="I913" s="337"/>
    </row>
    <row r="914" ht="15.75" customHeight="1">
      <c r="I914" s="337"/>
    </row>
    <row r="915" ht="15.75" customHeight="1">
      <c r="I915" s="337"/>
    </row>
    <row r="916" ht="15.75" customHeight="1">
      <c r="I916" s="337"/>
    </row>
    <row r="917" ht="15.75" customHeight="1">
      <c r="I917" s="337"/>
    </row>
    <row r="918" ht="15.75" customHeight="1">
      <c r="I918" s="337"/>
    </row>
    <row r="919" ht="15.75" customHeight="1">
      <c r="I919" s="337"/>
    </row>
    <row r="920" ht="15.75" customHeight="1">
      <c r="I920" s="337"/>
    </row>
    <row r="921" ht="15.75" customHeight="1">
      <c r="I921" s="337"/>
    </row>
    <row r="922" ht="15.75" customHeight="1">
      <c r="I922" s="337"/>
    </row>
    <row r="923" ht="15.75" customHeight="1">
      <c r="I923" s="337"/>
    </row>
    <row r="924" ht="15.75" customHeight="1">
      <c r="I924" s="337"/>
    </row>
    <row r="925" ht="15.75" customHeight="1">
      <c r="I925" s="337"/>
    </row>
    <row r="926" ht="15.75" customHeight="1">
      <c r="I926" s="337"/>
    </row>
    <row r="927" ht="15.75" customHeight="1">
      <c r="I927" s="337"/>
    </row>
    <row r="928" ht="15.75" customHeight="1">
      <c r="I928" s="337"/>
    </row>
    <row r="929" ht="15.75" customHeight="1">
      <c r="I929" s="337"/>
    </row>
    <row r="930" ht="15.75" customHeight="1">
      <c r="I930" s="337"/>
    </row>
    <row r="931" ht="15.75" customHeight="1">
      <c r="I931" s="337"/>
    </row>
    <row r="932" ht="15.75" customHeight="1">
      <c r="I932" s="337"/>
    </row>
    <row r="933" ht="15.75" customHeight="1">
      <c r="I933" s="337"/>
    </row>
    <row r="934" ht="15.75" customHeight="1">
      <c r="I934" s="337"/>
    </row>
    <row r="935" ht="15.75" customHeight="1">
      <c r="I935" s="337"/>
    </row>
    <row r="936" ht="15.75" customHeight="1">
      <c r="I936" s="337"/>
    </row>
    <row r="937" ht="15.75" customHeight="1">
      <c r="I937" s="337"/>
    </row>
    <row r="938" ht="15.75" customHeight="1">
      <c r="I938" s="337"/>
    </row>
    <row r="939" ht="15.75" customHeight="1">
      <c r="I939" s="337"/>
    </row>
    <row r="940" ht="15.75" customHeight="1">
      <c r="I940" s="337"/>
    </row>
    <row r="941" ht="15.75" customHeight="1">
      <c r="I941" s="337"/>
    </row>
    <row r="942" ht="15.75" customHeight="1">
      <c r="I942" s="337"/>
    </row>
    <row r="943" ht="15.75" customHeight="1">
      <c r="I943" s="337"/>
    </row>
    <row r="944" ht="15.75" customHeight="1">
      <c r="I944" s="337"/>
    </row>
    <row r="945" ht="15.75" customHeight="1">
      <c r="I945" s="337"/>
    </row>
    <row r="946" ht="15.75" customHeight="1">
      <c r="I946" s="337"/>
    </row>
    <row r="947" ht="15.75" customHeight="1">
      <c r="I947" s="337"/>
    </row>
    <row r="948" ht="15.75" customHeight="1">
      <c r="I948" s="337"/>
    </row>
    <row r="949" ht="15.75" customHeight="1">
      <c r="I949" s="337"/>
    </row>
    <row r="950" ht="15.75" customHeight="1">
      <c r="I950" s="337"/>
    </row>
    <row r="951" ht="15.75" customHeight="1">
      <c r="I951" s="337"/>
    </row>
    <row r="952" ht="15.75" customHeight="1">
      <c r="I952" s="337"/>
    </row>
    <row r="953" ht="15.75" customHeight="1">
      <c r="I953" s="337"/>
    </row>
    <row r="954" ht="15.75" customHeight="1">
      <c r="I954" s="337"/>
    </row>
    <row r="955" ht="15.75" customHeight="1">
      <c r="I955" s="337"/>
    </row>
    <row r="956" ht="15.75" customHeight="1">
      <c r="I956" s="337"/>
    </row>
    <row r="957" ht="15.75" customHeight="1">
      <c r="I957" s="337"/>
    </row>
    <row r="958" ht="15.75" customHeight="1">
      <c r="I958" s="337"/>
    </row>
    <row r="959" ht="15.75" customHeight="1">
      <c r="I959" s="337"/>
    </row>
    <row r="960" ht="15.75" customHeight="1">
      <c r="I960" s="337"/>
    </row>
    <row r="961" ht="15.75" customHeight="1">
      <c r="I961" s="337"/>
    </row>
    <row r="962" ht="15.75" customHeight="1">
      <c r="I962" s="337"/>
    </row>
    <row r="963" ht="15.75" customHeight="1">
      <c r="I963" s="337"/>
    </row>
    <row r="964" ht="15.75" customHeight="1">
      <c r="I964" s="337"/>
    </row>
    <row r="965" ht="15.75" customHeight="1">
      <c r="I965" s="337"/>
    </row>
    <row r="966" ht="15.75" customHeight="1">
      <c r="I966" s="337"/>
    </row>
    <row r="967" ht="15.75" customHeight="1">
      <c r="I967" s="337"/>
    </row>
    <row r="968" ht="15.75" customHeight="1">
      <c r="I968" s="337"/>
    </row>
    <row r="969" ht="15.75" customHeight="1">
      <c r="I969" s="337"/>
    </row>
    <row r="970" ht="15.75" customHeight="1">
      <c r="I970" s="337"/>
    </row>
    <row r="971" ht="15.75" customHeight="1">
      <c r="I971" s="337"/>
    </row>
    <row r="972" ht="15.75" customHeight="1">
      <c r="I972" s="337"/>
    </row>
    <row r="973" ht="15.75" customHeight="1">
      <c r="I973" s="337"/>
    </row>
    <row r="974" ht="15.75" customHeight="1">
      <c r="I974" s="337"/>
    </row>
    <row r="975" ht="15.75" customHeight="1">
      <c r="I975" s="337"/>
    </row>
    <row r="976" ht="15.75" customHeight="1">
      <c r="I976" s="337"/>
    </row>
    <row r="977" ht="15.75" customHeight="1">
      <c r="I977" s="337"/>
    </row>
    <row r="978" ht="15.75" customHeight="1">
      <c r="I978" s="337"/>
    </row>
    <row r="979" ht="15.75" customHeight="1">
      <c r="I979" s="337"/>
    </row>
    <row r="980" ht="15.75" customHeight="1">
      <c r="I980" s="337"/>
    </row>
    <row r="981" ht="15.75" customHeight="1">
      <c r="I981" s="337"/>
    </row>
    <row r="982" ht="15.75" customHeight="1">
      <c r="I982" s="337"/>
    </row>
    <row r="983" ht="15.75" customHeight="1">
      <c r="I983" s="337"/>
    </row>
    <row r="984" ht="15.75" customHeight="1">
      <c r="I984" s="337"/>
    </row>
    <row r="985" ht="15.75" customHeight="1">
      <c r="I985" s="337"/>
    </row>
    <row r="986" ht="15.75" customHeight="1">
      <c r="I986" s="337"/>
    </row>
    <row r="987" ht="15.75" customHeight="1">
      <c r="I987" s="337"/>
    </row>
    <row r="988" ht="15.75" customHeight="1">
      <c r="I988" s="337"/>
    </row>
    <row r="989" ht="15.75" customHeight="1">
      <c r="I989" s="337"/>
    </row>
    <row r="990" ht="15.75" customHeight="1">
      <c r="I990" s="337"/>
    </row>
    <row r="991" ht="15.75" customHeight="1">
      <c r="I991" s="337"/>
    </row>
    <row r="992" ht="15.75" customHeight="1">
      <c r="I992" s="337"/>
    </row>
    <row r="993" ht="15.75" customHeight="1">
      <c r="I993" s="337"/>
    </row>
    <row r="994" ht="15.75" customHeight="1">
      <c r="I994" s="337"/>
    </row>
    <row r="995" ht="15.75" customHeight="1">
      <c r="I995" s="337"/>
    </row>
    <row r="996" ht="15.75" customHeight="1">
      <c r="I996" s="337"/>
    </row>
    <row r="997" ht="15.75" customHeight="1">
      <c r="I997" s="337"/>
    </row>
    <row r="998" ht="15.75" customHeight="1">
      <c r="I998" s="337"/>
    </row>
    <row r="999" ht="15.75" customHeight="1">
      <c r="I999" s="337"/>
    </row>
    <row r="1000" ht="15.75" customHeight="1">
      <c r="I1000" s="337"/>
    </row>
    <row r="1001" ht="15.75" customHeight="1">
      <c r="I1001" s="337"/>
    </row>
    <row r="1002" ht="15.75" customHeight="1">
      <c r="I1002" s="337"/>
    </row>
    <row r="1003" ht="15.75" customHeight="1">
      <c r="I1003" s="337"/>
    </row>
    <row r="1004" ht="15.75" customHeight="1">
      <c r="I1004" s="337"/>
    </row>
    <row r="1005" ht="15.75" customHeight="1">
      <c r="I1005" s="337"/>
    </row>
  </sheetData>
  <autoFilter ref="$A$5:$M$675"/>
  <printOptions/>
  <pageMargins bottom="0.75" footer="0.0" header="0.0" left="0.7" right="0.7" top="0.75"/>
  <pageSetup paperSize="5" scale="9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6.43"/>
    <col customWidth="1" min="3" max="3" width="12.29"/>
    <col customWidth="1" min="4" max="4" width="6.57"/>
    <col customWidth="1" min="5" max="5" width="11.0"/>
    <col customWidth="1" min="6" max="6" width="13.43"/>
    <col customWidth="1" min="7" max="7" width="12.14"/>
  </cols>
  <sheetData>
    <row r="1" ht="12.75" customHeight="1">
      <c r="A1" s="260"/>
      <c r="B1" s="260" t="s">
        <v>599</v>
      </c>
      <c r="C1" s="259"/>
      <c r="D1" s="263"/>
      <c r="E1" s="259"/>
      <c r="F1" s="259"/>
      <c r="G1" s="339" t="s">
        <v>1542</v>
      </c>
    </row>
    <row r="2" ht="12.75" customHeight="1">
      <c r="A2" s="260"/>
      <c r="B2" s="260" t="s">
        <v>1543</v>
      </c>
      <c r="C2" s="259"/>
      <c r="D2" s="263"/>
      <c r="E2" s="259"/>
      <c r="F2" s="259"/>
    </row>
    <row r="3" ht="12.75" customHeight="1">
      <c r="A3" s="340" t="s">
        <v>1544</v>
      </c>
      <c r="B3" s="341"/>
      <c r="C3" s="341"/>
      <c r="D3" s="341"/>
      <c r="E3" s="341"/>
      <c r="F3" s="341"/>
      <c r="G3" s="342"/>
    </row>
    <row r="4" ht="12.75" customHeight="1">
      <c r="A4" s="343"/>
      <c r="B4" s="344"/>
      <c r="C4" s="344"/>
      <c r="D4" s="344"/>
      <c r="E4" s="344"/>
      <c r="F4" s="344"/>
      <c r="G4" s="345"/>
    </row>
    <row r="5" ht="12.75" customHeight="1">
      <c r="A5" s="346" t="s">
        <v>1545</v>
      </c>
      <c r="B5" s="347"/>
      <c r="C5" s="346" t="s">
        <v>1546</v>
      </c>
      <c r="D5" s="348"/>
      <c r="E5" s="347"/>
      <c r="F5" s="349" t="s">
        <v>1547</v>
      </c>
      <c r="G5" s="350"/>
    </row>
    <row r="6" ht="12.75" customHeight="1">
      <c r="A6" s="286"/>
      <c r="B6" s="347"/>
      <c r="C6" s="286"/>
      <c r="D6" s="348"/>
      <c r="E6" s="286"/>
      <c r="F6" s="346"/>
      <c r="G6" s="286"/>
    </row>
    <row r="7" ht="12.75" customHeight="1">
      <c r="A7" s="351" t="s">
        <v>6</v>
      </c>
      <c r="B7" s="351" t="s">
        <v>7</v>
      </c>
      <c r="C7" s="352" t="s">
        <v>1548</v>
      </c>
      <c r="D7" s="352" t="s">
        <v>9</v>
      </c>
      <c r="E7" s="351"/>
      <c r="F7" s="353" t="s">
        <v>1549</v>
      </c>
      <c r="G7" s="351" t="s">
        <v>196</v>
      </c>
    </row>
    <row r="8">
      <c r="A8" s="40" t="s">
        <v>25</v>
      </c>
      <c r="B8" s="64" t="s">
        <v>26</v>
      </c>
      <c r="C8" s="65">
        <v>630.0</v>
      </c>
      <c r="D8" s="31"/>
      <c r="E8" s="35" t="s">
        <v>175</v>
      </c>
      <c r="F8" s="47" t="s">
        <v>176</v>
      </c>
      <c r="G8" s="354"/>
    </row>
    <row r="9">
      <c r="A9" s="40" t="s">
        <v>31</v>
      </c>
      <c r="B9" s="64" t="s">
        <v>32</v>
      </c>
      <c r="C9" s="65">
        <v>1770.0</v>
      </c>
      <c r="D9" s="31"/>
      <c r="E9" s="39"/>
      <c r="F9" s="31"/>
      <c r="G9" s="354"/>
    </row>
    <row r="10">
      <c r="A10" s="40" t="s">
        <v>39</v>
      </c>
      <c r="B10" s="64" t="s">
        <v>40</v>
      </c>
      <c r="C10" s="65">
        <v>9570.0</v>
      </c>
      <c r="D10" s="31"/>
      <c r="E10" s="39"/>
      <c r="F10" s="31"/>
      <c r="G10" s="354"/>
    </row>
    <row r="11">
      <c r="A11" s="76" t="s">
        <v>183</v>
      </c>
      <c r="B11" s="54" t="s">
        <v>184</v>
      </c>
      <c r="C11" s="65">
        <v>2500.0</v>
      </c>
      <c r="D11" s="31"/>
      <c r="E11" s="39"/>
      <c r="F11" s="31"/>
      <c r="G11" s="354"/>
    </row>
    <row r="12">
      <c r="A12" s="76" t="s">
        <v>109</v>
      </c>
      <c r="B12" s="77" t="s">
        <v>110</v>
      </c>
      <c r="C12" s="65">
        <v>25000.0</v>
      </c>
      <c r="D12" s="31"/>
      <c r="E12" s="39"/>
      <c r="F12" s="31"/>
      <c r="G12" s="355"/>
    </row>
    <row r="13">
      <c r="A13" s="76"/>
      <c r="B13" s="77"/>
      <c r="C13" s="65"/>
      <c r="D13" s="31"/>
      <c r="E13" s="39"/>
      <c r="F13" s="31"/>
      <c r="G13" s="355"/>
    </row>
    <row r="14">
      <c r="A14" s="72"/>
      <c r="B14" s="73"/>
      <c r="C14" s="65"/>
      <c r="D14" s="31"/>
      <c r="E14" s="35"/>
      <c r="F14" s="31"/>
      <c r="G14" s="355"/>
    </row>
    <row r="15">
      <c r="A15" s="72"/>
      <c r="B15" s="116"/>
      <c r="C15" s="65"/>
      <c r="D15" s="31"/>
      <c r="E15" s="35"/>
      <c r="F15" s="31"/>
      <c r="G15" s="355"/>
    </row>
    <row r="16">
      <c r="A16" s="356"/>
      <c r="B16" s="357"/>
      <c r="C16" s="358"/>
      <c r="D16" s="100"/>
      <c r="E16" s="103"/>
      <c r="F16" s="225"/>
      <c r="G16" s="355"/>
    </row>
    <row r="17">
      <c r="A17" s="356"/>
      <c r="B17" s="357"/>
      <c r="C17" s="358"/>
      <c r="D17" s="100"/>
      <c r="E17" s="103"/>
      <c r="F17" s="225"/>
      <c r="G17" s="291"/>
    </row>
    <row r="18">
      <c r="A18" s="356"/>
      <c r="B18" s="357"/>
      <c r="C18" s="358"/>
      <c r="D18" s="100"/>
      <c r="E18" s="103"/>
      <c r="F18" s="225"/>
      <c r="G18" s="291"/>
    </row>
    <row r="19">
      <c r="A19" s="76"/>
      <c r="B19" s="235"/>
      <c r="C19" s="358"/>
      <c r="D19" s="100"/>
      <c r="E19" s="103"/>
      <c r="F19" s="225"/>
      <c r="G19" s="286"/>
    </row>
    <row r="20" ht="15.75" customHeight="1">
      <c r="A20" s="76"/>
      <c r="B20" s="54"/>
      <c r="C20" s="359"/>
      <c r="D20" s="225"/>
      <c r="E20" s="175"/>
      <c r="F20" s="225"/>
      <c r="G20" s="286"/>
    </row>
    <row r="21" ht="15.75" customHeight="1">
      <c r="A21" s="360" t="s">
        <v>1550</v>
      </c>
      <c r="B21" s="360"/>
      <c r="C21" s="361"/>
      <c r="D21" s="362"/>
      <c r="E21" s="362"/>
      <c r="F21" s="362"/>
      <c r="G21" s="363"/>
    </row>
    <row r="22" ht="4.5" customHeight="1">
      <c r="A22" s="364"/>
      <c r="B22" s="364"/>
      <c r="C22" s="365"/>
      <c r="D22" s="366"/>
      <c r="E22" s="366"/>
      <c r="F22" s="366"/>
      <c r="G22" s="367"/>
    </row>
    <row r="23" ht="15.75" customHeight="1">
      <c r="A23" s="286" t="s">
        <v>1551</v>
      </c>
      <c r="B23" s="286"/>
      <c r="C23" s="368"/>
      <c r="D23" s="369"/>
      <c r="E23" s="369"/>
      <c r="F23" s="369"/>
      <c r="G23" s="370"/>
    </row>
    <row r="24" ht="12.75" customHeight="1">
      <c r="A24" s="286"/>
      <c r="B24" s="286"/>
      <c r="C24" s="368"/>
      <c r="D24" s="369"/>
      <c r="E24" s="370"/>
      <c r="F24" s="286" t="s">
        <v>1552</v>
      </c>
      <c r="G24" s="286"/>
    </row>
    <row r="25" ht="12.75" customHeight="1">
      <c r="A25" s="286" t="s">
        <v>1553</v>
      </c>
      <c r="B25" s="286"/>
      <c r="C25" s="368"/>
      <c r="D25" s="369"/>
      <c r="E25" s="369"/>
      <c r="F25" s="369"/>
      <c r="G25" s="370"/>
    </row>
    <row r="26" ht="15.75" customHeight="1"/>
    <row r="27" ht="15.75" customHeight="1">
      <c r="A27" s="260"/>
      <c r="B27" s="260" t="s">
        <v>599</v>
      </c>
      <c r="C27" s="259"/>
      <c r="D27" s="263"/>
      <c r="E27" s="259"/>
      <c r="F27" s="259"/>
      <c r="G27" s="371" t="str">
        <f>G1</f>
        <v>000169</v>
      </c>
    </row>
    <row r="28" ht="15.75" customHeight="1">
      <c r="A28" s="260"/>
      <c r="B28" s="260" t="s">
        <v>1543</v>
      </c>
      <c r="C28" s="259"/>
      <c r="D28" s="263"/>
      <c r="E28" s="259"/>
      <c r="F28" s="259"/>
    </row>
    <row r="29" ht="15.75" customHeight="1">
      <c r="A29" s="340" t="s">
        <v>1544</v>
      </c>
      <c r="B29" s="341"/>
      <c r="C29" s="341"/>
      <c r="D29" s="341"/>
      <c r="E29" s="341"/>
      <c r="F29" s="341"/>
      <c r="G29" s="342"/>
    </row>
    <row r="30" ht="15.75" customHeight="1">
      <c r="A30" s="343"/>
      <c r="B30" s="344"/>
      <c r="C30" s="344"/>
      <c r="D30" s="344"/>
      <c r="E30" s="344"/>
      <c r="F30" s="344"/>
      <c r="G30" s="345"/>
    </row>
    <row r="31" ht="15.75" customHeight="1">
      <c r="A31" s="346" t="s">
        <v>1545</v>
      </c>
      <c r="B31" s="347"/>
      <c r="C31" s="346" t="s">
        <v>1546</v>
      </c>
      <c r="D31" s="348"/>
      <c r="E31" s="347"/>
      <c r="F31" s="346" t="str">
        <f>F5</f>
        <v>Date Rvd: 06/19/2025</v>
      </c>
      <c r="G31" s="350"/>
    </row>
    <row r="32" ht="15.75" customHeight="1">
      <c r="A32" s="286"/>
      <c r="B32" s="347"/>
      <c r="C32" s="286"/>
      <c r="D32" s="348"/>
      <c r="E32" s="286"/>
      <c r="F32" s="346"/>
      <c r="G32" s="286"/>
    </row>
    <row r="33" ht="15.75" customHeight="1">
      <c r="A33" s="351" t="s">
        <v>6</v>
      </c>
      <c r="B33" s="351" t="s">
        <v>7</v>
      </c>
      <c r="C33" s="352" t="s">
        <v>1548</v>
      </c>
      <c r="D33" s="352" t="s">
        <v>9</v>
      </c>
      <c r="E33" s="351"/>
      <c r="F33" s="353" t="s">
        <v>1549</v>
      </c>
      <c r="G33" s="351" t="s">
        <v>196</v>
      </c>
    </row>
    <row r="34" ht="15.75" customHeight="1">
      <c r="A34" s="72" t="str">
        <f t="shared" ref="A34:C34" si="1">A8</f>
        <v>R001</v>
      </c>
      <c r="B34" s="138" t="str">
        <f t="shared" si="1"/>
        <v>HDPE Blue</v>
      </c>
      <c r="C34" s="359">
        <f t="shared" si="1"/>
        <v>630</v>
      </c>
      <c r="D34" s="225"/>
      <c r="E34" s="175" t="str">
        <f t="shared" ref="E34:F34" si="2">E8</f>
        <v>JP </v>
      </c>
      <c r="F34" s="225" t="str">
        <f t="shared" si="2"/>
        <v>DRYU 2634054</v>
      </c>
      <c r="G34" s="354"/>
    </row>
    <row r="35" ht="15.75" customHeight="1">
      <c r="A35" s="40" t="str">
        <f t="shared" ref="A35:C35" si="3">A9</f>
        <v>R002</v>
      </c>
      <c r="B35" s="138" t="str">
        <f t="shared" si="3"/>
        <v>HDPE Red</v>
      </c>
      <c r="C35" s="359">
        <f t="shared" si="3"/>
        <v>1770</v>
      </c>
      <c r="D35" s="225"/>
      <c r="E35" s="175" t="str">
        <f t="shared" ref="E35:F35" si="4">E9</f>
        <v/>
      </c>
      <c r="F35" s="225" t="str">
        <f t="shared" si="4"/>
        <v/>
      </c>
      <c r="G35" s="354"/>
    </row>
    <row r="36" ht="15.75" customHeight="1">
      <c r="A36" s="40" t="str">
        <f t="shared" ref="A36:C36" si="5">A10</f>
        <v>R005</v>
      </c>
      <c r="B36" s="138" t="str">
        <f t="shared" si="5"/>
        <v>HDPE White</v>
      </c>
      <c r="C36" s="359">
        <f t="shared" si="5"/>
        <v>9570</v>
      </c>
      <c r="D36" s="225"/>
      <c r="E36" s="175" t="str">
        <f t="shared" ref="E36:F36" si="6">E10</f>
        <v/>
      </c>
      <c r="F36" s="225" t="str">
        <f t="shared" si="6"/>
        <v/>
      </c>
      <c r="G36" s="354"/>
    </row>
    <row r="37" ht="15.75" customHeight="1">
      <c r="A37" s="40" t="str">
        <f t="shared" ref="A37:C37" si="7">A11</f>
        <v>R032</v>
      </c>
      <c r="B37" s="138" t="str">
        <f t="shared" si="7"/>
        <v>HDPE Injection </v>
      </c>
      <c r="C37" s="359">
        <f t="shared" si="7"/>
        <v>2500</v>
      </c>
      <c r="D37" s="225"/>
      <c r="E37" s="175" t="str">
        <f t="shared" ref="E37:F37" si="8">E11</f>
        <v/>
      </c>
      <c r="F37" s="225" t="str">
        <f t="shared" si="8"/>
        <v/>
      </c>
      <c r="G37" s="354"/>
    </row>
    <row r="38" ht="15.75" customHeight="1">
      <c r="A38" s="40" t="str">
        <f t="shared" ref="A38:C38" si="9">A12</f>
        <v>R103</v>
      </c>
      <c r="B38" s="138" t="str">
        <f t="shared" si="9"/>
        <v>PET Bottle Pre-Formed 12g (30mm)</v>
      </c>
      <c r="C38" s="359">
        <f t="shared" si="9"/>
        <v>25000</v>
      </c>
      <c r="D38" s="225"/>
      <c r="E38" s="175" t="str">
        <f t="shared" ref="E38:F38" si="10">E12</f>
        <v/>
      </c>
      <c r="F38" s="225" t="str">
        <f t="shared" si="10"/>
        <v/>
      </c>
      <c r="G38" s="354"/>
    </row>
    <row r="39" ht="15.75" customHeight="1">
      <c r="A39" s="40" t="str">
        <f t="shared" ref="A39:C39" si="11">A13</f>
        <v/>
      </c>
      <c r="B39" s="138" t="str">
        <f t="shared" si="11"/>
        <v/>
      </c>
      <c r="C39" s="359" t="str">
        <f t="shared" si="11"/>
        <v/>
      </c>
      <c r="D39" s="225"/>
      <c r="E39" s="175" t="str">
        <f t="shared" ref="E39:F39" si="12">E13</f>
        <v/>
      </c>
      <c r="F39" s="225" t="str">
        <f t="shared" si="12"/>
        <v/>
      </c>
      <c r="G39" s="354"/>
    </row>
    <row r="40" ht="15.75" customHeight="1">
      <c r="A40" s="40" t="str">
        <f t="shared" ref="A40:C40" si="13">A14</f>
        <v/>
      </c>
      <c r="B40" s="138" t="str">
        <f t="shared" si="13"/>
        <v/>
      </c>
      <c r="C40" s="359" t="str">
        <f t="shared" si="13"/>
        <v/>
      </c>
      <c r="D40" s="225"/>
      <c r="E40" s="175" t="str">
        <f t="shared" ref="E40:F40" si="14">E14</f>
        <v/>
      </c>
      <c r="F40" s="225" t="str">
        <f t="shared" si="14"/>
        <v/>
      </c>
      <c r="G40" s="354"/>
    </row>
    <row r="41" ht="15.75" customHeight="1">
      <c r="A41" s="40" t="str">
        <f t="shared" ref="A41:C41" si="15">A15</f>
        <v/>
      </c>
      <c r="B41" s="138" t="str">
        <f t="shared" si="15"/>
        <v/>
      </c>
      <c r="C41" s="359" t="str">
        <f t="shared" si="15"/>
        <v/>
      </c>
      <c r="D41" s="225"/>
      <c r="E41" s="175" t="str">
        <f t="shared" ref="E41:F41" si="16">E15</f>
        <v/>
      </c>
      <c r="F41" s="225" t="str">
        <f t="shared" si="16"/>
        <v/>
      </c>
      <c r="G41" s="354"/>
    </row>
    <row r="42" ht="15.75" customHeight="1">
      <c r="A42" s="40" t="str">
        <f t="shared" ref="A42:C42" si="17">A16</f>
        <v/>
      </c>
      <c r="B42" s="138" t="str">
        <f t="shared" si="17"/>
        <v/>
      </c>
      <c r="C42" s="359" t="str">
        <f t="shared" si="17"/>
        <v/>
      </c>
      <c r="D42" s="225"/>
      <c r="E42" s="175" t="str">
        <f t="shared" ref="E42:F42" si="18">E16</f>
        <v/>
      </c>
      <c r="F42" s="225" t="str">
        <f t="shared" si="18"/>
        <v/>
      </c>
      <c r="G42" s="354"/>
    </row>
    <row r="43" ht="15.75" customHeight="1">
      <c r="A43" s="40" t="str">
        <f t="shared" ref="A43:C43" si="19">A17</f>
        <v/>
      </c>
      <c r="B43" s="138" t="str">
        <f t="shared" si="19"/>
        <v/>
      </c>
      <c r="C43" s="359" t="str">
        <f t="shared" si="19"/>
        <v/>
      </c>
      <c r="D43" s="225"/>
      <c r="E43" s="175"/>
      <c r="F43" s="225" t="str">
        <f>F17</f>
        <v/>
      </c>
      <c r="G43" s="354"/>
    </row>
    <row r="44" ht="15.75" customHeight="1">
      <c r="A44" s="40" t="str">
        <f t="shared" ref="A44:C44" si="20">A18</f>
        <v/>
      </c>
      <c r="B44" s="138" t="str">
        <f t="shared" si="20"/>
        <v/>
      </c>
      <c r="C44" s="359" t="str">
        <f t="shared" si="20"/>
        <v/>
      </c>
      <c r="D44" s="225"/>
      <c r="E44" s="175" t="str">
        <f t="shared" ref="E44:F44" si="21">E18</f>
        <v/>
      </c>
      <c r="F44" s="225" t="str">
        <f t="shared" si="21"/>
        <v/>
      </c>
      <c r="G44" s="354"/>
    </row>
    <row r="45" ht="15.75" customHeight="1">
      <c r="A45" s="40" t="str">
        <f t="shared" ref="A45:C45" si="22">A19</f>
        <v/>
      </c>
      <c r="B45" s="138" t="str">
        <f t="shared" si="22"/>
        <v/>
      </c>
      <c r="C45" s="359" t="str">
        <f t="shared" si="22"/>
        <v/>
      </c>
      <c r="D45" s="372"/>
      <c r="E45" s="286"/>
      <c r="F45" s="346"/>
      <c r="G45" s="286"/>
    </row>
    <row r="46" ht="15.75" customHeight="1">
      <c r="A46" s="40" t="str">
        <f t="shared" ref="A46:C46" si="23">A20</f>
        <v/>
      </c>
      <c r="B46" s="138" t="str">
        <f t="shared" si="23"/>
        <v/>
      </c>
      <c r="C46" s="359" t="str">
        <f t="shared" si="23"/>
        <v/>
      </c>
      <c r="D46" s="372"/>
      <c r="E46" s="286"/>
      <c r="F46" s="346"/>
      <c r="G46" s="286"/>
    </row>
    <row r="47" ht="15.75" customHeight="1">
      <c r="A47" s="286"/>
      <c r="B47" s="346" t="s">
        <v>1554</v>
      </c>
      <c r="C47" s="286"/>
      <c r="D47" s="372" t="s">
        <v>1555</v>
      </c>
      <c r="E47" s="286"/>
      <c r="F47" s="346" t="s">
        <v>1556</v>
      </c>
      <c r="G47" s="286"/>
    </row>
    <row r="48" ht="15.75" customHeight="1">
      <c r="A48" s="286"/>
      <c r="B48" s="286"/>
      <c r="C48" s="286"/>
      <c r="D48" s="348"/>
      <c r="E48" s="286"/>
      <c r="F48" s="286"/>
      <c r="G48" s="286"/>
    </row>
    <row r="49" ht="15.75" customHeight="1">
      <c r="A49" s="360" t="s">
        <v>1550</v>
      </c>
      <c r="B49" s="360"/>
      <c r="C49" s="361"/>
      <c r="D49" s="362"/>
      <c r="E49" s="362"/>
      <c r="F49" s="362"/>
      <c r="G49" s="363"/>
    </row>
    <row r="50" ht="15.75" customHeight="1">
      <c r="A50" s="364"/>
      <c r="B50" s="364"/>
      <c r="C50" s="365"/>
      <c r="D50" s="366"/>
      <c r="E50" s="366"/>
      <c r="F50" s="366"/>
      <c r="G50" s="367"/>
    </row>
    <row r="51" ht="15.75" customHeight="1">
      <c r="A51" s="286" t="s">
        <v>1551</v>
      </c>
      <c r="B51" s="286"/>
      <c r="C51" s="368"/>
      <c r="D51" s="369"/>
      <c r="E51" s="369"/>
      <c r="F51" s="369"/>
      <c r="G51" s="370"/>
    </row>
    <row r="52" ht="15.75" customHeight="1">
      <c r="A52" s="286"/>
      <c r="B52" s="286"/>
      <c r="C52" s="368"/>
      <c r="D52" s="369"/>
      <c r="E52" s="370"/>
      <c r="F52" s="286" t="s">
        <v>1552</v>
      </c>
      <c r="G52" s="286"/>
    </row>
    <row r="53" ht="15.75" customHeight="1">
      <c r="A53" s="286" t="s">
        <v>1553</v>
      </c>
      <c r="B53" s="286"/>
      <c r="C53" s="368"/>
      <c r="D53" s="369"/>
      <c r="E53" s="369"/>
      <c r="F53" s="369"/>
      <c r="G53" s="37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G1:G2"/>
    <mergeCell ref="A3:G4"/>
    <mergeCell ref="A21:A22"/>
    <mergeCell ref="B21:B22"/>
    <mergeCell ref="C21:G22"/>
    <mergeCell ref="C23:G23"/>
    <mergeCell ref="C24:E24"/>
    <mergeCell ref="C52:E52"/>
    <mergeCell ref="C53:G53"/>
    <mergeCell ref="C25:G25"/>
    <mergeCell ref="G27:G28"/>
    <mergeCell ref="A29:G30"/>
    <mergeCell ref="A49:A50"/>
    <mergeCell ref="B49:B50"/>
    <mergeCell ref="C49:G50"/>
    <mergeCell ref="C51:G51"/>
  </mergeCells>
  <printOptions/>
  <pageMargins bottom="0.75" footer="0.0" header="0.0" left="0.7" right="0.7" top="0.75"/>
  <pageSetup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29"/>
    <col customWidth="1" min="2" max="2" width="47.29"/>
    <col customWidth="1" min="3" max="6" width="14.43"/>
  </cols>
  <sheetData>
    <row r="1" ht="15.0" customHeight="1">
      <c r="A1" s="140"/>
      <c r="B1" s="373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</row>
    <row r="2" ht="15.0" customHeight="1">
      <c r="A2" s="375" t="s">
        <v>1557</v>
      </c>
      <c r="B2" s="376" t="s">
        <v>1558</v>
      </c>
      <c r="C2" s="377" t="s">
        <v>1559</v>
      </c>
      <c r="D2" s="370"/>
      <c r="E2" s="377" t="s">
        <v>1560</v>
      </c>
      <c r="F2" s="370"/>
      <c r="G2" s="377" t="s">
        <v>1561</v>
      </c>
      <c r="H2" s="370"/>
      <c r="I2" s="377" t="s">
        <v>1562</v>
      </c>
      <c r="J2" s="370"/>
      <c r="K2" s="377" t="s">
        <v>1563</v>
      </c>
      <c r="L2" s="369"/>
      <c r="M2" s="370"/>
    </row>
    <row r="3" ht="15.0" customHeight="1">
      <c r="A3" s="106"/>
      <c r="B3" s="378"/>
      <c r="C3" s="379" t="s">
        <v>1564</v>
      </c>
      <c r="D3" s="379" t="s">
        <v>1565</v>
      </c>
      <c r="E3" s="379" t="s">
        <v>1566</v>
      </c>
      <c r="F3" s="379" t="s">
        <v>1565</v>
      </c>
      <c r="G3" s="379" t="s">
        <v>1567</v>
      </c>
      <c r="H3" s="379" t="s">
        <v>1565</v>
      </c>
      <c r="I3" s="379" t="s">
        <v>1568</v>
      </c>
      <c r="J3" s="379" t="s">
        <v>1565</v>
      </c>
      <c r="K3" s="379"/>
      <c r="L3" s="379" t="s">
        <v>1569</v>
      </c>
      <c r="M3" s="379" t="s">
        <v>1570</v>
      </c>
    </row>
    <row r="4" ht="15.0" customHeight="1">
      <c r="A4" s="106" t="s">
        <v>25</v>
      </c>
      <c r="B4" s="380" t="s">
        <v>1571</v>
      </c>
      <c r="C4" s="320">
        <f t="shared" ref="C4:C94" si="1">M4*7</f>
        <v>10500</v>
      </c>
      <c r="D4" s="320">
        <f t="shared" ref="D4:D8" si="2">C4/L4</f>
        <v>350</v>
      </c>
      <c r="E4" s="320">
        <f t="shared" ref="E4:E94" si="3">M4*15</f>
        <v>22500</v>
      </c>
      <c r="F4" s="320">
        <f t="shared" ref="F4:F8" si="4">E4/L4</f>
        <v>750</v>
      </c>
      <c r="G4" s="320">
        <f t="shared" ref="G4:G6" si="5">M4*25</f>
        <v>37500</v>
      </c>
      <c r="H4" s="320">
        <f t="shared" ref="H4:H8" si="6">G4/L4</f>
        <v>1250</v>
      </c>
      <c r="I4" s="320">
        <f t="shared" ref="I4:I94" si="7">M4*30</f>
        <v>45000</v>
      </c>
      <c r="J4" s="320">
        <f t="shared" ref="J4:J8" si="8">I4/L4</f>
        <v>1500</v>
      </c>
      <c r="K4" s="320">
        <v>50.0</v>
      </c>
      <c r="L4" s="320">
        <v>30.0</v>
      </c>
      <c r="M4" s="320">
        <f t="shared" ref="M4:M94" si="9">K4*L4</f>
        <v>1500</v>
      </c>
    </row>
    <row r="5" ht="15.0" customHeight="1">
      <c r="A5" s="106" t="s">
        <v>31</v>
      </c>
      <c r="B5" s="380" t="s">
        <v>1572</v>
      </c>
      <c r="C5" s="320">
        <f t="shared" si="1"/>
        <v>10500</v>
      </c>
      <c r="D5" s="320">
        <f t="shared" si="2"/>
        <v>350</v>
      </c>
      <c r="E5" s="320">
        <f t="shared" si="3"/>
        <v>22500</v>
      </c>
      <c r="F5" s="320">
        <f t="shared" si="4"/>
        <v>750</v>
      </c>
      <c r="G5" s="320">
        <f t="shared" si="5"/>
        <v>37500</v>
      </c>
      <c r="H5" s="320">
        <f t="shared" si="6"/>
        <v>1250</v>
      </c>
      <c r="I5" s="320">
        <f t="shared" si="7"/>
        <v>45000</v>
      </c>
      <c r="J5" s="320">
        <f t="shared" si="8"/>
        <v>1500</v>
      </c>
      <c r="K5" s="320">
        <v>50.0</v>
      </c>
      <c r="L5" s="320">
        <v>30.0</v>
      </c>
      <c r="M5" s="320">
        <f t="shared" si="9"/>
        <v>1500</v>
      </c>
    </row>
    <row r="6" ht="15.0" customHeight="1">
      <c r="A6" s="106" t="s">
        <v>124</v>
      </c>
      <c r="B6" s="380" t="s">
        <v>1573</v>
      </c>
      <c r="C6" s="320">
        <f t="shared" si="1"/>
        <v>10500</v>
      </c>
      <c r="D6" s="320">
        <f t="shared" si="2"/>
        <v>350</v>
      </c>
      <c r="E6" s="320">
        <f t="shared" si="3"/>
        <v>22500</v>
      </c>
      <c r="F6" s="320">
        <f t="shared" si="4"/>
        <v>750</v>
      </c>
      <c r="G6" s="320">
        <f t="shared" si="5"/>
        <v>37500</v>
      </c>
      <c r="H6" s="320">
        <f t="shared" si="6"/>
        <v>1250</v>
      </c>
      <c r="I6" s="320">
        <f t="shared" si="7"/>
        <v>45000</v>
      </c>
      <c r="J6" s="320">
        <f t="shared" si="8"/>
        <v>1500</v>
      </c>
      <c r="K6" s="320">
        <v>50.0</v>
      </c>
      <c r="L6" s="320">
        <v>30.0</v>
      </c>
      <c r="M6" s="320">
        <f t="shared" si="9"/>
        <v>1500</v>
      </c>
    </row>
    <row r="7" ht="15.0" customHeight="1">
      <c r="A7" s="106" t="s">
        <v>101</v>
      </c>
      <c r="B7" s="380" t="s">
        <v>1574</v>
      </c>
      <c r="C7" s="320">
        <f t="shared" si="1"/>
        <v>33600</v>
      </c>
      <c r="D7" s="320">
        <f t="shared" si="2"/>
        <v>1120</v>
      </c>
      <c r="E7" s="320">
        <f t="shared" si="3"/>
        <v>72000</v>
      </c>
      <c r="F7" s="320">
        <f t="shared" si="4"/>
        <v>2400</v>
      </c>
      <c r="G7" s="381">
        <v>90000.0</v>
      </c>
      <c r="H7" s="320">
        <f t="shared" si="6"/>
        <v>3000</v>
      </c>
      <c r="I7" s="320">
        <f t="shared" si="7"/>
        <v>144000</v>
      </c>
      <c r="J7" s="320">
        <f t="shared" si="8"/>
        <v>4800</v>
      </c>
      <c r="K7" s="320">
        <v>160.0</v>
      </c>
      <c r="L7" s="320">
        <v>30.0</v>
      </c>
      <c r="M7" s="320">
        <f t="shared" si="9"/>
        <v>4800</v>
      </c>
    </row>
    <row r="8" ht="15.0" customHeight="1">
      <c r="A8" s="106" t="s">
        <v>39</v>
      </c>
      <c r="B8" s="380" t="s">
        <v>1575</v>
      </c>
      <c r="C8" s="320">
        <f t="shared" si="1"/>
        <v>10500</v>
      </c>
      <c r="D8" s="320">
        <f t="shared" si="2"/>
        <v>350</v>
      </c>
      <c r="E8" s="320">
        <f t="shared" si="3"/>
        <v>22500</v>
      </c>
      <c r="F8" s="320">
        <f t="shared" si="4"/>
        <v>750</v>
      </c>
      <c r="G8" s="320">
        <f t="shared" ref="G8:G14" si="10">M8*25</f>
        <v>37500</v>
      </c>
      <c r="H8" s="320">
        <f t="shared" si="6"/>
        <v>1250</v>
      </c>
      <c r="I8" s="320">
        <f t="shared" si="7"/>
        <v>45000</v>
      </c>
      <c r="J8" s="320">
        <f t="shared" si="8"/>
        <v>1500</v>
      </c>
      <c r="K8" s="320">
        <v>50.0</v>
      </c>
      <c r="L8" s="320">
        <v>30.0</v>
      </c>
      <c r="M8" s="320">
        <f t="shared" si="9"/>
        <v>1500</v>
      </c>
    </row>
    <row r="9" ht="15.0" customHeight="1">
      <c r="A9" s="106" t="s">
        <v>126</v>
      </c>
      <c r="B9" s="380" t="s">
        <v>1576</v>
      </c>
      <c r="C9" s="320">
        <f t="shared" si="1"/>
        <v>0</v>
      </c>
      <c r="D9" s="320"/>
      <c r="E9" s="320">
        <f t="shared" si="3"/>
        <v>0</v>
      </c>
      <c r="F9" s="320"/>
      <c r="G9" s="320">
        <f t="shared" si="10"/>
        <v>0</v>
      </c>
      <c r="H9" s="320"/>
      <c r="I9" s="320">
        <f t="shared" si="7"/>
        <v>0</v>
      </c>
      <c r="J9" s="320"/>
      <c r="K9" s="320"/>
      <c r="L9" s="320"/>
      <c r="M9" s="320">
        <f t="shared" si="9"/>
        <v>0</v>
      </c>
    </row>
    <row r="10" ht="15.0" customHeight="1">
      <c r="A10" s="106" t="s">
        <v>199</v>
      </c>
      <c r="B10" s="380" t="s">
        <v>1577</v>
      </c>
      <c r="C10" s="320">
        <f t="shared" si="1"/>
        <v>0</v>
      </c>
      <c r="D10" s="320"/>
      <c r="E10" s="320">
        <f t="shared" si="3"/>
        <v>0</v>
      </c>
      <c r="F10" s="320"/>
      <c r="G10" s="320">
        <f t="shared" si="10"/>
        <v>0</v>
      </c>
      <c r="H10" s="320"/>
      <c r="I10" s="320">
        <f t="shared" si="7"/>
        <v>0</v>
      </c>
      <c r="J10" s="320"/>
      <c r="K10" s="320"/>
      <c r="L10" s="320"/>
      <c r="M10" s="320">
        <f t="shared" si="9"/>
        <v>0</v>
      </c>
    </row>
    <row r="11" ht="15.0" customHeight="1">
      <c r="A11" s="124" t="s">
        <v>61</v>
      </c>
      <c r="B11" s="380" t="s">
        <v>62</v>
      </c>
      <c r="C11" s="320">
        <f t="shared" si="1"/>
        <v>5950</v>
      </c>
      <c r="D11" s="320">
        <f t="shared" ref="D11:D12" si="11">C11/L11</f>
        <v>238</v>
      </c>
      <c r="E11" s="320">
        <f t="shared" si="3"/>
        <v>12750</v>
      </c>
      <c r="F11" s="320">
        <f t="shared" ref="F11:F12" si="12">E11/L11</f>
        <v>510</v>
      </c>
      <c r="G11" s="320">
        <f t="shared" si="10"/>
        <v>21250</v>
      </c>
      <c r="H11" s="320">
        <f t="shared" ref="H11:H12" si="13">G11/L11</f>
        <v>850</v>
      </c>
      <c r="I11" s="320">
        <f t="shared" si="7"/>
        <v>25500</v>
      </c>
      <c r="J11" s="320">
        <f t="shared" ref="J11:J12" si="14">I11/L11</f>
        <v>1020</v>
      </c>
      <c r="K11" s="320">
        <v>34.0</v>
      </c>
      <c r="L11" s="320">
        <v>25.0</v>
      </c>
      <c r="M11" s="320">
        <f t="shared" si="9"/>
        <v>850</v>
      </c>
    </row>
    <row r="12">
      <c r="A12" s="124" t="s">
        <v>41</v>
      </c>
      <c r="B12" s="382" t="s">
        <v>42</v>
      </c>
      <c r="C12" s="320">
        <f t="shared" si="1"/>
        <v>26250</v>
      </c>
      <c r="D12" s="320">
        <f t="shared" si="11"/>
        <v>1050</v>
      </c>
      <c r="E12" s="320">
        <f t="shared" si="3"/>
        <v>56250</v>
      </c>
      <c r="F12" s="320">
        <f t="shared" si="12"/>
        <v>2250</v>
      </c>
      <c r="G12" s="320">
        <f t="shared" si="10"/>
        <v>93750</v>
      </c>
      <c r="H12" s="320">
        <f t="shared" si="13"/>
        <v>3750</v>
      </c>
      <c r="I12" s="320">
        <f t="shared" si="7"/>
        <v>112500</v>
      </c>
      <c r="J12" s="320">
        <f t="shared" si="14"/>
        <v>4500</v>
      </c>
      <c r="K12" s="320">
        <v>150.0</v>
      </c>
      <c r="L12" s="320">
        <v>25.0</v>
      </c>
      <c r="M12" s="320">
        <f t="shared" si="9"/>
        <v>3750</v>
      </c>
    </row>
    <row r="13" ht="15.0" customHeight="1">
      <c r="A13" s="124" t="s">
        <v>1578</v>
      </c>
      <c r="B13" s="380" t="s">
        <v>1579</v>
      </c>
      <c r="C13" s="320">
        <f t="shared" si="1"/>
        <v>0</v>
      </c>
      <c r="D13" s="320"/>
      <c r="E13" s="320">
        <f t="shared" si="3"/>
        <v>0</v>
      </c>
      <c r="F13" s="320"/>
      <c r="G13" s="320">
        <f t="shared" si="10"/>
        <v>0</v>
      </c>
      <c r="H13" s="320"/>
      <c r="I13" s="320">
        <f t="shared" si="7"/>
        <v>0</v>
      </c>
      <c r="J13" s="320"/>
      <c r="K13" s="320"/>
      <c r="L13" s="320"/>
      <c r="M13" s="320">
        <f t="shared" si="9"/>
        <v>0</v>
      </c>
    </row>
    <row r="14" ht="15.0" customHeight="1">
      <c r="A14" s="124" t="s">
        <v>730</v>
      </c>
      <c r="B14" s="380" t="s">
        <v>731</v>
      </c>
      <c r="C14" s="320">
        <f t="shared" si="1"/>
        <v>0</v>
      </c>
      <c r="D14" s="320"/>
      <c r="E14" s="320">
        <f t="shared" si="3"/>
        <v>0</v>
      </c>
      <c r="F14" s="320"/>
      <c r="G14" s="320">
        <f t="shared" si="10"/>
        <v>0</v>
      </c>
      <c r="H14" s="320"/>
      <c r="I14" s="320">
        <f t="shared" si="7"/>
        <v>0</v>
      </c>
      <c r="J14" s="320"/>
      <c r="K14" s="320"/>
      <c r="L14" s="320"/>
      <c r="M14" s="320">
        <f t="shared" si="9"/>
        <v>0</v>
      </c>
    </row>
    <row r="15">
      <c r="A15" s="124" t="s">
        <v>53</v>
      </c>
      <c r="B15" s="382" t="s">
        <v>54</v>
      </c>
      <c r="C15" s="320">
        <f t="shared" si="1"/>
        <v>0</v>
      </c>
      <c r="D15" s="320"/>
      <c r="E15" s="320">
        <f t="shared" si="3"/>
        <v>0</v>
      </c>
      <c r="F15" s="320"/>
      <c r="G15" s="381">
        <v>10000.0</v>
      </c>
      <c r="H15" s="320">
        <f t="shared" ref="H15:H16" si="15">G15/L15</f>
        <v>400</v>
      </c>
      <c r="I15" s="320">
        <f t="shared" si="7"/>
        <v>0</v>
      </c>
      <c r="J15" s="320"/>
      <c r="K15" s="320"/>
      <c r="L15" s="381">
        <v>25.0</v>
      </c>
      <c r="M15" s="320">
        <f t="shared" si="9"/>
        <v>0</v>
      </c>
    </row>
    <row r="16" ht="15.0" customHeight="1">
      <c r="A16" s="124" t="s">
        <v>643</v>
      </c>
      <c r="B16" s="380" t="s">
        <v>644</v>
      </c>
      <c r="C16" s="320">
        <f t="shared" si="1"/>
        <v>2100</v>
      </c>
      <c r="D16" s="320">
        <f>C16/L16</f>
        <v>70</v>
      </c>
      <c r="E16" s="320">
        <f t="shared" si="3"/>
        <v>4500</v>
      </c>
      <c r="F16" s="320">
        <f>E16/L16</f>
        <v>150</v>
      </c>
      <c r="G16" s="320">
        <f t="shared" ref="G16:G20" si="16">M16*25</f>
        <v>7500</v>
      </c>
      <c r="H16" s="320">
        <f t="shared" si="15"/>
        <v>250</v>
      </c>
      <c r="I16" s="320">
        <f t="shared" si="7"/>
        <v>9000</v>
      </c>
      <c r="J16" s="320">
        <f>I16/L16</f>
        <v>300</v>
      </c>
      <c r="K16" s="320">
        <v>10.0</v>
      </c>
      <c r="L16" s="320">
        <v>30.0</v>
      </c>
      <c r="M16" s="320">
        <f t="shared" si="9"/>
        <v>300</v>
      </c>
    </row>
    <row r="17" ht="15.0" customHeight="1">
      <c r="A17" s="124" t="s">
        <v>1580</v>
      </c>
      <c r="B17" s="380" t="s">
        <v>1581</v>
      </c>
      <c r="C17" s="320">
        <f t="shared" si="1"/>
        <v>0</v>
      </c>
      <c r="D17" s="320"/>
      <c r="E17" s="320">
        <f t="shared" si="3"/>
        <v>0</v>
      </c>
      <c r="F17" s="320"/>
      <c r="G17" s="320">
        <f t="shared" si="16"/>
        <v>0</v>
      </c>
      <c r="H17" s="320"/>
      <c r="I17" s="320">
        <f t="shared" si="7"/>
        <v>0</v>
      </c>
      <c r="J17" s="320"/>
      <c r="K17" s="320"/>
      <c r="L17" s="320"/>
      <c r="M17" s="320">
        <f t="shared" si="9"/>
        <v>0</v>
      </c>
    </row>
    <row r="18" ht="15.0" customHeight="1">
      <c r="A18" s="124" t="s">
        <v>645</v>
      </c>
      <c r="B18" s="380" t="s">
        <v>646</v>
      </c>
      <c r="C18" s="320">
        <f t="shared" si="1"/>
        <v>0</v>
      </c>
      <c r="D18" s="320"/>
      <c r="E18" s="320">
        <f t="shared" si="3"/>
        <v>0</v>
      </c>
      <c r="F18" s="320"/>
      <c r="G18" s="320">
        <f t="shared" si="16"/>
        <v>0</v>
      </c>
      <c r="H18" s="320"/>
      <c r="I18" s="320">
        <f t="shared" si="7"/>
        <v>0</v>
      </c>
      <c r="J18" s="320"/>
      <c r="K18" s="320"/>
      <c r="L18" s="320"/>
      <c r="M18" s="320">
        <f t="shared" si="9"/>
        <v>0</v>
      </c>
    </row>
    <row r="19">
      <c r="A19" s="124" t="s">
        <v>96</v>
      </c>
      <c r="B19" s="383" t="s">
        <v>97</v>
      </c>
      <c r="C19" s="320">
        <f t="shared" si="1"/>
        <v>18550</v>
      </c>
      <c r="D19" s="320">
        <f>C19/L19</f>
        <v>742</v>
      </c>
      <c r="E19" s="320">
        <f t="shared" si="3"/>
        <v>39750</v>
      </c>
      <c r="F19" s="320">
        <f>E19/L19</f>
        <v>1590</v>
      </c>
      <c r="G19" s="320">
        <f t="shared" si="16"/>
        <v>66250</v>
      </c>
      <c r="H19" s="320">
        <f>G19/L19</f>
        <v>2650</v>
      </c>
      <c r="I19" s="320">
        <f t="shared" si="7"/>
        <v>79500</v>
      </c>
      <c r="J19" s="320">
        <f>I19/L19</f>
        <v>3180</v>
      </c>
      <c r="K19" s="320">
        <v>106.0</v>
      </c>
      <c r="L19" s="320">
        <v>25.0</v>
      </c>
      <c r="M19" s="320">
        <f t="shared" si="9"/>
        <v>2650</v>
      </c>
    </row>
    <row r="20">
      <c r="A20" s="124" t="s">
        <v>1582</v>
      </c>
      <c r="B20" s="383" t="s">
        <v>1583</v>
      </c>
      <c r="C20" s="320">
        <f t="shared" si="1"/>
        <v>0</v>
      </c>
      <c r="D20" s="320"/>
      <c r="E20" s="320">
        <f t="shared" si="3"/>
        <v>0</v>
      </c>
      <c r="F20" s="320"/>
      <c r="G20" s="320">
        <f t="shared" si="16"/>
        <v>0</v>
      </c>
      <c r="H20" s="320"/>
      <c r="I20" s="320">
        <f t="shared" si="7"/>
        <v>0</v>
      </c>
      <c r="J20" s="320"/>
      <c r="K20" s="320"/>
      <c r="L20" s="320"/>
      <c r="M20" s="320">
        <f t="shared" si="9"/>
        <v>0</v>
      </c>
    </row>
    <row r="21" ht="15.75" customHeight="1">
      <c r="A21" s="100" t="s">
        <v>47</v>
      </c>
      <c r="B21" s="384" t="s">
        <v>1584</v>
      </c>
      <c r="C21" s="320">
        <f t="shared" si="1"/>
        <v>7000</v>
      </c>
      <c r="D21" s="320">
        <f t="shared" ref="D21:D22" si="17">C21/L21</f>
        <v>280</v>
      </c>
      <c r="E21" s="320">
        <f t="shared" si="3"/>
        <v>15000</v>
      </c>
      <c r="F21" s="320">
        <f t="shared" ref="F21:F22" si="18">E21/L21</f>
        <v>600</v>
      </c>
      <c r="G21" s="381">
        <v>17500.0</v>
      </c>
      <c r="H21" s="320">
        <f t="shared" ref="H21:H22" si="19">G21/L21</f>
        <v>700</v>
      </c>
      <c r="I21" s="320">
        <f t="shared" si="7"/>
        <v>30000</v>
      </c>
      <c r="J21" s="320">
        <f t="shared" ref="J21:J22" si="20">I21/L21</f>
        <v>1200</v>
      </c>
      <c r="K21" s="320">
        <v>40.0</v>
      </c>
      <c r="L21" s="320">
        <v>25.0</v>
      </c>
      <c r="M21" s="320">
        <f t="shared" si="9"/>
        <v>1000</v>
      </c>
    </row>
    <row r="22" ht="15.0" customHeight="1">
      <c r="A22" s="106" t="s">
        <v>33</v>
      </c>
      <c r="B22" s="380" t="s">
        <v>34</v>
      </c>
      <c r="C22" s="320">
        <f t="shared" si="1"/>
        <v>4900</v>
      </c>
      <c r="D22" s="320">
        <f t="shared" si="17"/>
        <v>196</v>
      </c>
      <c r="E22" s="320">
        <f t="shared" si="3"/>
        <v>10500</v>
      </c>
      <c r="F22" s="320">
        <f t="shared" si="18"/>
        <v>420</v>
      </c>
      <c r="G22" s="381">
        <v>18000.0</v>
      </c>
      <c r="H22" s="320">
        <f t="shared" si="19"/>
        <v>720</v>
      </c>
      <c r="I22" s="320">
        <f t="shared" si="7"/>
        <v>21000</v>
      </c>
      <c r="J22" s="320">
        <f t="shared" si="20"/>
        <v>840</v>
      </c>
      <c r="K22" s="320">
        <v>28.0</v>
      </c>
      <c r="L22" s="320">
        <v>25.0</v>
      </c>
      <c r="M22" s="320">
        <f t="shared" si="9"/>
        <v>700</v>
      </c>
    </row>
    <row r="23" ht="15.0" customHeight="1">
      <c r="A23" s="106" t="s">
        <v>640</v>
      </c>
      <c r="B23" s="380" t="s">
        <v>641</v>
      </c>
      <c r="C23" s="320">
        <f t="shared" si="1"/>
        <v>0</v>
      </c>
      <c r="D23" s="320"/>
      <c r="E23" s="320">
        <f t="shared" si="3"/>
        <v>0</v>
      </c>
      <c r="F23" s="320"/>
      <c r="G23" s="320">
        <f t="shared" ref="G23:G94" si="21">M23*25</f>
        <v>0</v>
      </c>
      <c r="H23" s="320"/>
      <c r="I23" s="320">
        <f t="shared" si="7"/>
        <v>0</v>
      </c>
      <c r="J23" s="320"/>
      <c r="K23" s="320"/>
      <c r="L23" s="320"/>
      <c r="M23" s="320">
        <f t="shared" si="9"/>
        <v>0</v>
      </c>
    </row>
    <row r="24" ht="15.75" customHeight="1">
      <c r="A24" s="124" t="s">
        <v>201</v>
      </c>
      <c r="B24" s="383" t="s">
        <v>202</v>
      </c>
      <c r="C24" s="320">
        <f t="shared" si="1"/>
        <v>0</v>
      </c>
      <c r="D24" s="320"/>
      <c r="E24" s="320">
        <f t="shared" si="3"/>
        <v>0</v>
      </c>
      <c r="F24" s="320"/>
      <c r="G24" s="320">
        <f t="shared" si="21"/>
        <v>0</v>
      </c>
      <c r="H24" s="320"/>
      <c r="I24" s="320">
        <f t="shared" si="7"/>
        <v>0</v>
      </c>
      <c r="J24" s="320"/>
      <c r="K24" s="320"/>
      <c r="L24" s="320"/>
      <c r="M24" s="320">
        <f t="shared" si="9"/>
        <v>0</v>
      </c>
    </row>
    <row r="25" ht="15.75" customHeight="1">
      <c r="A25" s="124" t="s">
        <v>732</v>
      </c>
      <c r="B25" s="383" t="s">
        <v>733</v>
      </c>
      <c r="C25" s="320">
        <f t="shared" si="1"/>
        <v>0</v>
      </c>
      <c r="D25" s="320"/>
      <c r="E25" s="320">
        <f t="shared" si="3"/>
        <v>0</v>
      </c>
      <c r="F25" s="320"/>
      <c r="G25" s="320">
        <f t="shared" si="21"/>
        <v>0</v>
      </c>
      <c r="H25" s="320"/>
      <c r="I25" s="320">
        <f t="shared" si="7"/>
        <v>0</v>
      </c>
      <c r="J25" s="320"/>
      <c r="K25" s="320"/>
      <c r="L25" s="320"/>
      <c r="M25" s="320">
        <f t="shared" si="9"/>
        <v>0</v>
      </c>
    </row>
    <row r="26" ht="15.75" customHeight="1">
      <c r="A26" s="124" t="s">
        <v>209</v>
      </c>
      <c r="B26" s="383" t="s">
        <v>210</v>
      </c>
      <c r="C26" s="320">
        <f t="shared" si="1"/>
        <v>0</v>
      </c>
      <c r="D26" s="320"/>
      <c r="E26" s="320">
        <f t="shared" si="3"/>
        <v>0</v>
      </c>
      <c r="F26" s="320"/>
      <c r="G26" s="320">
        <f t="shared" si="21"/>
        <v>0</v>
      </c>
      <c r="H26" s="320"/>
      <c r="I26" s="320">
        <f t="shared" si="7"/>
        <v>0</v>
      </c>
      <c r="J26" s="320"/>
      <c r="K26" s="320"/>
      <c r="L26" s="320"/>
      <c r="M26" s="320">
        <f t="shared" si="9"/>
        <v>0</v>
      </c>
    </row>
    <row r="27" ht="15.75" customHeight="1">
      <c r="A27" s="124" t="s">
        <v>734</v>
      </c>
      <c r="B27" s="383" t="s">
        <v>735</v>
      </c>
      <c r="C27" s="320">
        <f t="shared" si="1"/>
        <v>0</v>
      </c>
      <c r="D27" s="320"/>
      <c r="E27" s="320">
        <f t="shared" si="3"/>
        <v>0</v>
      </c>
      <c r="F27" s="320"/>
      <c r="G27" s="320">
        <f t="shared" si="21"/>
        <v>0</v>
      </c>
      <c r="H27" s="320"/>
      <c r="I27" s="320">
        <f t="shared" si="7"/>
        <v>0</v>
      </c>
      <c r="J27" s="320"/>
      <c r="K27" s="320"/>
      <c r="L27" s="320"/>
      <c r="M27" s="320">
        <f t="shared" si="9"/>
        <v>0</v>
      </c>
    </row>
    <row r="28" ht="15.75" customHeight="1">
      <c r="A28" s="124" t="s">
        <v>207</v>
      </c>
      <c r="B28" s="383" t="s">
        <v>208</v>
      </c>
      <c r="C28" s="320">
        <f t="shared" si="1"/>
        <v>0</v>
      </c>
      <c r="D28" s="320"/>
      <c r="E28" s="320">
        <f t="shared" si="3"/>
        <v>0</v>
      </c>
      <c r="F28" s="320"/>
      <c r="G28" s="320">
        <f t="shared" si="21"/>
        <v>0</v>
      </c>
      <c r="H28" s="320"/>
      <c r="I28" s="320">
        <f t="shared" si="7"/>
        <v>0</v>
      </c>
      <c r="J28" s="320"/>
      <c r="K28" s="320"/>
      <c r="L28" s="320"/>
      <c r="M28" s="320">
        <f t="shared" si="9"/>
        <v>0</v>
      </c>
    </row>
    <row r="29" ht="15.75" customHeight="1">
      <c r="A29" s="124" t="s">
        <v>203</v>
      </c>
      <c r="B29" s="383" t="s">
        <v>204</v>
      </c>
      <c r="C29" s="320">
        <f t="shared" si="1"/>
        <v>0</v>
      </c>
      <c r="D29" s="320"/>
      <c r="E29" s="320">
        <f t="shared" si="3"/>
        <v>0</v>
      </c>
      <c r="F29" s="320"/>
      <c r="G29" s="320">
        <f t="shared" si="21"/>
        <v>0</v>
      </c>
      <c r="H29" s="320"/>
      <c r="I29" s="320">
        <f t="shared" si="7"/>
        <v>0</v>
      </c>
      <c r="J29" s="320"/>
      <c r="K29" s="320"/>
      <c r="L29" s="320"/>
      <c r="M29" s="320">
        <f t="shared" si="9"/>
        <v>0</v>
      </c>
    </row>
    <row r="30" ht="15.75" customHeight="1">
      <c r="A30" s="124" t="s">
        <v>205</v>
      </c>
      <c r="B30" s="383" t="s">
        <v>206</v>
      </c>
      <c r="C30" s="320">
        <f t="shared" si="1"/>
        <v>0</v>
      </c>
      <c r="D30" s="320"/>
      <c r="E30" s="320">
        <f t="shared" si="3"/>
        <v>0</v>
      </c>
      <c r="F30" s="320"/>
      <c r="G30" s="320">
        <f t="shared" si="21"/>
        <v>0</v>
      </c>
      <c r="H30" s="320"/>
      <c r="I30" s="320">
        <f t="shared" si="7"/>
        <v>0</v>
      </c>
      <c r="J30" s="320"/>
      <c r="K30" s="320"/>
      <c r="L30" s="320"/>
      <c r="M30" s="320">
        <f t="shared" si="9"/>
        <v>0</v>
      </c>
    </row>
    <row r="31" ht="15.75" customHeight="1">
      <c r="A31" s="124" t="s">
        <v>211</v>
      </c>
      <c r="B31" s="383" t="s">
        <v>212</v>
      </c>
      <c r="C31" s="320">
        <f t="shared" si="1"/>
        <v>0</v>
      </c>
      <c r="D31" s="320"/>
      <c r="E31" s="320">
        <f t="shared" si="3"/>
        <v>0</v>
      </c>
      <c r="F31" s="320"/>
      <c r="G31" s="320">
        <f t="shared" si="21"/>
        <v>0</v>
      </c>
      <c r="H31" s="320"/>
      <c r="I31" s="320">
        <f t="shared" si="7"/>
        <v>0</v>
      </c>
      <c r="J31" s="320"/>
      <c r="K31" s="320"/>
      <c r="L31" s="320"/>
      <c r="M31" s="320">
        <f t="shared" si="9"/>
        <v>0</v>
      </c>
    </row>
    <row r="32" ht="15.75" customHeight="1">
      <c r="A32" s="124" t="s">
        <v>144</v>
      </c>
      <c r="B32" s="383" t="s">
        <v>145</v>
      </c>
      <c r="C32" s="320">
        <f t="shared" si="1"/>
        <v>2800</v>
      </c>
      <c r="D32" s="320">
        <f t="shared" ref="D32:D42" si="22">C32/L32</f>
        <v>112</v>
      </c>
      <c r="E32" s="320">
        <f t="shared" si="3"/>
        <v>6000</v>
      </c>
      <c r="F32" s="320">
        <f t="shared" ref="F32:F42" si="23">E32/L32</f>
        <v>240</v>
      </c>
      <c r="G32" s="320">
        <f t="shared" si="21"/>
        <v>10000</v>
      </c>
      <c r="H32" s="320">
        <f t="shared" ref="H32:H42" si="24">G32/L32</f>
        <v>400</v>
      </c>
      <c r="I32" s="320">
        <f t="shared" si="7"/>
        <v>12000</v>
      </c>
      <c r="J32" s="320">
        <f t="shared" ref="J32:J42" si="25">I32/L32</f>
        <v>480</v>
      </c>
      <c r="K32" s="320">
        <v>16.0</v>
      </c>
      <c r="L32" s="320">
        <v>25.0</v>
      </c>
      <c r="M32" s="320">
        <f t="shared" si="9"/>
        <v>400</v>
      </c>
    </row>
    <row r="33" ht="15.75" customHeight="1">
      <c r="A33" s="124" t="s">
        <v>736</v>
      </c>
      <c r="B33" s="380" t="s">
        <v>737</v>
      </c>
      <c r="C33" s="320">
        <f t="shared" si="1"/>
        <v>1750</v>
      </c>
      <c r="D33" s="320">
        <f t="shared" si="22"/>
        <v>70</v>
      </c>
      <c r="E33" s="320">
        <f t="shared" si="3"/>
        <v>3750</v>
      </c>
      <c r="F33" s="320">
        <f t="shared" si="23"/>
        <v>150</v>
      </c>
      <c r="G33" s="320">
        <f t="shared" si="21"/>
        <v>6250</v>
      </c>
      <c r="H33" s="320">
        <f t="shared" si="24"/>
        <v>250</v>
      </c>
      <c r="I33" s="320">
        <f t="shared" si="7"/>
        <v>7500</v>
      </c>
      <c r="J33" s="320">
        <f t="shared" si="25"/>
        <v>300</v>
      </c>
      <c r="K33" s="320">
        <v>10.0</v>
      </c>
      <c r="L33" s="320">
        <v>25.0</v>
      </c>
      <c r="M33" s="320">
        <f t="shared" si="9"/>
        <v>250</v>
      </c>
    </row>
    <row r="34" ht="15.75" customHeight="1">
      <c r="A34" s="124" t="s">
        <v>738</v>
      </c>
      <c r="B34" s="380" t="s">
        <v>739</v>
      </c>
      <c r="C34" s="320">
        <f t="shared" si="1"/>
        <v>7700</v>
      </c>
      <c r="D34" s="320">
        <f t="shared" si="22"/>
        <v>7</v>
      </c>
      <c r="E34" s="320">
        <f t="shared" si="3"/>
        <v>16500</v>
      </c>
      <c r="F34" s="320">
        <f t="shared" si="23"/>
        <v>15</v>
      </c>
      <c r="G34" s="320">
        <f t="shared" si="21"/>
        <v>27500</v>
      </c>
      <c r="H34" s="320">
        <f t="shared" si="24"/>
        <v>25</v>
      </c>
      <c r="I34" s="320">
        <f t="shared" si="7"/>
        <v>33000</v>
      </c>
      <c r="J34" s="320">
        <f t="shared" si="25"/>
        <v>30</v>
      </c>
      <c r="K34" s="320">
        <v>1.0</v>
      </c>
      <c r="L34" s="320">
        <v>1100.0</v>
      </c>
      <c r="M34" s="320">
        <f t="shared" si="9"/>
        <v>1100</v>
      </c>
    </row>
    <row r="35" ht="15.75" customHeight="1">
      <c r="A35" s="124" t="s">
        <v>183</v>
      </c>
      <c r="B35" s="382" t="s">
        <v>184</v>
      </c>
      <c r="C35" s="320">
        <f t="shared" si="1"/>
        <v>3500</v>
      </c>
      <c r="D35" s="320">
        <f t="shared" si="22"/>
        <v>140</v>
      </c>
      <c r="E35" s="320">
        <f t="shared" si="3"/>
        <v>7500</v>
      </c>
      <c r="F35" s="320">
        <f t="shared" si="23"/>
        <v>300</v>
      </c>
      <c r="G35" s="320">
        <f t="shared" si="21"/>
        <v>12500</v>
      </c>
      <c r="H35" s="320">
        <f t="shared" si="24"/>
        <v>500</v>
      </c>
      <c r="I35" s="320">
        <f t="shared" si="7"/>
        <v>15000</v>
      </c>
      <c r="J35" s="320">
        <f t="shared" si="25"/>
        <v>600</v>
      </c>
      <c r="K35" s="320">
        <v>20.0</v>
      </c>
      <c r="L35" s="320">
        <v>25.0</v>
      </c>
      <c r="M35" s="320">
        <f t="shared" si="9"/>
        <v>500</v>
      </c>
    </row>
    <row r="36" ht="15.75" customHeight="1">
      <c r="A36" s="124" t="s">
        <v>740</v>
      </c>
      <c r="B36" s="383" t="s">
        <v>741</v>
      </c>
      <c r="C36" s="320">
        <f t="shared" si="1"/>
        <v>350</v>
      </c>
      <c r="D36" s="320">
        <f t="shared" si="22"/>
        <v>14</v>
      </c>
      <c r="E36" s="320">
        <f t="shared" si="3"/>
        <v>750</v>
      </c>
      <c r="F36" s="320">
        <f t="shared" si="23"/>
        <v>30</v>
      </c>
      <c r="G36" s="320">
        <f t="shared" si="21"/>
        <v>1250</v>
      </c>
      <c r="H36" s="320">
        <f t="shared" si="24"/>
        <v>50</v>
      </c>
      <c r="I36" s="320">
        <f t="shared" si="7"/>
        <v>1500</v>
      </c>
      <c r="J36" s="320">
        <f t="shared" si="25"/>
        <v>60</v>
      </c>
      <c r="K36" s="320">
        <v>2.0</v>
      </c>
      <c r="L36" s="320">
        <v>25.0</v>
      </c>
      <c r="M36" s="320">
        <f t="shared" si="9"/>
        <v>50</v>
      </c>
    </row>
    <row r="37" ht="15.75" customHeight="1">
      <c r="A37" s="124" t="s">
        <v>157</v>
      </c>
      <c r="B37" s="380" t="s">
        <v>158</v>
      </c>
      <c r="C37" s="320">
        <f t="shared" si="1"/>
        <v>350</v>
      </c>
      <c r="D37" s="320">
        <f t="shared" si="22"/>
        <v>14</v>
      </c>
      <c r="E37" s="320">
        <f t="shared" si="3"/>
        <v>750</v>
      </c>
      <c r="F37" s="320">
        <f t="shared" si="23"/>
        <v>30</v>
      </c>
      <c r="G37" s="320">
        <f t="shared" si="21"/>
        <v>1250</v>
      </c>
      <c r="H37" s="320">
        <f t="shared" si="24"/>
        <v>50</v>
      </c>
      <c r="I37" s="320">
        <f t="shared" si="7"/>
        <v>1500</v>
      </c>
      <c r="J37" s="320">
        <f t="shared" si="25"/>
        <v>60</v>
      </c>
      <c r="K37" s="320">
        <v>2.0</v>
      </c>
      <c r="L37" s="320">
        <v>25.0</v>
      </c>
      <c r="M37" s="320">
        <f t="shared" si="9"/>
        <v>50</v>
      </c>
    </row>
    <row r="38" ht="15.75" customHeight="1">
      <c r="A38" s="124" t="s">
        <v>160</v>
      </c>
      <c r="B38" s="380" t="s">
        <v>161</v>
      </c>
      <c r="C38" s="320">
        <f t="shared" si="1"/>
        <v>175</v>
      </c>
      <c r="D38" s="320">
        <f t="shared" si="22"/>
        <v>7</v>
      </c>
      <c r="E38" s="320">
        <f t="shared" si="3"/>
        <v>375</v>
      </c>
      <c r="F38" s="320">
        <f t="shared" si="23"/>
        <v>15</v>
      </c>
      <c r="G38" s="320">
        <f t="shared" si="21"/>
        <v>625</v>
      </c>
      <c r="H38" s="320">
        <f t="shared" si="24"/>
        <v>25</v>
      </c>
      <c r="I38" s="320">
        <f t="shared" si="7"/>
        <v>750</v>
      </c>
      <c r="J38" s="320">
        <f t="shared" si="25"/>
        <v>30</v>
      </c>
      <c r="K38" s="320">
        <v>1.0</v>
      </c>
      <c r="L38" s="320">
        <v>25.0</v>
      </c>
      <c r="M38" s="320">
        <f t="shared" si="9"/>
        <v>25</v>
      </c>
    </row>
    <row r="39" ht="15.75" customHeight="1">
      <c r="A39" s="124" t="s">
        <v>162</v>
      </c>
      <c r="B39" s="380" t="s">
        <v>163</v>
      </c>
      <c r="C39" s="320">
        <f t="shared" si="1"/>
        <v>175</v>
      </c>
      <c r="D39" s="320">
        <f t="shared" si="22"/>
        <v>7</v>
      </c>
      <c r="E39" s="320">
        <f t="shared" si="3"/>
        <v>375</v>
      </c>
      <c r="F39" s="320">
        <f t="shared" si="23"/>
        <v>15</v>
      </c>
      <c r="G39" s="320">
        <f t="shared" si="21"/>
        <v>625</v>
      </c>
      <c r="H39" s="320">
        <f t="shared" si="24"/>
        <v>25</v>
      </c>
      <c r="I39" s="320">
        <f t="shared" si="7"/>
        <v>750</v>
      </c>
      <c r="J39" s="320">
        <f t="shared" si="25"/>
        <v>30</v>
      </c>
      <c r="K39" s="320">
        <v>1.0</v>
      </c>
      <c r="L39" s="320">
        <v>25.0</v>
      </c>
      <c r="M39" s="320">
        <f t="shared" si="9"/>
        <v>25</v>
      </c>
    </row>
    <row r="40" ht="15.75" customHeight="1">
      <c r="A40" s="124" t="s">
        <v>165</v>
      </c>
      <c r="B40" s="380" t="s">
        <v>166</v>
      </c>
      <c r="C40" s="320">
        <f t="shared" si="1"/>
        <v>350</v>
      </c>
      <c r="D40" s="320">
        <f t="shared" si="22"/>
        <v>14</v>
      </c>
      <c r="E40" s="320">
        <f t="shared" si="3"/>
        <v>750</v>
      </c>
      <c r="F40" s="320">
        <f t="shared" si="23"/>
        <v>30</v>
      </c>
      <c r="G40" s="320">
        <f t="shared" si="21"/>
        <v>1250</v>
      </c>
      <c r="H40" s="320">
        <f t="shared" si="24"/>
        <v>50</v>
      </c>
      <c r="I40" s="320">
        <f t="shared" si="7"/>
        <v>1500</v>
      </c>
      <c r="J40" s="320">
        <f t="shared" si="25"/>
        <v>60</v>
      </c>
      <c r="K40" s="320">
        <v>2.0</v>
      </c>
      <c r="L40" s="320">
        <v>25.0</v>
      </c>
      <c r="M40" s="320">
        <f t="shared" si="9"/>
        <v>50</v>
      </c>
    </row>
    <row r="41" ht="15.75" customHeight="1">
      <c r="A41" s="124" t="s">
        <v>84</v>
      </c>
      <c r="B41" s="380" t="s">
        <v>85</v>
      </c>
      <c r="C41" s="320">
        <f t="shared" si="1"/>
        <v>175</v>
      </c>
      <c r="D41" s="320">
        <f t="shared" si="22"/>
        <v>7</v>
      </c>
      <c r="E41" s="320">
        <f t="shared" si="3"/>
        <v>375</v>
      </c>
      <c r="F41" s="320">
        <f t="shared" si="23"/>
        <v>15</v>
      </c>
      <c r="G41" s="320">
        <f t="shared" si="21"/>
        <v>625</v>
      </c>
      <c r="H41" s="320">
        <f t="shared" si="24"/>
        <v>25</v>
      </c>
      <c r="I41" s="320">
        <f t="shared" si="7"/>
        <v>750</v>
      </c>
      <c r="J41" s="320">
        <f t="shared" si="25"/>
        <v>30</v>
      </c>
      <c r="K41" s="320">
        <v>1.0</v>
      </c>
      <c r="L41" s="320">
        <v>25.0</v>
      </c>
      <c r="M41" s="320">
        <f t="shared" si="9"/>
        <v>25</v>
      </c>
    </row>
    <row r="42" ht="15.75" customHeight="1">
      <c r="A42" s="124" t="s">
        <v>167</v>
      </c>
      <c r="B42" s="380" t="s">
        <v>168</v>
      </c>
      <c r="C42" s="320">
        <f t="shared" si="1"/>
        <v>175</v>
      </c>
      <c r="D42" s="320">
        <f t="shared" si="22"/>
        <v>7</v>
      </c>
      <c r="E42" s="320">
        <f t="shared" si="3"/>
        <v>375</v>
      </c>
      <c r="F42" s="320">
        <f t="shared" si="23"/>
        <v>15</v>
      </c>
      <c r="G42" s="320">
        <f t="shared" si="21"/>
        <v>625</v>
      </c>
      <c r="H42" s="320">
        <f t="shared" si="24"/>
        <v>25</v>
      </c>
      <c r="I42" s="320">
        <f t="shared" si="7"/>
        <v>750</v>
      </c>
      <c r="J42" s="320">
        <f t="shared" si="25"/>
        <v>30</v>
      </c>
      <c r="K42" s="320">
        <v>1.0</v>
      </c>
      <c r="L42" s="320">
        <v>25.0</v>
      </c>
      <c r="M42" s="320">
        <f t="shared" si="9"/>
        <v>25</v>
      </c>
    </row>
    <row r="43" ht="15.75" customHeight="1">
      <c r="A43" s="124" t="s">
        <v>88</v>
      </c>
      <c r="B43" s="380" t="s">
        <v>89</v>
      </c>
      <c r="C43" s="320">
        <f t="shared" si="1"/>
        <v>0</v>
      </c>
      <c r="D43" s="320"/>
      <c r="E43" s="320">
        <f t="shared" si="3"/>
        <v>0</v>
      </c>
      <c r="F43" s="320"/>
      <c r="G43" s="320">
        <f t="shared" si="21"/>
        <v>0</v>
      </c>
      <c r="H43" s="320"/>
      <c r="I43" s="320">
        <f t="shared" si="7"/>
        <v>0</v>
      </c>
      <c r="J43" s="320"/>
      <c r="K43" s="320"/>
      <c r="L43" s="320"/>
      <c r="M43" s="320">
        <f t="shared" si="9"/>
        <v>0</v>
      </c>
    </row>
    <row r="44" ht="15.75" customHeight="1">
      <c r="A44" s="124" t="s">
        <v>647</v>
      </c>
      <c r="B44" s="380" t="s">
        <v>648</v>
      </c>
      <c r="C44" s="320">
        <f t="shared" si="1"/>
        <v>0</v>
      </c>
      <c r="D44" s="320"/>
      <c r="E44" s="320">
        <f t="shared" si="3"/>
        <v>0</v>
      </c>
      <c r="F44" s="320"/>
      <c r="G44" s="320">
        <f t="shared" si="21"/>
        <v>0</v>
      </c>
      <c r="H44" s="320"/>
      <c r="I44" s="320">
        <f t="shared" si="7"/>
        <v>0</v>
      </c>
      <c r="J44" s="320"/>
      <c r="K44" s="320"/>
      <c r="L44" s="320"/>
      <c r="M44" s="320">
        <f t="shared" si="9"/>
        <v>0</v>
      </c>
    </row>
    <row r="45" ht="15.75" customHeight="1">
      <c r="A45" s="124" t="s">
        <v>649</v>
      </c>
      <c r="B45" s="380" t="s">
        <v>650</v>
      </c>
      <c r="C45" s="320">
        <f t="shared" si="1"/>
        <v>0</v>
      </c>
      <c r="D45" s="320"/>
      <c r="E45" s="320">
        <f t="shared" si="3"/>
        <v>0</v>
      </c>
      <c r="F45" s="320"/>
      <c r="G45" s="320">
        <f t="shared" si="21"/>
        <v>0</v>
      </c>
      <c r="H45" s="320"/>
      <c r="I45" s="320">
        <f t="shared" si="7"/>
        <v>0</v>
      </c>
      <c r="J45" s="320"/>
      <c r="K45" s="320"/>
      <c r="L45" s="320"/>
      <c r="M45" s="320">
        <f t="shared" si="9"/>
        <v>0</v>
      </c>
    </row>
    <row r="46" ht="15.75" customHeight="1">
      <c r="A46" s="124" t="s">
        <v>1585</v>
      </c>
      <c r="B46" s="380" t="s">
        <v>1586</v>
      </c>
      <c r="C46" s="320">
        <f t="shared" si="1"/>
        <v>0</v>
      </c>
      <c r="D46" s="320"/>
      <c r="E46" s="320">
        <f t="shared" si="3"/>
        <v>0</v>
      </c>
      <c r="F46" s="320"/>
      <c r="G46" s="320">
        <f t="shared" si="21"/>
        <v>0</v>
      </c>
      <c r="H46" s="320"/>
      <c r="I46" s="320">
        <f t="shared" si="7"/>
        <v>0</v>
      </c>
      <c r="J46" s="320"/>
      <c r="K46" s="320"/>
      <c r="L46" s="320"/>
      <c r="M46" s="320">
        <f t="shared" si="9"/>
        <v>0</v>
      </c>
    </row>
    <row r="47" ht="15.75" customHeight="1">
      <c r="A47" s="124" t="s">
        <v>1587</v>
      </c>
      <c r="B47" s="380" t="s">
        <v>1588</v>
      </c>
      <c r="C47" s="320">
        <f t="shared" si="1"/>
        <v>0</v>
      </c>
      <c r="D47" s="320"/>
      <c r="E47" s="320">
        <f t="shared" si="3"/>
        <v>0</v>
      </c>
      <c r="F47" s="320"/>
      <c r="G47" s="320">
        <f t="shared" si="21"/>
        <v>0</v>
      </c>
      <c r="H47" s="320"/>
      <c r="I47" s="320">
        <f t="shared" si="7"/>
        <v>0</v>
      </c>
      <c r="J47" s="320"/>
      <c r="K47" s="320"/>
      <c r="L47" s="320"/>
      <c r="M47" s="320">
        <f t="shared" si="9"/>
        <v>0</v>
      </c>
    </row>
    <row r="48" ht="15.75" customHeight="1">
      <c r="A48" s="124" t="s">
        <v>742</v>
      </c>
      <c r="B48" s="380" t="s">
        <v>743</v>
      </c>
      <c r="C48" s="320">
        <f t="shared" si="1"/>
        <v>0</v>
      </c>
      <c r="D48" s="320"/>
      <c r="E48" s="320">
        <f t="shared" si="3"/>
        <v>0</v>
      </c>
      <c r="F48" s="320"/>
      <c r="G48" s="320">
        <f t="shared" si="21"/>
        <v>0</v>
      </c>
      <c r="H48" s="320"/>
      <c r="I48" s="320">
        <f t="shared" si="7"/>
        <v>0</v>
      </c>
      <c r="J48" s="320"/>
      <c r="K48" s="320"/>
      <c r="L48" s="320"/>
      <c r="M48" s="320">
        <f t="shared" si="9"/>
        <v>0</v>
      </c>
    </row>
    <row r="49" ht="15.75" customHeight="1">
      <c r="A49" s="124" t="s">
        <v>1589</v>
      </c>
      <c r="B49" s="380" t="s">
        <v>1590</v>
      </c>
      <c r="C49" s="320">
        <f t="shared" si="1"/>
        <v>0</v>
      </c>
      <c r="D49" s="320"/>
      <c r="E49" s="320">
        <f t="shared" si="3"/>
        <v>0</v>
      </c>
      <c r="F49" s="320"/>
      <c r="G49" s="320">
        <f t="shared" si="21"/>
        <v>0</v>
      </c>
      <c r="H49" s="320"/>
      <c r="I49" s="320">
        <f t="shared" si="7"/>
        <v>0</v>
      </c>
      <c r="J49" s="320"/>
      <c r="K49" s="320"/>
      <c r="L49" s="320"/>
      <c r="M49" s="320">
        <f t="shared" si="9"/>
        <v>0</v>
      </c>
    </row>
    <row r="50" ht="15.75" customHeight="1">
      <c r="A50" s="124" t="s">
        <v>1591</v>
      </c>
      <c r="B50" s="380" t="s">
        <v>1592</v>
      </c>
      <c r="C50" s="320">
        <f t="shared" si="1"/>
        <v>0</v>
      </c>
      <c r="D50" s="320"/>
      <c r="E50" s="320">
        <f t="shared" si="3"/>
        <v>0</v>
      </c>
      <c r="F50" s="320"/>
      <c r="G50" s="320">
        <f t="shared" si="21"/>
        <v>0</v>
      </c>
      <c r="H50" s="320"/>
      <c r="I50" s="320">
        <f t="shared" si="7"/>
        <v>0</v>
      </c>
      <c r="J50" s="320"/>
      <c r="K50" s="320"/>
      <c r="L50" s="320"/>
      <c r="M50" s="320">
        <f t="shared" si="9"/>
        <v>0</v>
      </c>
    </row>
    <row r="51" ht="15.75" customHeight="1">
      <c r="A51" s="124" t="s">
        <v>109</v>
      </c>
      <c r="B51" s="380" t="s">
        <v>1593</v>
      </c>
      <c r="C51" s="320">
        <f t="shared" si="1"/>
        <v>280000</v>
      </c>
      <c r="D51" s="320">
        <f>C51/L51</f>
        <v>280</v>
      </c>
      <c r="E51" s="320">
        <f t="shared" si="3"/>
        <v>600000</v>
      </c>
      <c r="F51" s="320">
        <f>E51/L51</f>
        <v>600</v>
      </c>
      <c r="G51" s="320">
        <f t="shared" si="21"/>
        <v>1000000</v>
      </c>
      <c r="H51" s="320">
        <f>G51/L51</f>
        <v>1000</v>
      </c>
      <c r="I51" s="320">
        <f t="shared" si="7"/>
        <v>1200000</v>
      </c>
      <c r="J51" s="320">
        <f>I51/L51</f>
        <v>1200</v>
      </c>
      <c r="K51" s="320">
        <v>40.0</v>
      </c>
      <c r="L51" s="320">
        <v>1000.0</v>
      </c>
      <c r="M51" s="320">
        <f t="shared" si="9"/>
        <v>40000</v>
      </c>
    </row>
    <row r="52" ht="15.75" customHeight="1">
      <c r="A52" s="124" t="s">
        <v>745</v>
      </c>
      <c r="B52" s="380" t="s">
        <v>1594</v>
      </c>
      <c r="C52" s="320">
        <f t="shared" si="1"/>
        <v>0</v>
      </c>
      <c r="D52" s="320"/>
      <c r="E52" s="320">
        <f t="shared" si="3"/>
        <v>0</v>
      </c>
      <c r="F52" s="320"/>
      <c r="G52" s="320">
        <f t="shared" si="21"/>
        <v>0</v>
      </c>
      <c r="H52" s="320"/>
      <c r="I52" s="320">
        <f t="shared" si="7"/>
        <v>0</v>
      </c>
      <c r="J52" s="320"/>
      <c r="K52" s="320"/>
      <c r="L52" s="320"/>
      <c r="M52" s="320">
        <f t="shared" si="9"/>
        <v>0</v>
      </c>
    </row>
    <row r="53" ht="15.75" customHeight="1">
      <c r="A53" s="124" t="s">
        <v>638</v>
      </c>
      <c r="B53" s="380" t="s">
        <v>639</v>
      </c>
      <c r="C53" s="320">
        <f t="shared" si="1"/>
        <v>84000</v>
      </c>
      <c r="D53" s="320">
        <f>C53/L53</f>
        <v>140</v>
      </c>
      <c r="E53" s="320">
        <f t="shared" si="3"/>
        <v>180000</v>
      </c>
      <c r="F53" s="320">
        <f>E53/L53</f>
        <v>300</v>
      </c>
      <c r="G53" s="320">
        <f t="shared" si="21"/>
        <v>300000</v>
      </c>
      <c r="H53" s="320">
        <f>G53/L53</f>
        <v>500</v>
      </c>
      <c r="I53" s="320">
        <f t="shared" si="7"/>
        <v>360000</v>
      </c>
      <c r="J53" s="320">
        <f>I53/L53</f>
        <v>600</v>
      </c>
      <c r="K53" s="320">
        <v>20.0</v>
      </c>
      <c r="L53" s="320">
        <v>600.0</v>
      </c>
      <c r="M53" s="320">
        <f t="shared" si="9"/>
        <v>12000</v>
      </c>
    </row>
    <row r="54" ht="15.75" customHeight="1">
      <c r="A54" s="124" t="s">
        <v>749</v>
      </c>
      <c r="B54" s="380" t="s">
        <v>750</v>
      </c>
      <c r="C54" s="320">
        <f t="shared" si="1"/>
        <v>50400</v>
      </c>
      <c r="D54" s="320"/>
      <c r="E54" s="320">
        <f t="shared" si="3"/>
        <v>108000</v>
      </c>
      <c r="F54" s="320"/>
      <c r="G54" s="320">
        <f t="shared" si="21"/>
        <v>180000</v>
      </c>
      <c r="H54" s="320"/>
      <c r="I54" s="320">
        <f t="shared" si="7"/>
        <v>216000</v>
      </c>
      <c r="J54" s="320"/>
      <c r="K54" s="320">
        <v>12.0</v>
      </c>
      <c r="L54" s="320">
        <v>600.0</v>
      </c>
      <c r="M54" s="320">
        <f t="shared" si="9"/>
        <v>7200</v>
      </c>
    </row>
    <row r="55" ht="15.75" customHeight="1">
      <c r="A55" s="124" t="s">
        <v>1595</v>
      </c>
      <c r="B55" s="380" t="s">
        <v>1596</v>
      </c>
      <c r="C55" s="320">
        <f t="shared" si="1"/>
        <v>30800</v>
      </c>
      <c r="D55" s="320">
        <f>C55/L55</f>
        <v>7</v>
      </c>
      <c r="E55" s="320">
        <f t="shared" si="3"/>
        <v>66000</v>
      </c>
      <c r="F55" s="320">
        <f>E55/L55</f>
        <v>15</v>
      </c>
      <c r="G55" s="320">
        <f t="shared" si="21"/>
        <v>110000</v>
      </c>
      <c r="H55" s="320">
        <f>G55/L55</f>
        <v>25</v>
      </c>
      <c r="I55" s="320">
        <f t="shared" si="7"/>
        <v>132000</v>
      </c>
      <c r="J55" s="320">
        <f>I55/L55</f>
        <v>30</v>
      </c>
      <c r="K55" s="320">
        <v>1.0</v>
      </c>
      <c r="L55" s="320">
        <v>4400.0</v>
      </c>
      <c r="M55" s="320">
        <f t="shared" si="9"/>
        <v>4400</v>
      </c>
    </row>
    <row r="56" ht="15.75" customHeight="1">
      <c r="A56" s="124" t="s">
        <v>214</v>
      </c>
      <c r="B56" s="380" t="s">
        <v>1597</v>
      </c>
      <c r="C56" s="320">
        <f t="shared" si="1"/>
        <v>0</v>
      </c>
      <c r="D56" s="320"/>
      <c r="E56" s="320">
        <f t="shared" si="3"/>
        <v>0</v>
      </c>
      <c r="F56" s="320"/>
      <c r="G56" s="320">
        <f t="shared" si="21"/>
        <v>0</v>
      </c>
      <c r="H56" s="320"/>
      <c r="I56" s="320">
        <f t="shared" si="7"/>
        <v>0</v>
      </c>
      <c r="J56" s="320"/>
      <c r="K56" s="320"/>
      <c r="L56" s="320"/>
      <c r="M56" s="320">
        <f t="shared" si="9"/>
        <v>0</v>
      </c>
    </row>
    <row r="57" ht="15.75" customHeight="1">
      <c r="A57" s="124" t="s">
        <v>113</v>
      </c>
      <c r="B57" s="380" t="s">
        <v>114</v>
      </c>
      <c r="C57" s="320">
        <f t="shared" si="1"/>
        <v>15400</v>
      </c>
      <c r="D57" s="320">
        <f t="shared" ref="D57:D59" si="26">C57/L57</f>
        <v>7</v>
      </c>
      <c r="E57" s="320">
        <f t="shared" si="3"/>
        <v>33000</v>
      </c>
      <c r="F57" s="320">
        <f t="shared" ref="F57:F59" si="27">E57/L57</f>
        <v>15</v>
      </c>
      <c r="G57" s="320">
        <f t="shared" si="21"/>
        <v>55000</v>
      </c>
      <c r="H57" s="320">
        <f t="shared" ref="H57:H59" si="28">G57/L57</f>
        <v>25</v>
      </c>
      <c r="I57" s="320">
        <f t="shared" si="7"/>
        <v>66000</v>
      </c>
      <c r="J57" s="320">
        <f t="shared" ref="J57:J59" si="29">I57/L57</f>
        <v>30</v>
      </c>
      <c r="K57" s="320">
        <v>1.0</v>
      </c>
      <c r="L57" s="320">
        <v>2200.0</v>
      </c>
      <c r="M57" s="320">
        <f t="shared" si="9"/>
        <v>2200</v>
      </c>
    </row>
    <row r="58" ht="15.75" customHeight="1">
      <c r="A58" s="124" t="s">
        <v>91</v>
      </c>
      <c r="B58" s="380" t="s">
        <v>92</v>
      </c>
      <c r="C58" s="320">
        <f t="shared" si="1"/>
        <v>8400</v>
      </c>
      <c r="D58" s="320">
        <f t="shared" si="26"/>
        <v>7</v>
      </c>
      <c r="E58" s="320">
        <f t="shared" si="3"/>
        <v>18000</v>
      </c>
      <c r="F58" s="320">
        <f t="shared" si="27"/>
        <v>15</v>
      </c>
      <c r="G58" s="320">
        <f t="shared" si="21"/>
        <v>30000</v>
      </c>
      <c r="H58" s="320">
        <f t="shared" si="28"/>
        <v>25</v>
      </c>
      <c r="I58" s="320">
        <f t="shared" si="7"/>
        <v>36000</v>
      </c>
      <c r="J58" s="320">
        <f t="shared" si="29"/>
        <v>30</v>
      </c>
      <c r="K58" s="320">
        <v>1.0</v>
      </c>
      <c r="L58" s="320">
        <v>1200.0</v>
      </c>
      <c r="M58" s="320">
        <f t="shared" si="9"/>
        <v>1200</v>
      </c>
    </row>
    <row r="59" ht="15.75" customHeight="1">
      <c r="A59" s="124" t="s">
        <v>622</v>
      </c>
      <c r="B59" s="380" t="s">
        <v>623</v>
      </c>
      <c r="C59" s="320">
        <f t="shared" si="1"/>
        <v>8400</v>
      </c>
      <c r="D59" s="320">
        <f t="shared" si="26"/>
        <v>7</v>
      </c>
      <c r="E59" s="320">
        <f t="shared" si="3"/>
        <v>18000</v>
      </c>
      <c r="F59" s="320">
        <f t="shared" si="27"/>
        <v>15</v>
      </c>
      <c r="G59" s="320">
        <f t="shared" si="21"/>
        <v>30000</v>
      </c>
      <c r="H59" s="320">
        <f t="shared" si="28"/>
        <v>25</v>
      </c>
      <c r="I59" s="320">
        <f t="shared" si="7"/>
        <v>36000</v>
      </c>
      <c r="J59" s="320">
        <f t="shared" si="29"/>
        <v>30</v>
      </c>
      <c r="K59" s="320">
        <v>1.0</v>
      </c>
      <c r="L59" s="320">
        <v>1200.0</v>
      </c>
      <c r="M59" s="320">
        <f t="shared" si="9"/>
        <v>1200</v>
      </c>
    </row>
    <row r="60" ht="15.75" customHeight="1">
      <c r="A60" s="124" t="s">
        <v>620</v>
      </c>
      <c r="B60" s="380" t="s">
        <v>1598</v>
      </c>
      <c r="C60" s="320">
        <f t="shared" si="1"/>
        <v>0</v>
      </c>
      <c r="D60" s="320"/>
      <c r="E60" s="320">
        <f t="shared" si="3"/>
        <v>0</v>
      </c>
      <c r="F60" s="320"/>
      <c r="G60" s="320">
        <f t="shared" si="21"/>
        <v>0</v>
      </c>
      <c r="H60" s="320"/>
      <c r="I60" s="320">
        <f t="shared" si="7"/>
        <v>0</v>
      </c>
      <c r="J60" s="320"/>
      <c r="K60" s="320"/>
      <c r="L60" s="320"/>
      <c r="M60" s="320">
        <f t="shared" si="9"/>
        <v>0</v>
      </c>
    </row>
    <row r="61" ht="15.75" customHeight="1">
      <c r="A61" s="124" t="s">
        <v>751</v>
      </c>
      <c r="B61" s="380" t="s">
        <v>1599</v>
      </c>
      <c r="C61" s="320">
        <f t="shared" si="1"/>
        <v>8400</v>
      </c>
      <c r="D61" s="320">
        <f t="shared" ref="D61:D62" si="30">C61/L61</f>
        <v>7</v>
      </c>
      <c r="E61" s="320">
        <f t="shared" si="3"/>
        <v>18000</v>
      </c>
      <c r="F61" s="320">
        <f t="shared" ref="F61:F62" si="31">E61/L61</f>
        <v>15</v>
      </c>
      <c r="G61" s="320">
        <f t="shared" si="21"/>
        <v>30000</v>
      </c>
      <c r="H61" s="320">
        <f t="shared" ref="H61:H62" si="32">G61/L61</f>
        <v>25</v>
      </c>
      <c r="I61" s="320">
        <f t="shared" si="7"/>
        <v>36000</v>
      </c>
      <c r="J61" s="320">
        <f t="shared" ref="J61:J62" si="33">I61/L61</f>
        <v>30</v>
      </c>
      <c r="K61" s="320">
        <v>1.0</v>
      </c>
      <c r="L61" s="320">
        <v>1200.0</v>
      </c>
      <c r="M61" s="320">
        <f t="shared" si="9"/>
        <v>1200</v>
      </c>
    </row>
    <row r="62" ht="15.75" customHeight="1">
      <c r="A62" s="124" t="s">
        <v>753</v>
      </c>
      <c r="B62" s="380" t="s">
        <v>754</v>
      </c>
      <c r="C62" s="320">
        <f t="shared" si="1"/>
        <v>4200</v>
      </c>
      <c r="D62" s="320">
        <f t="shared" si="30"/>
        <v>7</v>
      </c>
      <c r="E62" s="320">
        <f t="shared" si="3"/>
        <v>9000</v>
      </c>
      <c r="F62" s="320">
        <f t="shared" si="31"/>
        <v>15</v>
      </c>
      <c r="G62" s="320">
        <f t="shared" si="21"/>
        <v>15000</v>
      </c>
      <c r="H62" s="320">
        <f t="shared" si="32"/>
        <v>25</v>
      </c>
      <c r="I62" s="320">
        <f t="shared" si="7"/>
        <v>18000</v>
      </c>
      <c r="J62" s="320">
        <f t="shared" si="33"/>
        <v>30</v>
      </c>
      <c r="K62" s="320">
        <v>1.0</v>
      </c>
      <c r="L62" s="320">
        <v>600.0</v>
      </c>
      <c r="M62" s="320">
        <f t="shared" si="9"/>
        <v>600</v>
      </c>
    </row>
    <row r="63" ht="15.75" customHeight="1">
      <c r="A63" s="124" t="s">
        <v>755</v>
      </c>
      <c r="B63" s="380" t="s">
        <v>1600</v>
      </c>
      <c r="C63" s="320">
        <f t="shared" si="1"/>
        <v>0</v>
      </c>
      <c r="D63" s="320"/>
      <c r="E63" s="320">
        <f t="shared" si="3"/>
        <v>0</v>
      </c>
      <c r="F63" s="320"/>
      <c r="G63" s="320">
        <f t="shared" si="21"/>
        <v>0</v>
      </c>
      <c r="H63" s="320"/>
      <c r="I63" s="320">
        <f t="shared" si="7"/>
        <v>0</v>
      </c>
      <c r="J63" s="320"/>
      <c r="K63" s="320"/>
      <c r="L63" s="320"/>
      <c r="M63" s="320">
        <f t="shared" si="9"/>
        <v>0</v>
      </c>
    </row>
    <row r="64" ht="15.75" customHeight="1">
      <c r="A64" s="124" t="s">
        <v>1601</v>
      </c>
      <c r="B64" s="380" t="s">
        <v>1602</v>
      </c>
      <c r="C64" s="320">
        <f t="shared" si="1"/>
        <v>0</v>
      </c>
      <c r="D64" s="320"/>
      <c r="E64" s="320">
        <f t="shared" si="3"/>
        <v>0</v>
      </c>
      <c r="F64" s="320"/>
      <c r="G64" s="320">
        <f t="shared" si="21"/>
        <v>0</v>
      </c>
      <c r="H64" s="320"/>
      <c r="I64" s="320">
        <f t="shared" si="7"/>
        <v>0</v>
      </c>
      <c r="J64" s="320"/>
      <c r="K64" s="320"/>
      <c r="L64" s="320"/>
      <c r="M64" s="320">
        <f t="shared" si="9"/>
        <v>0</v>
      </c>
    </row>
    <row r="65" ht="15.75" customHeight="1">
      <c r="A65" s="124" t="s">
        <v>636</v>
      </c>
      <c r="B65" s="380" t="s">
        <v>637</v>
      </c>
      <c r="C65" s="320">
        <f t="shared" si="1"/>
        <v>0</v>
      </c>
      <c r="D65" s="320"/>
      <c r="E65" s="320">
        <f t="shared" si="3"/>
        <v>0</v>
      </c>
      <c r="F65" s="320"/>
      <c r="G65" s="320">
        <f t="shared" si="21"/>
        <v>0</v>
      </c>
      <c r="H65" s="320"/>
      <c r="I65" s="320">
        <f t="shared" si="7"/>
        <v>0</v>
      </c>
      <c r="J65" s="320"/>
      <c r="K65" s="320"/>
      <c r="L65" s="320"/>
      <c r="M65" s="320">
        <f t="shared" si="9"/>
        <v>0</v>
      </c>
    </row>
    <row r="66" ht="15.75" customHeight="1">
      <c r="A66" s="124" t="s">
        <v>1603</v>
      </c>
      <c r="B66" s="380" t="s">
        <v>1604</v>
      </c>
      <c r="C66" s="320">
        <f t="shared" si="1"/>
        <v>0</v>
      </c>
      <c r="D66" s="320"/>
      <c r="E66" s="320">
        <f t="shared" si="3"/>
        <v>0</v>
      </c>
      <c r="F66" s="320"/>
      <c r="G66" s="320">
        <f t="shared" si="21"/>
        <v>0</v>
      </c>
      <c r="H66" s="320"/>
      <c r="I66" s="320">
        <f t="shared" si="7"/>
        <v>0</v>
      </c>
      <c r="J66" s="320"/>
      <c r="K66" s="320"/>
      <c r="L66" s="320"/>
      <c r="M66" s="320">
        <f t="shared" si="9"/>
        <v>0</v>
      </c>
    </row>
    <row r="67" ht="15.75" customHeight="1">
      <c r="A67" s="124" t="s">
        <v>634</v>
      </c>
      <c r="B67" s="380" t="s">
        <v>635</v>
      </c>
      <c r="C67" s="320">
        <f t="shared" si="1"/>
        <v>168000</v>
      </c>
      <c r="D67" s="320">
        <f>C67/L67</f>
        <v>56</v>
      </c>
      <c r="E67" s="320">
        <f t="shared" si="3"/>
        <v>360000</v>
      </c>
      <c r="F67" s="320">
        <f>E67/L67</f>
        <v>120</v>
      </c>
      <c r="G67" s="320">
        <f t="shared" si="21"/>
        <v>600000</v>
      </c>
      <c r="H67" s="320">
        <f>G67/L67</f>
        <v>200</v>
      </c>
      <c r="I67" s="320">
        <f t="shared" si="7"/>
        <v>720000</v>
      </c>
      <c r="J67" s="320">
        <f>I67/L67</f>
        <v>240</v>
      </c>
      <c r="K67" s="320">
        <v>8.0</v>
      </c>
      <c r="L67" s="320">
        <v>3000.0</v>
      </c>
      <c r="M67" s="320">
        <f t="shared" si="9"/>
        <v>24000</v>
      </c>
    </row>
    <row r="68" ht="15.75" customHeight="1">
      <c r="A68" s="124" t="s">
        <v>757</v>
      </c>
      <c r="B68" s="380" t="s">
        <v>1605</v>
      </c>
      <c r="C68" s="320">
        <f t="shared" si="1"/>
        <v>0</v>
      </c>
      <c r="D68" s="320"/>
      <c r="E68" s="320">
        <f t="shared" si="3"/>
        <v>0</v>
      </c>
      <c r="F68" s="320"/>
      <c r="G68" s="320">
        <f t="shared" si="21"/>
        <v>0</v>
      </c>
      <c r="H68" s="320"/>
      <c r="I68" s="320">
        <f t="shared" si="7"/>
        <v>0</v>
      </c>
      <c r="J68" s="320"/>
      <c r="K68" s="320"/>
      <c r="L68" s="320"/>
      <c r="M68" s="320">
        <f t="shared" si="9"/>
        <v>0</v>
      </c>
    </row>
    <row r="69" ht="15.75" customHeight="1">
      <c r="A69" s="124" t="s">
        <v>759</v>
      </c>
      <c r="B69" s="380" t="s">
        <v>760</v>
      </c>
      <c r="C69" s="320">
        <f t="shared" si="1"/>
        <v>28000</v>
      </c>
      <c r="D69" s="320">
        <f t="shared" ref="D69:D70" si="34">C69/L69</f>
        <v>35</v>
      </c>
      <c r="E69" s="320">
        <f t="shared" si="3"/>
        <v>60000</v>
      </c>
      <c r="F69" s="320">
        <f t="shared" ref="F69:F70" si="35">E69/L69</f>
        <v>75</v>
      </c>
      <c r="G69" s="320">
        <f t="shared" si="21"/>
        <v>100000</v>
      </c>
      <c r="H69" s="320">
        <f t="shared" ref="H69:H70" si="36">G69/L69</f>
        <v>125</v>
      </c>
      <c r="I69" s="320">
        <f t="shared" si="7"/>
        <v>120000</v>
      </c>
      <c r="J69" s="320">
        <f t="shared" ref="J69:J70" si="37">I69/L69</f>
        <v>150</v>
      </c>
      <c r="K69" s="320">
        <v>5.0</v>
      </c>
      <c r="L69" s="320">
        <v>800.0</v>
      </c>
      <c r="M69" s="320">
        <f t="shared" si="9"/>
        <v>4000</v>
      </c>
    </row>
    <row r="70" ht="15.75" customHeight="1">
      <c r="A70" s="124" t="s">
        <v>761</v>
      </c>
      <c r="B70" s="378" t="s">
        <v>762</v>
      </c>
      <c r="C70" s="320">
        <f t="shared" si="1"/>
        <v>28000</v>
      </c>
      <c r="D70" s="320">
        <f t="shared" si="34"/>
        <v>35</v>
      </c>
      <c r="E70" s="320">
        <f t="shared" si="3"/>
        <v>60000</v>
      </c>
      <c r="F70" s="320">
        <f t="shared" si="35"/>
        <v>75</v>
      </c>
      <c r="G70" s="320">
        <f t="shared" si="21"/>
        <v>100000</v>
      </c>
      <c r="H70" s="320">
        <f t="shared" si="36"/>
        <v>125</v>
      </c>
      <c r="I70" s="320">
        <f t="shared" si="7"/>
        <v>120000</v>
      </c>
      <c r="J70" s="320">
        <f t="shared" si="37"/>
        <v>150</v>
      </c>
      <c r="K70" s="320">
        <v>5.0</v>
      </c>
      <c r="L70" s="320">
        <v>800.0</v>
      </c>
      <c r="M70" s="320">
        <f t="shared" si="9"/>
        <v>4000</v>
      </c>
    </row>
    <row r="71" ht="15.75" customHeight="1">
      <c r="A71" s="124" t="s">
        <v>1606</v>
      </c>
      <c r="B71" s="378" t="s">
        <v>1607</v>
      </c>
      <c r="C71" s="320">
        <f t="shared" si="1"/>
        <v>0</v>
      </c>
      <c r="D71" s="320"/>
      <c r="E71" s="320">
        <f t="shared" si="3"/>
        <v>0</v>
      </c>
      <c r="F71" s="320"/>
      <c r="G71" s="320">
        <f t="shared" si="21"/>
        <v>0</v>
      </c>
      <c r="H71" s="320"/>
      <c r="I71" s="320">
        <f t="shared" si="7"/>
        <v>0</v>
      </c>
      <c r="J71" s="320"/>
      <c r="K71" s="320"/>
      <c r="L71" s="320"/>
      <c r="M71" s="320">
        <f t="shared" si="9"/>
        <v>0</v>
      </c>
    </row>
    <row r="72" ht="15.75" customHeight="1">
      <c r="A72" s="124" t="s">
        <v>659</v>
      </c>
      <c r="B72" s="378" t="s">
        <v>660</v>
      </c>
      <c r="C72" s="320">
        <f t="shared" si="1"/>
        <v>0</v>
      </c>
      <c r="D72" s="320"/>
      <c r="E72" s="320">
        <f t="shared" si="3"/>
        <v>0</v>
      </c>
      <c r="F72" s="320"/>
      <c r="G72" s="320">
        <f t="shared" si="21"/>
        <v>0</v>
      </c>
      <c r="H72" s="320"/>
      <c r="I72" s="320">
        <f t="shared" si="7"/>
        <v>0</v>
      </c>
      <c r="J72" s="320"/>
      <c r="K72" s="320"/>
      <c r="L72" s="320"/>
      <c r="M72" s="320">
        <f t="shared" si="9"/>
        <v>0</v>
      </c>
    </row>
    <row r="73" ht="15.75" customHeight="1">
      <c r="A73" s="124" t="s">
        <v>1608</v>
      </c>
      <c r="B73" s="378" t="s">
        <v>1609</v>
      </c>
      <c r="C73" s="320">
        <f t="shared" si="1"/>
        <v>0</v>
      </c>
      <c r="D73" s="320"/>
      <c r="E73" s="320">
        <f t="shared" si="3"/>
        <v>0</v>
      </c>
      <c r="F73" s="320"/>
      <c r="G73" s="320">
        <f t="shared" si="21"/>
        <v>0</v>
      </c>
      <c r="H73" s="320"/>
      <c r="I73" s="320">
        <f t="shared" si="7"/>
        <v>0</v>
      </c>
      <c r="J73" s="320"/>
      <c r="K73" s="320"/>
      <c r="L73" s="320"/>
      <c r="M73" s="320">
        <f t="shared" si="9"/>
        <v>0</v>
      </c>
    </row>
    <row r="74" ht="15.75" customHeight="1">
      <c r="A74" s="124" t="s">
        <v>763</v>
      </c>
      <c r="B74" s="378" t="s">
        <v>764</v>
      </c>
      <c r="C74" s="320">
        <f t="shared" si="1"/>
        <v>0</v>
      </c>
      <c r="D74" s="320"/>
      <c r="E74" s="320">
        <f t="shared" si="3"/>
        <v>0</v>
      </c>
      <c r="F74" s="320"/>
      <c r="G74" s="320">
        <f t="shared" si="21"/>
        <v>0</v>
      </c>
      <c r="H74" s="320"/>
      <c r="I74" s="320">
        <f t="shared" si="7"/>
        <v>0</v>
      </c>
      <c r="J74" s="320"/>
      <c r="K74" s="320"/>
      <c r="L74" s="320"/>
      <c r="M74" s="320">
        <f t="shared" si="9"/>
        <v>0</v>
      </c>
    </row>
    <row r="75" ht="15.75" customHeight="1">
      <c r="A75" s="124" t="s">
        <v>69</v>
      </c>
      <c r="B75" s="378" t="s">
        <v>1610</v>
      </c>
      <c r="C75" s="320">
        <f t="shared" si="1"/>
        <v>168000</v>
      </c>
      <c r="D75" s="320">
        <f t="shared" ref="D75:D76" si="38">C75/L75</f>
        <v>112</v>
      </c>
      <c r="E75" s="320">
        <f t="shared" si="3"/>
        <v>360000</v>
      </c>
      <c r="F75" s="320">
        <f t="shared" ref="F75:F76" si="39">E75/L75</f>
        <v>240</v>
      </c>
      <c r="G75" s="320">
        <f t="shared" si="21"/>
        <v>600000</v>
      </c>
      <c r="H75" s="320">
        <f t="shared" ref="H75:H76" si="40">G75/L75</f>
        <v>400</v>
      </c>
      <c r="I75" s="320">
        <f t="shared" si="7"/>
        <v>720000</v>
      </c>
      <c r="J75" s="320">
        <f t="shared" ref="J75:J76" si="41">I75/L75</f>
        <v>480</v>
      </c>
      <c r="K75" s="320">
        <v>16.0</v>
      </c>
      <c r="L75" s="320">
        <v>1500.0</v>
      </c>
      <c r="M75" s="320">
        <f t="shared" si="9"/>
        <v>24000</v>
      </c>
    </row>
    <row r="76" ht="15.75" customHeight="1">
      <c r="A76" s="124" t="s">
        <v>74</v>
      </c>
      <c r="B76" s="378" t="s">
        <v>1611</v>
      </c>
      <c r="C76" s="320">
        <f t="shared" si="1"/>
        <v>112000</v>
      </c>
      <c r="D76" s="320">
        <f t="shared" si="38"/>
        <v>140</v>
      </c>
      <c r="E76" s="320">
        <f t="shared" si="3"/>
        <v>240000</v>
      </c>
      <c r="F76" s="320">
        <f t="shared" si="39"/>
        <v>300</v>
      </c>
      <c r="G76" s="320">
        <f t="shared" si="21"/>
        <v>400000</v>
      </c>
      <c r="H76" s="320">
        <f t="shared" si="40"/>
        <v>500</v>
      </c>
      <c r="I76" s="320">
        <f t="shared" si="7"/>
        <v>480000</v>
      </c>
      <c r="J76" s="320">
        <f t="shared" si="41"/>
        <v>600</v>
      </c>
      <c r="K76" s="320">
        <v>20.0</v>
      </c>
      <c r="L76" s="320">
        <v>800.0</v>
      </c>
      <c r="M76" s="320">
        <f t="shared" si="9"/>
        <v>16000</v>
      </c>
    </row>
    <row r="77" ht="15.75" customHeight="1">
      <c r="A77" s="124" t="s">
        <v>1612</v>
      </c>
      <c r="B77" s="378" t="s">
        <v>1613</v>
      </c>
      <c r="C77" s="320">
        <f t="shared" si="1"/>
        <v>0</v>
      </c>
      <c r="D77" s="320"/>
      <c r="E77" s="320">
        <f t="shared" si="3"/>
        <v>0</v>
      </c>
      <c r="F77" s="320"/>
      <c r="G77" s="320">
        <f t="shared" si="21"/>
        <v>0</v>
      </c>
      <c r="H77" s="320"/>
      <c r="I77" s="320">
        <f t="shared" si="7"/>
        <v>0</v>
      </c>
      <c r="J77" s="320"/>
      <c r="K77" s="320"/>
      <c r="L77" s="320"/>
      <c r="M77" s="320">
        <f t="shared" si="9"/>
        <v>0</v>
      </c>
    </row>
    <row r="78" ht="15.75" customHeight="1">
      <c r="A78" s="124" t="s">
        <v>1614</v>
      </c>
      <c r="B78" s="378" t="s">
        <v>186</v>
      </c>
      <c r="C78" s="320">
        <f t="shared" si="1"/>
        <v>280</v>
      </c>
      <c r="D78" s="320">
        <f t="shared" ref="D78:D82" si="42">C78/L78</f>
        <v>280</v>
      </c>
      <c r="E78" s="320">
        <f t="shared" si="3"/>
        <v>600</v>
      </c>
      <c r="F78" s="320">
        <f t="shared" ref="F78:F82" si="43">E78/L78</f>
        <v>600</v>
      </c>
      <c r="G78" s="320">
        <f t="shared" si="21"/>
        <v>1000</v>
      </c>
      <c r="H78" s="320">
        <f t="shared" ref="H78:H82" si="44">G78/L78</f>
        <v>1000</v>
      </c>
      <c r="I78" s="320">
        <f t="shared" si="7"/>
        <v>1200</v>
      </c>
      <c r="J78" s="320">
        <f t="shared" ref="J78:J82" si="45">I78/L78</f>
        <v>1200</v>
      </c>
      <c r="K78" s="320">
        <v>40.0</v>
      </c>
      <c r="L78" s="320">
        <v>1.0</v>
      </c>
      <c r="M78" s="320">
        <f t="shared" si="9"/>
        <v>40</v>
      </c>
    </row>
    <row r="79" ht="15.75" customHeight="1">
      <c r="A79" s="124" t="s">
        <v>1615</v>
      </c>
      <c r="B79" s="378" t="s">
        <v>149</v>
      </c>
      <c r="C79" s="320">
        <f t="shared" si="1"/>
        <v>14</v>
      </c>
      <c r="D79" s="320">
        <f t="shared" si="42"/>
        <v>14</v>
      </c>
      <c r="E79" s="320">
        <f t="shared" si="3"/>
        <v>30</v>
      </c>
      <c r="F79" s="320">
        <f t="shared" si="43"/>
        <v>30</v>
      </c>
      <c r="G79" s="320">
        <f t="shared" si="21"/>
        <v>50</v>
      </c>
      <c r="H79" s="320">
        <f t="shared" si="44"/>
        <v>50</v>
      </c>
      <c r="I79" s="320">
        <f t="shared" si="7"/>
        <v>60</v>
      </c>
      <c r="J79" s="320">
        <f t="shared" si="45"/>
        <v>60</v>
      </c>
      <c r="K79" s="320">
        <v>2.0</v>
      </c>
      <c r="L79" s="320">
        <v>1.0</v>
      </c>
      <c r="M79" s="320">
        <f t="shared" si="9"/>
        <v>2</v>
      </c>
    </row>
    <row r="80" ht="15.75" customHeight="1">
      <c r="A80" s="124" t="s">
        <v>1616</v>
      </c>
      <c r="B80" s="378" t="s">
        <v>628</v>
      </c>
      <c r="C80" s="320">
        <f t="shared" si="1"/>
        <v>1750</v>
      </c>
      <c r="D80" s="320">
        <f t="shared" si="42"/>
        <v>1750</v>
      </c>
      <c r="E80" s="320">
        <f t="shared" si="3"/>
        <v>3750</v>
      </c>
      <c r="F80" s="320">
        <f t="shared" si="43"/>
        <v>3750</v>
      </c>
      <c r="G80" s="320">
        <f t="shared" si="21"/>
        <v>6250</v>
      </c>
      <c r="H80" s="320">
        <f t="shared" si="44"/>
        <v>6250</v>
      </c>
      <c r="I80" s="320">
        <f t="shared" si="7"/>
        <v>7500</v>
      </c>
      <c r="J80" s="320">
        <f t="shared" si="45"/>
        <v>7500</v>
      </c>
      <c r="K80" s="320">
        <v>250.0</v>
      </c>
      <c r="L80" s="320">
        <v>1.0</v>
      </c>
      <c r="M80" s="320">
        <f t="shared" si="9"/>
        <v>250</v>
      </c>
    </row>
    <row r="81" ht="15.75" customHeight="1">
      <c r="A81" s="124" t="s">
        <v>1617</v>
      </c>
      <c r="B81" s="378" t="s">
        <v>17</v>
      </c>
      <c r="C81" s="320">
        <f t="shared" si="1"/>
        <v>420</v>
      </c>
      <c r="D81" s="320">
        <f t="shared" si="42"/>
        <v>420</v>
      </c>
      <c r="E81" s="320">
        <f t="shared" si="3"/>
        <v>900</v>
      </c>
      <c r="F81" s="320">
        <f t="shared" si="43"/>
        <v>900</v>
      </c>
      <c r="G81" s="320">
        <f t="shared" si="21"/>
        <v>1500</v>
      </c>
      <c r="H81" s="320">
        <f t="shared" si="44"/>
        <v>1500</v>
      </c>
      <c r="I81" s="320">
        <f t="shared" si="7"/>
        <v>1800</v>
      </c>
      <c r="J81" s="320">
        <f t="shared" si="45"/>
        <v>1800</v>
      </c>
      <c r="K81" s="320">
        <v>60.0</v>
      </c>
      <c r="L81" s="320">
        <v>1.0</v>
      </c>
      <c r="M81" s="320">
        <f t="shared" si="9"/>
        <v>60</v>
      </c>
    </row>
    <row r="82" ht="15.75" customHeight="1">
      <c r="A82" s="124" t="s">
        <v>1618</v>
      </c>
      <c r="B82" s="378" t="s">
        <v>22</v>
      </c>
      <c r="C82" s="320">
        <f t="shared" si="1"/>
        <v>560</v>
      </c>
      <c r="D82" s="320">
        <f t="shared" si="42"/>
        <v>560</v>
      </c>
      <c r="E82" s="320">
        <f t="shared" si="3"/>
        <v>1200</v>
      </c>
      <c r="F82" s="320">
        <f t="shared" si="43"/>
        <v>1200</v>
      </c>
      <c r="G82" s="320">
        <f t="shared" si="21"/>
        <v>2000</v>
      </c>
      <c r="H82" s="320">
        <f t="shared" si="44"/>
        <v>2000</v>
      </c>
      <c r="I82" s="320">
        <f t="shared" si="7"/>
        <v>2400</v>
      </c>
      <c r="J82" s="320">
        <f t="shared" si="45"/>
        <v>2400</v>
      </c>
      <c r="K82" s="320">
        <v>80.0</v>
      </c>
      <c r="L82" s="320">
        <v>1.0</v>
      </c>
      <c r="M82" s="320">
        <f t="shared" si="9"/>
        <v>80</v>
      </c>
    </row>
    <row r="83" ht="15.75" customHeight="1">
      <c r="A83" s="124" t="s">
        <v>185</v>
      </c>
      <c r="B83" s="378" t="s">
        <v>676</v>
      </c>
      <c r="C83" s="320">
        <f t="shared" si="1"/>
        <v>0</v>
      </c>
      <c r="D83" s="320"/>
      <c r="E83" s="320">
        <f t="shared" si="3"/>
        <v>0</v>
      </c>
      <c r="F83" s="320"/>
      <c r="G83" s="320">
        <f t="shared" si="21"/>
        <v>0</v>
      </c>
      <c r="H83" s="320"/>
      <c r="I83" s="320">
        <f t="shared" si="7"/>
        <v>0</v>
      </c>
      <c r="J83" s="320"/>
      <c r="K83" s="320"/>
      <c r="L83" s="320"/>
      <c r="M83" s="320">
        <f t="shared" si="9"/>
        <v>0</v>
      </c>
    </row>
    <row r="84" ht="15.75" customHeight="1">
      <c r="A84" s="124" t="s">
        <v>629</v>
      </c>
      <c r="B84" s="378" t="s">
        <v>678</v>
      </c>
      <c r="C84" s="320">
        <f t="shared" si="1"/>
        <v>0</v>
      </c>
      <c r="D84" s="320"/>
      <c r="E84" s="320">
        <f t="shared" si="3"/>
        <v>0</v>
      </c>
      <c r="F84" s="320"/>
      <c r="G84" s="320">
        <f t="shared" si="21"/>
        <v>0</v>
      </c>
      <c r="H84" s="320"/>
      <c r="I84" s="320">
        <f t="shared" si="7"/>
        <v>0</v>
      </c>
      <c r="J84" s="320"/>
      <c r="K84" s="320"/>
      <c r="L84" s="320"/>
      <c r="M84" s="320">
        <f t="shared" si="9"/>
        <v>0</v>
      </c>
    </row>
    <row r="85" ht="15.75" customHeight="1">
      <c r="A85" s="124" t="s">
        <v>148</v>
      </c>
      <c r="B85" s="378" t="s">
        <v>767</v>
      </c>
      <c r="C85" s="320">
        <f t="shared" si="1"/>
        <v>0</v>
      </c>
      <c r="D85" s="320"/>
      <c r="E85" s="320">
        <f t="shared" si="3"/>
        <v>0</v>
      </c>
      <c r="F85" s="320"/>
      <c r="G85" s="320">
        <f t="shared" si="21"/>
        <v>0</v>
      </c>
      <c r="H85" s="320"/>
      <c r="I85" s="320">
        <f t="shared" si="7"/>
        <v>0</v>
      </c>
      <c r="J85" s="320"/>
      <c r="K85" s="320"/>
      <c r="L85" s="320"/>
      <c r="M85" s="320">
        <f t="shared" si="9"/>
        <v>0</v>
      </c>
    </row>
    <row r="86" ht="15.75" customHeight="1">
      <c r="A86" s="124" t="s">
        <v>627</v>
      </c>
      <c r="B86" s="378" t="s">
        <v>684</v>
      </c>
      <c r="C86" s="320">
        <f t="shared" si="1"/>
        <v>0</v>
      </c>
      <c r="D86" s="320"/>
      <c r="E86" s="320">
        <f t="shared" si="3"/>
        <v>0</v>
      </c>
      <c r="F86" s="320"/>
      <c r="G86" s="320">
        <f t="shared" si="21"/>
        <v>0</v>
      </c>
      <c r="H86" s="320"/>
      <c r="I86" s="320">
        <f t="shared" si="7"/>
        <v>0</v>
      </c>
      <c r="J86" s="320"/>
      <c r="K86" s="320"/>
      <c r="L86" s="320"/>
      <c r="M86" s="320">
        <f t="shared" si="9"/>
        <v>0</v>
      </c>
    </row>
    <row r="87" ht="15.75" customHeight="1">
      <c r="A87" s="124" t="s">
        <v>1619</v>
      </c>
      <c r="B87" s="378" t="s">
        <v>680</v>
      </c>
      <c r="C87" s="320">
        <f t="shared" si="1"/>
        <v>0</v>
      </c>
      <c r="D87" s="320"/>
      <c r="E87" s="320">
        <f t="shared" si="3"/>
        <v>0</v>
      </c>
      <c r="F87" s="320"/>
      <c r="G87" s="320">
        <f t="shared" si="21"/>
        <v>0</v>
      </c>
      <c r="H87" s="320"/>
      <c r="I87" s="320">
        <f t="shared" si="7"/>
        <v>0</v>
      </c>
      <c r="J87" s="320"/>
      <c r="K87" s="320"/>
      <c r="L87" s="320"/>
      <c r="M87" s="320">
        <f t="shared" si="9"/>
        <v>0</v>
      </c>
    </row>
    <row r="88" ht="15.75" customHeight="1">
      <c r="A88" s="124" t="s">
        <v>16</v>
      </c>
      <c r="B88" s="378" t="s">
        <v>689</v>
      </c>
      <c r="C88" s="320">
        <f t="shared" si="1"/>
        <v>0</v>
      </c>
      <c r="D88" s="320"/>
      <c r="E88" s="320">
        <f t="shared" si="3"/>
        <v>0</v>
      </c>
      <c r="F88" s="320"/>
      <c r="G88" s="320">
        <f t="shared" si="21"/>
        <v>0</v>
      </c>
      <c r="H88" s="320"/>
      <c r="I88" s="320">
        <f t="shared" si="7"/>
        <v>0</v>
      </c>
      <c r="J88" s="320"/>
      <c r="K88" s="320"/>
      <c r="L88" s="320"/>
      <c r="M88" s="320">
        <f t="shared" si="9"/>
        <v>0</v>
      </c>
    </row>
    <row r="89" ht="15.75" customHeight="1">
      <c r="A89" s="124" t="s">
        <v>21</v>
      </c>
      <c r="B89" s="378" t="s">
        <v>670</v>
      </c>
      <c r="C89" s="320">
        <f t="shared" si="1"/>
        <v>0</v>
      </c>
      <c r="D89" s="320"/>
      <c r="E89" s="320">
        <f t="shared" si="3"/>
        <v>0</v>
      </c>
      <c r="F89" s="320"/>
      <c r="G89" s="320">
        <f t="shared" si="21"/>
        <v>0</v>
      </c>
      <c r="H89" s="320"/>
      <c r="I89" s="320">
        <f t="shared" si="7"/>
        <v>0</v>
      </c>
      <c r="J89" s="320"/>
      <c r="K89" s="320"/>
      <c r="L89" s="320"/>
      <c r="M89" s="320">
        <f t="shared" si="9"/>
        <v>0</v>
      </c>
    </row>
    <row r="90" ht="15.75" customHeight="1">
      <c r="A90" s="124" t="s">
        <v>669</v>
      </c>
      <c r="B90" s="378" t="s">
        <v>769</v>
      </c>
      <c r="C90" s="320">
        <f t="shared" si="1"/>
        <v>0</v>
      </c>
      <c r="D90" s="320"/>
      <c r="E90" s="320">
        <f t="shared" si="3"/>
        <v>0</v>
      </c>
      <c r="F90" s="320"/>
      <c r="G90" s="320">
        <f t="shared" si="21"/>
        <v>0</v>
      </c>
      <c r="H90" s="320"/>
      <c r="I90" s="320">
        <f t="shared" si="7"/>
        <v>0</v>
      </c>
      <c r="J90" s="320"/>
      <c r="K90" s="320"/>
      <c r="L90" s="320"/>
      <c r="M90" s="320">
        <f t="shared" si="9"/>
        <v>0</v>
      </c>
    </row>
    <row r="91" ht="15.75" customHeight="1">
      <c r="A91" s="124" t="s">
        <v>675</v>
      </c>
      <c r="B91" s="378" t="s">
        <v>771</v>
      </c>
      <c r="C91" s="320">
        <f t="shared" si="1"/>
        <v>0</v>
      </c>
      <c r="D91" s="320"/>
      <c r="E91" s="320">
        <f t="shared" si="3"/>
        <v>0</v>
      </c>
      <c r="F91" s="320"/>
      <c r="G91" s="320">
        <f t="shared" si="21"/>
        <v>0</v>
      </c>
      <c r="H91" s="320"/>
      <c r="I91" s="320">
        <f t="shared" si="7"/>
        <v>0</v>
      </c>
      <c r="J91" s="320"/>
      <c r="K91" s="320"/>
      <c r="L91" s="320"/>
      <c r="M91" s="320">
        <f t="shared" si="9"/>
        <v>0</v>
      </c>
    </row>
    <row r="92" ht="15.75" customHeight="1">
      <c r="A92" s="124" t="s">
        <v>677</v>
      </c>
      <c r="B92" s="378" t="s">
        <v>773</v>
      </c>
      <c r="C92" s="320">
        <f t="shared" si="1"/>
        <v>0</v>
      </c>
      <c r="D92" s="320"/>
      <c r="E92" s="320">
        <f t="shared" si="3"/>
        <v>0</v>
      </c>
      <c r="F92" s="320"/>
      <c r="G92" s="320">
        <f t="shared" si="21"/>
        <v>0</v>
      </c>
      <c r="H92" s="320"/>
      <c r="I92" s="320">
        <f t="shared" si="7"/>
        <v>0</v>
      </c>
      <c r="J92" s="320"/>
      <c r="K92" s="320"/>
      <c r="L92" s="320"/>
      <c r="M92" s="320">
        <f t="shared" si="9"/>
        <v>0</v>
      </c>
    </row>
    <row r="93" ht="15.75" customHeight="1">
      <c r="A93" s="124" t="s">
        <v>766</v>
      </c>
      <c r="B93" s="385" t="s">
        <v>630</v>
      </c>
      <c r="C93" s="320">
        <f t="shared" si="1"/>
        <v>0</v>
      </c>
      <c r="D93" s="320"/>
      <c r="E93" s="320">
        <f t="shared" si="3"/>
        <v>0</v>
      </c>
      <c r="F93" s="320"/>
      <c r="G93" s="320">
        <f t="shared" si="21"/>
        <v>0</v>
      </c>
      <c r="H93" s="320"/>
      <c r="I93" s="320">
        <f t="shared" si="7"/>
        <v>0</v>
      </c>
      <c r="J93" s="320"/>
      <c r="K93" s="320"/>
      <c r="L93" s="320"/>
      <c r="M93" s="320">
        <f t="shared" si="9"/>
        <v>0</v>
      </c>
    </row>
    <row r="94" ht="15.75" customHeight="1">
      <c r="A94" s="124" t="s">
        <v>683</v>
      </c>
      <c r="B94" s="385" t="s">
        <v>632</v>
      </c>
      <c r="C94" s="320">
        <f t="shared" si="1"/>
        <v>0</v>
      </c>
      <c r="D94" s="320"/>
      <c r="E94" s="320">
        <f t="shared" si="3"/>
        <v>0</v>
      </c>
      <c r="F94" s="320"/>
      <c r="G94" s="320">
        <f t="shared" si="21"/>
        <v>0</v>
      </c>
      <c r="H94" s="320"/>
      <c r="I94" s="320">
        <f t="shared" si="7"/>
        <v>0</v>
      </c>
      <c r="J94" s="320"/>
      <c r="K94" s="320"/>
      <c r="L94" s="320"/>
      <c r="M94" s="320">
        <f t="shared" si="9"/>
        <v>0</v>
      </c>
    </row>
    <row r="95" ht="15.75" customHeight="1"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</row>
    <row r="96" ht="15.75" customHeight="1"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</row>
    <row r="97" ht="15.75" customHeight="1">
      <c r="B97" s="374"/>
      <c r="C97" s="374"/>
      <c r="D97" s="374"/>
      <c r="E97" s="374"/>
      <c r="F97" s="374"/>
      <c r="G97" s="374"/>
      <c r="H97" s="374"/>
      <c r="I97" s="374"/>
      <c r="J97" s="374"/>
      <c r="K97" s="374"/>
      <c r="L97" s="374"/>
      <c r="M97" s="374"/>
    </row>
    <row r="98" ht="15.75" customHeight="1">
      <c r="B98" s="374"/>
      <c r="C98" s="374"/>
      <c r="D98" s="374"/>
      <c r="E98" s="374"/>
      <c r="F98" s="374"/>
      <c r="G98" s="374"/>
      <c r="H98" s="374"/>
      <c r="I98" s="374"/>
      <c r="J98" s="374"/>
      <c r="K98" s="374"/>
      <c r="L98" s="374"/>
      <c r="M98" s="374"/>
    </row>
    <row r="99" ht="15.75" customHeight="1">
      <c r="B99" s="374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</row>
    <row r="100" ht="15.75" customHeight="1">
      <c r="B100" s="374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</row>
    <row r="101" ht="15.75" customHeight="1">
      <c r="B101" s="374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</row>
    <row r="102" ht="15.75" customHeight="1">
      <c r="B102" s="374"/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</row>
    <row r="103" ht="15.75" customHeight="1">
      <c r="B103" s="374"/>
      <c r="C103" s="374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</row>
    <row r="104" ht="15.75" customHeight="1">
      <c r="B104" s="374"/>
      <c r="C104" s="374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</row>
    <row r="105" ht="15.75" customHeight="1"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</row>
    <row r="106" ht="15.75" customHeight="1"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</row>
    <row r="107" ht="15.75" customHeight="1"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</row>
    <row r="108" ht="15.75" customHeight="1"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</row>
    <row r="109" ht="15.75" customHeight="1"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</row>
    <row r="110" ht="15.75" customHeight="1">
      <c r="B110" s="374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</row>
    <row r="111" ht="15.75" customHeight="1"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</row>
    <row r="112" ht="15.75" customHeight="1"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</row>
    <row r="113" ht="15.75" customHeight="1">
      <c r="B113" s="374"/>
      <c r="C113" s="374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</row>
    <row r="114" ht="15.75" customHeight="1">
      <c r="B114" s="374"/>
      <c r="C114" s="374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</row>
    <row r="115" ht="15.75" customHeight="1">
      <c r="B115" s="374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</row>
    <row r="116" ht="15.75" customHeight="1">
      <c r="B116" s="374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</row>
    <row r="117" ht="15.75" customHeight="1">
      <c r="B117" s="374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</row>
    <row r="118" ht="15.75" customHeight="1">
      <c r="B118" s="374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</row>
    <row r="119" ht="15.75" customHeight="1">
      <c r="B119" s="374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</row>
    <row r="120" ht="15.75" customHeight="1">
      <c r="B120" s="374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</row>
    <row r="121" ht="15.75" customHeight="1">
      <c r="B121" s="374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</row>
    <row r="122" ht="15.75" customHeight="1"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</row>
    <row r="123" ht="15.75" customHeight="1"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</row>
    <row r="124" ht="15.75" customHeight="1"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</row>
    <row r="125" ht="15.75" customHeight="1">
      <c r="B125" s="374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</row>
    <row r="126" ht="15.75" customHeight="1"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</row>
    <row r="127" ht="15.75" customHeight="1"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</row>
    <row r="128" ht="15.75" customHeight="1"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</row>
    <row r="129" ht="15.75" customHeight="1">
      <c r="B129" s="374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</row>
    <row r="130" ht="15.75" customHeight="1"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</row>
    <row r="131" ht="15.75" customHeight="1"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</row>
    <row r="132" ht="15.75" customHeight="1"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</row>
    <row r="133" ht="15.75" customHeight="1">
      <c r="B133" s="374"/>
      <c r="C133" s="374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</row>
    <row r="134" ht="15.75" customHeight="1">
      <c r="B134" s="374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</row>
    <row r="135" ht="15.75" customHeight="1">
      <c r="B135" s="374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</row>
    <row r="136" ht="15.75" customHeight="1">
      <c r="B136" s="374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</row>
    <row r="137" ht="15.75" customHeight="1">
      <c r="B137" s="374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</row>
    <row r="138" ht="15.75" customHeight="1"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</row>
    <row r="139" ht="15.75" customHeight="1"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</row>
    <row r="140" ht="15.75" customHeight="1"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</row>
    <row r="141" ht="15.75" customHeight="1">
      <c r="B141" s="374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</row>
    <row r="142" ht="15.75" customHeight="1">
      <c r="B142" s="374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</row>
    <row r="143" ht="15.75" customHeight="1">
      <c r="B143" s="374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</row>
    <row r="144" ht="15.75" customHeight="1"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</row>
    <row r="145" ht="15.75" customHeight="1"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</row>
    <row r="146" ht="15.75" customHeight="1"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</row>
    <row r="147" ht="15.75" customHeight="1">
      <c r="B147" s="374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</row>
    <row r="148" ht="15.75" customHeight="1">
      <c r="B148" s="374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</row>
    <row r="149" ht="15.75" customHeight="1">
      <c r="B149" s="374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</row>
    <row r="150" ht="15.75" customHeight="1"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</row>
    <row r="151" ht="15.75" customHeight="1"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</row>
    <row r="152" ht="15.75" customHeight="1"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</row>
    <row r="153" ht="15.75" customHeight="1">
      <c r="B153" s="374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</row>
    <row r="154" ht="15.75" customHeight="1"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</row>
    <row r="155" ht="15.75" customHeight="1">
      <c r="B155" s="374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</row>
    <row r="156" ht="15.75" customHeight="1"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</row>
    <row r="157" ht="15.75" customHeight="1"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</row>
    <row r="158" ht="15.75" customHeight="1"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</row>
    <row r="159" ht="15.75" customHeight="1">
      <c r="B159" s="374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</row>
    <row r="160" ht="15.75" customHeight="1">
      <c r="B160" s="374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</row>
    <row r="161" ht="15.75" customHeight="1">
      <c r="B161" s="374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</row>
    <row r="162" ht="15.75" customHeight="1"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</row>
    <row r="163" ht="15.75" customHeight="1"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</row>
    <row r="164" ht="15.75" customHeight="1"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</row>
    <row r="165" ht="15.75" customHeight="1">
      <c r="B165" s="374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</row>
    <row r="166" ht="15.75" customHeight="1">
      <c r="B166" s="374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</row>
    <row r="167" ht="15.75" customHeight="1"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</row>
    <row r="168" ht="15.75" customHeight="1"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</row>
    <row r="169" ht="15.75" customHeight="1"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</row>
    <row r="170" ht="15.75" customHeight="1">
      <c r="B170" s="374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</row>
    <row r="171" ht="15.75" customHeight="1">
      <c r="B171" s="374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</row>
    <row r="172" ht="15.75" customHeight="1"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</row>
    <row r="173" ht="15.75" customHeight="1"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</row>
    <row r="174" ht="15.75" customHeight="1"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</row>
    <row r="175" ht="15.75" customHeight="1">
      <c r="B175" s="374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</row>
    <row r="176" ht="15.75" customHeight="1">
      <c r="B176" s="374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</row>
    <row r="177" ht="15.75" customHeight="1"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</row>
    <row r="178" ht="15.75" customHeight="1"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</row>
    <row r="179" ht="15.75" customHeight="1"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</row>
    <row r="180" ht="15.75" customHeight="1">
      <c r="B180" s="374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</row>
    <row r="181" ht="15.75" customHeight="1"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</row>
    <row r="182" ht="15.75" customHeight="1">
      <c r="B182" s="374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</row>
    <row r="183" ht="15.75" customHeight="1">
      <c r="B183" s="374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</row>
    <row r="184" ht="15.75" customHeight="1"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</row>
    <row r="185" ht="15.75" customHeight="1"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</row>
    <row r="186" ht="15.75" customHeight="1"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</row>
    <row r="187" ht="15.75" customHeight="1">
      <c r="B187" s="374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</row>
    <row r="188" ht="15.75" customHeight="1">
      <c r="B188" s="374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</row>
    <row r="189" ht="15.75" customHeight="1"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</row>
    <row r="190" ht="15.75" customHeight="1"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</row>
    <row r="191" ht="15.75" customHeight="1"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</row>
    <row r="192" ht="15.75" customHeight="1">
      <c r="B192" s="374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</row>
    <row r="193" ht="15.75" customHeight="1">
      <c r="B193" s="374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</row>
    <row r="194" ht="15.75" customHeight="1">
      <c r="B194" s="374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</row>
    <row r="195" ht="15.75" customHeight="1">
      <c r="B195" s="374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</row>
    <row r="196" ht="15.75" customHeight="1">
      <c r="B196" s="374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</row>
    <row r="197" ht="15.75" customHeight="1">
      <c r="B197" s="374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</row>
    <row r="198" ht="15.75" customHeight="1"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</row>
    <row r="199" ht="15.75" customHeight="1"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</row>
    <row r="200" ht="15.75" customHeight="1"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</row>
    <row r="201" ht="15.75" customHeight="1">
      <c r="B201" s="374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</row>
    <row r="202" ht="15.75" customHeight="1">
      <c r="B202" s="374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</row>
    <row r="203" ht="15.75" customHeight="1">
      <c r="B203" s="374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</row>
    <row r="204" ht="15.75" customHeight="1"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</row>
    <row r="205" ht="15.75" customHeight="1"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</row>
    <row r="206" ht="15.75" customHeight="1"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</row>
    <row r="207" ht="15.75" customHeight="1">
      <c r="B207" s="374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</row>
    <row r="208" ht="15.75" customHeight="1">
      <c r="B208" s="374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</row>
    <row r="209" ht="15.75" customHeight="1">
      <c r="B209" s="374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</row>
    <row r="210" ht="15.75" customHeight="1"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</row>
    <row r="211" ht="15.75" customHeight="1"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</row>
    <row r="212" ht="15.75" customHeight="1"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</row>
    <row r="213" ht="15.75" customHeight="1">
      <c r="B213" s="374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</row>
    <row r="214" ht="15.75" customHeight="1">
      <c r="B214" s="374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</row>
    <row r="215" ht="15.75" customHeight="1">
      <c r="B215" s="374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</row>
    <row r="216" ht="15.75" customHeight="1"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</row>
    <row r="217" ht="15.75" customHeight="1"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</row>
    <row r="218" ht="15.75" customHeight="1"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</row>
    <row r="219" ht="15.75" customHeight="1">
      <c r="B219" s="374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</row>
    <row r="220" ht="15.75" customHeight="1">
      <c r="B220" s="374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</row>
    <row r="221" ht="15.75" customHeight="1"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</row>
    <row r="222" ht="15.75" customHeight="1"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</row>
    <row r="223" ht="15.75" customHeight="1"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</row>
    <row r="224" ht="15.75" customHeight="1">
      <c r="B224" s="374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</row>
    <row r="225" ht="15.75" customHeight="1">
      <c r="B225" s="374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</row>
    <row r="226" ht="15.75" customHeight="1"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</row>
    <row r="227" ht="15.75" customHeight="1"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</row>
    <row r="228" ht="15.75" customHeight="1"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</row>
    <row r="229" ht="15.75" customHeight="1">
      <c r="B229" s="374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</row>
    <row r="230" ht="15.75" customHeight="1">
      <c r="B230" s="374"/>
      <c r="C230" s="374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</row>
    <row r="231" ht="15.75" customHeight="1">
      <c r="B231" s="374"/>
      <c r="C231" s="374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</row>
    <row r="232" ht="15.75" customHeight="1"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</row>
    <row r="233" ht="15.75" customHeight="1"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</row>
    <row r="234" ht="15.75" customHeight="1"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</row>
    <row r="235" ht="15.75" customHeight="1">
      <c r="B235" s="374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</row>
    <row r="236" ht="15.75" customHeight="1">
      <c r="B236" s="374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</row>
    <row r="237" ht="15.75" customHeight="1">
      <c r="B237" s="374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</row>
    <row r="238" ht="15.75" customHeight="1"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</row>
    <row r="239" ht="15.75" customHeight="1"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</row>
    <row r="240" ht="15.75" customHeight="1"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</row>
    <row r="241" ht="15.75" customHeight="1">
      <c r="B241" s="374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</row>
    <row r="242" ht="15.75" customHeight="1"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</row>
    <row r="243" ht="15.75" customHeight="1"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</row>
    <row r="244" ht="15.75" customHeight="1"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</row>
    <row r="245" ht="15.75" customHeight="1">
      <c r="B245" s="374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</row>
    <row r="246" ht="15.75" customHeight="1">
      <c r="B246" s="374"/>
      <c r="C246" s="374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</row>
    <row r="247" ht="15.75" customHeight="1">
      <c r="B247" s="374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</row>
    <row r="248" ht="15.75" customHeight="1"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</row>
    <row r="249" ht="15.75" customHeight="1"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</row>
    <row r="250" ht="15.75" customHeight="1"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</row>
    <row r="251" ht="15.75" customHeight="1">
      <c r="B251" s="374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</row>
    <row r="252" ht="15.75" customHeight="1">
      <c r="B252" s="374"/>
      <c r="C252" s="374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</row>
    <row r="253" ht="15.75" customHeight="1">
      <c r="B253" s="374"/>
      <c r="C253" s="374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</row>
    <row r="254" ht="15.75" customHeight="1">
      <c r="B254" s="374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</row>
    <row r="255" ht="15.75" customHeight="1"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</row>
    <row r="256" ht="15.75" customHeight="1"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</row>
    <row r="257" ht="15.75" customHeight="1"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</row>
    <row r="258" ht="15.75" customHeight="1">
      <c r="B258" s="374"/>
      <c r="C258" s="374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</row>
    <row r="259" ht="15.75" customHeight="1"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</row>
    <row r="260" ht="15.75" customHeight="1"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</row>
    <row r="261" ht="15.75" customHeight="1"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</row>
    <row r="262" ht="15.75" customHeight="1">
      <c r="B262" s="374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</row>
    <row r="263" ht="15.75" customHeight="1">
      <c r="B263" s="374"/>
      <c r="C263" s="374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</row>
    <row r="264" ht="15.75" customHeight="1">
      <c r="B264" s="374"/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</row>
    <row r="265" ht="15.75" customHeight="1"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</row>
    <row r="266" ht="15.75" customHeight="1"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</row>
    <row r="267" ht="15.75" customHeight="1"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</row>
    <row r="268" ht="15.75" customHeight="1">
      <c r="B268" s="374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</row>
    <row r="269" ht="15.75" customHeight="1">
      <c r="B269" s="374"/>
      <c r="C269" s="374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</row>
    <row r="270" ht="15.75" customHeight="1">
      <c r="B270" s="374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</row>
    <row r="271" ht="15.75" customHeight="1">
      <c r="B271" s="374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</row>
    <row r="272" ht="15.75" customHeight="1">
      <c r="B272" s="374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</row>
    <row r="273" ht="15.75" customHeight="1">
      <c r="B273" s="374"/>
      <c r="C273" s="374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</row>
    <row r="274" ht="15.75" customHeight="1">
      <c r="B274" s="374"/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</row>
    <row r="275" ht="15.75" customHeight="1">
      <c r="B275" s="374"/>
      <c r="C275" s="374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</row>
    <row r="276" ht="15.75" customHeight="1">
      <c r="B276" s="374"/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</row>
    <row r="277" ht="15.75" customHeight="1">
      <c r="B277" s="374"/>
      <c r="C277" s="374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</row>
    <row r="278" ht="15.75" customHeight="1"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</row>
    <row r="279" ht="15.75" customHeight="1"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</row>
    <row r="280" ht="15.75" customHeight="1"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</row>
    <row r="281" ht="15.75" customHeight="1"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</row>
    <row r="282" ht="15.75" customHeight="1"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</row>
    <row r="283" ht="15.75" customHeight="1"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</row>
    <row r="284" ht="15.75" customHeight="1"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</row>
    <row r="285" ht="15.75" customHeight="1"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</row>
    <row r="286" ht="15.75" customHeight="1"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</row>
    <row r="287" ht="15.75" customHeight="1">
      <c r="B287" s="374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</row>
    <row r="288" ht="15.75" customHeight="1">
      <c r="B288" s="374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</row>
    <row r="289" ht="15.75" customHeight="1">
      <c r="B289" s="374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</row>
    <row r="290" ht="15.75" customHeight="1">
      <c r="B290" s="374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</row>
    <row r="291" ht="15.75" customHeight="1">
      <c r="B291" s="374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</row>
    <row r="292" ht="15.75" customHeight="1">
      <c r="B292" s="374"/>
      <c r="C292" s="374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</row>
    <row r="293" ht="15.75" customHeight="1">
      <c r="B293" s="374"/>
      <c r="C293" s="374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</row>
    <row r="294" ht="15.75" customHeight="1">
      <c r="B294" s="374"/>
      <c r="C294" s="374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C2:D2"/>
    <mergeCell ref="E2:F2"/>
    <mergeCell ref="G2:H2"/>
    <mergeCell ref="I2:J2"/>
    <mergeCell ref="K2:M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7.71"/>
    <col customWidth="1" min="2" max="2" width="55.29"/>
    <col customWidth="1" min="3" max="3" width="10.71"/>
    <col customWidth="1" hidden="1" min="4" max="4" width="12.29"/>
    <col customWidth="1" min="5" max="5" width="19.29"/>
    <col customWidth="1" hidden="1" min="6" max="6" width="16.29"/>
    <col customWidth="1" hidden="1" min="7" max="7" width="14.43"/>
    <col hidden="1" min="8" max="10" width="14.43"/>
    <col customWidth="1" hidden="1" min="11" max="11" width="14.43"/>
    <col hidden="1" min="12" max="15" width="14.43"/>
  </cols>
  <sheetData>
    <row r="1">
      <c r="A1" s="386"/>
      <c r="B1" s="387"/>
      <c r="C1" s="388"/>
      <c r="D1" s="388"/>
      <c r="E1" s="388"/>
      <c r="F1" s="388"/>
      <c r="G1" s="388"/>
      <c r="H1" s="387"/>
      <c r="I1" s="387"/>
      <c r="J1" s="387"/>
    </row>
    <row r="2">
      <c r="A2" s="386"/>
      <c r="B2" s="389" t="str">
        <f>'RM Rollforward'!B3</f>
        <v>As of June 20, 2025</v>
      </c>
      <c r="C2" s="388"/>
      <c r="D2" s="388"/>
      <c r="E2" s="388"/>
      <c r="F2" s="388"/>
      <c r="G2" s="388"/>
      <c r="H2" s="387"/>
      <c r="I2" s="387"/>
      <c r="J2" s="387"/>
    </row>
    <row r="3">
      <c r="A3" s="390" t="s">
        <v>1620</v>
      </c>
      <c r="B3" s="391" t="s">
        <v>1621</v>
      </c>
      <c r="C3" s="392" t="s">
        <v>1622</v>
      </c>
      <c r="D3" s="393" t="s">
        <v>1562</v>
      </c>
      <c r="E3" s="393" t="s">
        <v>1623</v>
      </c>
      <c r="F3" s="394" t="s">
        <v>1624</v>
      </c>
      <c r="G3" s="395" t="s">
        <v>1625</v>
      </c>
      <c r="H3" s="396" t="s">
        <v>727</v>
      </c>
      <c r="I3" s="396" t="s">
        <v>1626</v>
      </c>
      <c r="J3" s="397" t="s">
        <v>1627</v>
      </c>
      <c r="K3" s="392" t="s">
        <v>1628</v>
      </c>
      <c r="L3" s="393" t="s">
        <v>1629</v>
      </c>
      <c r="M3" s="393" t="s">
        <v>1630</v>
      </c>
      <c r="N3" s="398" t="s">
        <v>1631</v>
      </c>
      <c r="O3" s="399"/>
    </row>
    <row r="4">
      <c r="A4" s="400" t="s">
        <v>634</v>
      </c>
      <c r="B4" s="401" t="s">
        <v>635</v>
      </c>
      <c r="C4" s="402" t="str">
        <f t="shared" ref="C4:C5" si="1">if(E4&lt;=168000,"Critical",IF(E4&lt;=360000,"Low",IF(E4&lt;=600000,"Moderate",IF(E4&lt;=720000,"High"))))</f>
        <v>Critical</v>
      </c>
      <c r="D4" s="403">
        <v>900000.0</v>
      </c>
      <c r="E4" s="404">
        <f>'RM Rollforward'!H62</f>
        <v>0</v>
      </c>
      <c r="F4" s="404"/>
      <c r="G4" s="404"/>
      <c r="H4" s="405"/>
      <c r="I4" s="405"/>
      <c r="J4" s="405"/>
      <c r="K4" s="406">
        <v>360000.0</v>
      </c>
      <c r="L4" s="403"/>
      <c r="M4" s="403">
        <f t="shared" ref="M4:M62" si="2">D4-E4-L4</f>
        <v>900000</v>
      </c>
      <c r="N4" s="403">
        <f t="shared" ref="N4:N62" si="3">E4+L4</f>
        <v>0</v>
      </c>
      <c r="O4" s="403">
        <f t="shared" ref="O4:O62" si="4">N4-D4</f>
        <v>-900000</v>
      </c>
    </row>
    <row r="5">
      <c r="A5" s="407" t="s">
        <v>757</v>
      </c>
      <c r="B5" s="407" t="s">
        <v>758</v>
      </c>
      <c r="C5" s="408" t="str">
        <f t="shared" si="1"/>
        <v>Critical</v>
      </c>
      <c r="D5" s="409">
        <v>0.0</v>
      </c>
      <c r="E5" s="410">
        <f>'RM Rollforward'!H63</f>
        <v>0</v>
      </c>
      <c r="F5" s="410"/>
      <c r="G5" s="410">
        <f t="shared" ref="G5:G24" si="5">E5*J5</f>
        <v>0</v>
      </c>
      <c r="H5" s="411">
        <f>'RM Rollforward'!J86</f>
        <v>150</v>
      </c>
      <c r="I5" s="411">
        <f>'RM Rollforward'!L86</f>
        <v>38100</v>
      </c>
      <c r="J5" s="411"/>
      <c r="K5" s="412">
        <v>0.0</v>
      </c>
      <c r="L5" s="409"/>
      <c r="M5" s="409">
        <f t="shared" si="2"/>
        <v>0</v>
      </c>
      <c r="N5" s="409">
        <f t="shared" si="3"/>
        <v>0</v>
      </c>
      <c r="O5" s="409">
        <f t="shared" si="4"/>
        <v>0</v>
      </c>
    </row>
    <row r="6">
      <c r="A6" s="413" t="s">
        <v>25</v>
      </c>
      <c r="B6" s="413" t="s">
        <v>26</v>
      </c>
      <c r="C6" s="402" t="str">
        <f t="shared" ref="C6:C8" si="6">if(E6&lt;=11000,"Critical",IF(E6&lt;=23000,"Low",IF(E6&lt;=38000,"Moderate",IF(E6&lt;=45000,"High"))))</f>
        <v>Critical</v>
      </c>
      <c r="D6" s="403">
        <v>35000.0</v>
      </c>
      <c r="E6" s="404">
        <f>'RM Rollforward'!H7</f>
        <v>6590</v>
      </c>
      <c r="F6" s="404"/>
      <c r="G6" s="404">
        <f t="shared" si="5"/>
        <v>0</v>
      </c>
      <c r="H6" s="405">
        <f>'RM Rollforward'!J93</f>
        <v>150</v>
      </c>
      <c r="I6" s="405">
        <f>'RM Rollforward'!L93</f>
        <v>30450</v>
      </c>
      <c r="J6" s="405"/>
      <c r="K6" s="406">
        <v>27350.0</v>
      </c>
      <c r="L6" s="414"/>
      <c r="M6" s="403">
        <f t="shared" si="2"/>
        <v>28410</v>
      </c>
      <c r="N6" s="403">
        <f t="shared" si="3"/>
        <v>6590</v>
      </c>
      <c r="O6" s="403">
        <f t="shared" si="4"/>
        <v>-28410</v>
      </c>
    </row>
    <row r="7">
      <c r="A7" s="415" t="s">
        <v>31</v>
      </c>
      <c r="B7" s="415" t="s">
        <v>32</v>
      </c>
      <c r="C7" s="408" t="str">
        <f t="shared" si="6"/>
        <v>Critical</v>
      </c>
      <c r="D7" s="409">
        <v>35000.0</v>
      </c>
      <c r="E7" s="410">
        <f>'RM Rollforward'!H8</f>
        <v>3000</v>
      </c>
      <c r="F7" s="410"/>
      <c r="G7" s="410">
        <f t="shared" si="5"/>
        <v>0</v>
      </c>
      <c r="H7" s="411">
        <f>'RM Rollforward'!J52</f>
        <v>3.1</v>
      </c>
      <c r="I7" s="411">
        <f>'RM Rollforward'!L52</f>
        <v>837000</v>
      </c>
      <c r="J7" s="411"/>
      <c r="K7" s="412">
        <v>6000.0</v>
      </c>
      <c r="L7" s="416"/>
      <c r="M7" s="409">
        <f t="shared" si="2"/>
        <v>32000</v>
      </c>
      <c r="N7" s="409">
        <f t="shared" si="3"/>
        <v>3000</v>
      </c>
      <c r="O7" s="409">
        <f t="shared" si="4"/>
        <v>-32000</v>
      </c>
    </row>
    <row r="8">
      <c r="A8" s="413" t="s">
        <v>124</v>
      </c>
      <c r="B8" s="413" t="s">
        <v>125</v>
      </c>
      <c r="C8" s="402" t="str">
        <f t="shared" si="6"/>
        <v>Critical</v>
      </c>
      <c r="D8" s="403">
        <v>35000.0</v>
      </c>
      <c r="E8" s="404">
        <f>'RM Rollforward'!H9</f>
        <v>0</v>
      </c>
      <c r="F8" s="404"/>
      <c r="G8" s="404">
        <f t="shared" si="5"/>
        <v>0</v>
      </c>
      <c r="H8" s="405">
        <f>'RM Rollforward'!J25</f>
        <v>75</v>
      </c>
      <c r="I8" s="405">
        <f>'RM Rollforward'!L25</f>
        <v>0</v>
      </c>
      <c r="J8" s="405"/>
      <c r="K8" s="406">
        <v>900.0</v>
      </c>
      <c r="L8" s="414"/>
      <c r="M8" s="403">
        <f t="shared" si="2"/>
        <v>35000</v>
      </c>
      <c r="N8" s="403">
        <f t="shared" si="3"/>
        <v>0</v>
      </c>
      <c r="O8" s="403">
        <f t="shared" si="4"/>
        <v>-35000</v>
      </c>
    </row>
    <row r="9">
      <c r="A9" s="415" t="s">
        <v>101</v>
      </c>
      <c r="B9" s="415" t="s">
        <v>102</v>
      </c>
      <c r="C9" s="408" t="str">
        <f>if(E9&lt;=40000,"Critical",IF(E9&lt;=80000,"Low",IF(E9&lt;=100000,"Moderate",IF(E9&lt;=145000,"High"))))</f>
        <v>Critical</v>
      </c>
      <c r="D9" s="409">
        <v>35000.0</v>
      </c>
      <c r="E9" s="410">
        <f>'RM Rollforward'!H10</f>
        <v>22715</v>
      </c>
      <c r="F9" s="410"/>
      <c r="G9" s="410">
        <f t="shared" si="5"/>
        <v>0</v>
      </c>
      <c r="H9" s="411">
        <f>'RM Rollforward'!J72</f>
        <v>1200</v>
      </c>
      <c r="I9" s="411">
        <f>'RM Rollforward'!L72</f>
        <v>140400</v>
      </c>
      <c r="J9" s="411"/>
      <c r="K9" s="412">
        <v>56355.0</v>
      </c>
      <c r="L9" s="416"/>
      <c r="M9" s="409">
        <f t="shared" si="2"/>
        <v>12285</v>
      </c>
      <c r="N9" s="409">
        <f t="shared" si="3"/>
        <v>22715</v>
      </c>
      <c r="O9" s="409">
        <f t="shared" si="4"/>
        <v>-12285</v>
      </c>
    </row>
    <row r="10" hidden="1">
      <c r="A10" s="417" t="s">
        <v>742</v>
      </c>
      <c r="B10" s="417" t="s">
        <v>743</v>
      </c>
      <c r="C10" s="402" t="str">
        <f>if(E10&lt;=175,"Critical",IF(E10&lt;=375,"Low",IF(E10&lt;=625,"Moderate",IF(E10&lt;=750,"High"))))</f>
        <v>Critical</v>
      </c>
      <c r="D10" s="404"/>
      <c r="E10" s="404">
        <f>'RM Rollforward'!H47</f>
        <v>100</v>
      </c>
      <c r="F10" s="404">
        <v>40.0</v>
      </c>
      <c r="G10" s="404">
        <f t="shared" si="5"/>
        <v>100000</v>
      </c>
      <c r="H10" s="405">
        <f>'RM Rollforward'!J53</f>
        <v>2.4</v>
      </c>
      <c r="I10" s="405">
        <f>'RM Rollforward'!L53</f>
        <v>324000</v>
      </c>
      <c r="J10" s="405">
        <v>1000.0</v>
      </c>
      <c r="K10" s="405">
        <f>919+25</f>
        <v>944</v>
      </c>
      <c r="L10" s="404"/>
      <c r="M10" s="403">
        <f t="shared" si="2"/>
        <v>-100</v>
      </c>
      <c r="N10" s="403">
        <f t="shared" si="3"/>
        <v>100</v>
      </c>
      <c r="O10" s="403">
        <f t="shared" si="4"/>
        <v>100</v>
      </c>
    </row>
    <row r="11">
      <c r="A11" s="418" t="s">
        <v>39</v>
      </c>
      <c r="B11" s="418" t="s">
        <v>40</v>
      </c>
      <c r="C11" s="408" t="str">
        <f t="shared" ref="C11:C13" si="7">if(E11&lt;=11000,"Critical",IF(E11&lt;=23000,"Low",IF(E11&lt;=38000,"Moderate",IF(E11&lt;=45000,"High"))))</f>
        <v>Critical</v>
      </c>
      <c r="D11" s="409">
        <v>35000.0</v>
      </c>
      <c r="E11" s="410">
        <f>'RM Rollforward'!H11</f>
        <v>4685</v>
      </c>
      <c r="F11" s="410"/>
      <c r="G11" s="410">
        <f t="shared" si="5"/>
        <v>0</v>
      </c>
      <c r="H11" s="411">
        <f>'RM Rollforward'!J74</f>
        <v>39</v>
      </c>
      <c r="I11" s="411">
        <f>'RM Rollforward'!L74</f>
        <v>22932</v>
      </c>
      <c r="J11" s="411"/>
      <c r="K11" s="412">
        <v>9090.0</v>
      </c>
      <c r="L11" s="409"/>
      <c r="M11" s="409">
        <f t="shared" si="2"/>
        <v>30315</v>
      </c>
      <c r="N11" s="409">
        <f t="shared" si="3"/>
        <v>4685</v>
      </c>
      <c r="O11" s="409">
        <f t="shared" si="4"/>
        <v>-30315</v>
      </c>
    </row>
    <row r="12">
      <c r="A12" s="419" t="s">
        <v>126</v>
      </c>
      <c r="B12" s="419" t="s">
        <v>127</v>
      </c>
      <c r="C12" s="402" t="str">
        <f t="shared" si="7"/>
        <v>Critical</v>
      </c>
      <c r="D12" s="403">
        <v>35000.0</v>
      </c>
      <c r="E12" s="404">
        <f>'RM Rollforward'!H12</f>
        <v>0</v>
      </c>
      <c r="F12" s="404">
        <v>160.0</v>
      </c>
      <c r="G12" s="404">
        <f t="shared" si="5"/>
        <v>0</v>
      </c>
      <c r="H12" s="405">
        <v>42.0</v>
      </c>
      <c r="I12" s="405">
        <f>SUM('RM Rollforward'!L13:L14)</f>
        <v>1503437.5</v>
      </c>
      <c r="J12" s="405">
        <v>30.0</v>
      </c>
      <c r="K12" s="406">
        <v>600.0</v>
      </c>
      <c r="L12" s="414"/>
      <c r="M12" s="403">
        <f t="shared" si="2"/>
        <v>35000</v>
      </c>
      <c r="N12" s="403">
        <f t="shared" si="3"/>
        <v>0</v>
      </c>
      <c r="O12" s="403">
        <f t="shared" si="4"/>
        <v>-35000</v>
      </c>
    </row>
    <row r="13">
      <c r="A13" s="418" t="s">
        <v>199</v>
      </c>
      <c r="B13" s="418" t="s">
        <v>200</v>
      </c>
      <c r="C13" s="408" t="str">
        <f t="shared" si="7"/>
        <v>Critical</v>
      </c>
      <c r="D13" s="409">
        <v>0.0</v>
      </c>
      <c r="E13" s="410">
        <f>'RM Rollforward'!H13</f>
        <v>25</v>
      </c>
      <c r="F13" s="410">
        <v>50.0</v>
      </c>
      <c r="G13" s="410">
        <f t="shared" si="5"/>
        <v>625</v>
      </c>
      <c r="H13" s="411">
        <f>'RM Rollforward'!J7</f>
        <v>45</v>
      </c>
      <c r="I13" s="411">
        <f>SUM('RM Rollforward'!L7:L8)</f>
        <v>431550</v>
      </c>
      <c r="J13" s="411">
        <v>25.0</v>
      </c>
      <c r="K13" s="412">
        <v>0.0</v>
      </c>
      <c r="L13" s="409"/>
      <c r="M13" s="409">
        <f t="shared" si="2"/>
        <v>-25</v>
      </c>
      <c r="N13" s="409">
        <f t="shared" si="3"/>
        <v>25</v>
      </c>
      <c r="O13" s="409">
        <f t="shared" si="4"/>
        <v>25</v>
      </c>
    </row>
    <row r="14">
      <c r="A14" s="419" t="s">
        <v>33</v>
      </c>
      <c r="B14" s="419" t="s">
        <v>34</v>
      </c>
      <c r="C14" s="402" t="str">
        <f>if(E14&lt;=5000,"Critical",IF(E14&lt;=11000,"Low",IF(E14&lt;=18000,"Moderate",IF(E14&lt;=21000,"High"))))</f>
        <v>Critical</v>
      </c>
      <c r="D14" s="403">
        <v>21000.0</v>
      </c>
      <c r="E14" s="404">
        <f>'RM Rollforward'!H22</f>
        <v>0</v>
      </c>
      <c r="F14" s="404"/>
      <c r="G14" s="404">
        <f t="shared" si="5"/>
        <v>0</v>
      </c>
      <c r="H14" s="405">
        <f>'RM Rollforward'!J32</f>
        <v>74</v>
      </c>
      <c r="I14" s="405">
        <f>'RM Rollforward'!L32</f>
        <v>185000</v>
      </c>
      <c r="J14" s="405"/>
      <c r="K14" s="406">
        <v>0.0</v>
      </c>
      <c r="L14" s="403"/>
      <c r="M14" s="403">
        <f t="shared" si="2"/>
        <v>21000</v>
      </c>
      <c r="N14" s="403">
        <f t="shared" si="3"/>
        <v>0</v>
      </c>
      <c r="O14" s="403">
        <f t="shared" si="4"/>
        <v>-21000</v>
      </c>
    </row>
    <row r="15">
      <c r="A15" s="420" t="s">
        <v>109</v>
      </c>
      <c r="B15" s="420" t="s">
        <v>110</v>
      </c>
      <c r="C15" s="408" t="str">
        <f t="shared" ref="C15:C16" si="8">if(E15&lt;=280000,"Critical",IF(E15&lt;=600000,"Low",IF(E15&lt;=1000000,"Moderate",IF(E15&lt;=1200000,"High"))))</f>
        <v>Critical</v>
      </c>
      <c r="D15" s="409">
        <v>900000.0</v>
      </c>
      <c r="E15" s="410">
        <f>'RM Rollforward'!H48</f>
        <v>0</v>
      </c>
      <c r="F15" s="410">
        <v>20.0</v>
      </c>
      <c r="G15" s="410">
        <f t="shared" si="5"/>
        <v>0</v>
      </c>
      <c r="H15" s="411">
        <f>'RM Rollforward'!J55</f>
        <v>9</v>
      </c>
      <c r="I15" s="411">
        <f>'RM Rollforward'!L55</f>
        <v>367200</v>
      </c>
      <c r="J15" s="411">
        <v>600.0</v>
      </c>
      <c r="K15" s="412">
        <v>69000.0</v>
      </c>
      <c r="L15" s="416"/>
      <c r="M15" s="409">
        <f t="shared" si="2"/>
        <v>900000</v>
      </c>
      <c r="N15" s="409">
        <f t="shared" si="3"/>
        <v>0</v>
      </c>
      <c r="O15" s="409">
        <f t="shared" si="4"/>
        <v>-900000</v>
      </c>
    </row>
    <row r="16">
      <c r="A16" s="421" t="s">
        <v>745</v>
      </c>
      <c r="B16" s="421" t="s">
        <v>746</v>
      </c>
      <c r="C16" s="402" t="str">
        <f t="shared" si="8"/>
        <v>Critical</v>
      </c>
      <c r="D16" s="403">
        <v>0.0</v>
      </c>
      <c r="E16" s="404">
        <f>'RM Rollforward'!H49</f>
        <v>33000</v>
      </c>
      <c r="F16" s="404"/>
      <c r="G16" s="404">
        <f t="shared" si="5"/>
        <v>36300000</v>
      </c>
      <c r="H16" s="405">
        <f>'RM Rollforward'!J40</f>
        <v>241</v>
      </c>
      <c r="I16" s="405">
        <f>'RM Rollforward'!L40</f>
        <v>384877</v>
      </c>
      <c r="J16" s="405">
        <v>1100.0</v>
      </c>
      <c r="K16" s="406">
        <v>0.0</v>
      </c>
      <c r="L16" s="403"/>
      <c r="M16" s="403">
        <f t="shared" si="2"/>
        <v>-33000</v>
      </c>
      <c r="N16" s="403">
        <f t="shared" si="3"/>
        <v>33000</v>
      </c>
      <c r="O16" s="403">
        <f t="shared" si="4"/>
        <v>33000</v>
      </c>
    </row>
    <row r="17">
      <c r="A17" s="420" t="s">
        <v>638</v>
      </c>
      <c r="B17" s="420" t="s">
        <v>639</v>
      </c>
      <c r="C17" s="408" t="str">
        <f>if(E17&lt;=84000,"Critical",IF(E17&lt;=180000,"Low",IF(E17&lt;=300000,"Moderate",IF(E17&lt;=360000,"High"))))</f>
        <v>Critical</v>
      </c>
      <c r="D17" s="409">
        <v>200000.0</v>
      </c>
      <c r="E17" s="410">
        <f>'RM Rollforward'!H50</f>
        <v>0</v>
      </c>
      <c r="F17" s="410"/>
      <c r="G17" s="410">
        <f t="shared" si="5"/>
        <v>0</v>
      </c>
      <c r="H17" s="411">
        <f>'RM Rollforward'!J92</f>
        <v>150</v>
      </c>
      <c r="I17" s="411">
        <f>'RM Rollforward'!L92</f>
        <v>1350</v>
      </c>
      <c r="J17" s="411"/>
      <c r="K17" s="412">
        <v>254400.0</v>
      </c>
      <c r="L17" s="409"/>
      <c r="M17" s="409">
        <f t="shared" si="2"/>
        <v>200000</v>
      </c>
      <c r="N17" s="409">
        <f t="shared" si="3"/>
        <v>0</v>
      </c>
      <c r="O17" s="409">
        <f t="shared" si="4"/>
        <v>-200000</v>
      </c>
    </row>
    <row r="18">
      <c r="A18" s="421" t="s">
        <v>21</v>
      </c>
      <c r="B18" s="421" t="s">
        <v>22</v>
      </c>
      <c r="C18" s="402" t="str">
        <f>if(E18&lt;=560,"Critical",IF(E18&lt;=1200,"Low",IF(E18&lt;=2000,"Moderate",IF(E18&lt;=2400,"High"))))</f>
        <v>Low</v>
      </c>
      <c r="D18" s="403">
        <v>0.0</v>
      </c>
      <c r="E18" s="404">
        <f>'RM Rollforward'!H75</f>
        <v>633</v>
      </c>
      <c r="F18" s="404">
        <v>1.0</v>
      </c>
      <c r="G18" s="404">
        <f t="shared" si="5"/>
        <v>759600</v>
      </c>
      <c r="H18" s="405">
        <f>'RM Rollforward'!J60</f>
        <v>0.3</v>
      </c>
      <c r="I18" s="405">
        <f>'RM Rollforward'!L60</f>
        <v>27000</v>
      </c>
      <c r="J18" s="405">
        <v>1200.0</v>
      </c>
      <c r="K18" s="405"/>
      <c r="L18" s="403"/>
      <c r="M18" s="403">
        <f t="shared" si="2"/>
        <v>-633</v>
      </c>
      <c r="N18" s="403">
        <f t="shared" si="3"/>
        <v>633</v>
      </c>
      <c r="O18" s="403">
        <f t="shared" si="4"/>
        <v>633</v>
      </c>
    </row>
    <row r="19">
      <c r="A19" s="422" t="s">
        <v>41</v>
      </c>
      <c r="B19" s="422" t="s">
        <v>42</v>
      </c>
      <c r="C19" s="408" t="str">
        <f>if(E19&lt;=27000,"Critical",IF(E19&lt;=57000,"Low",IF(E19&lt;=94000,"Moderate",IF(E19&lt;=113000,"High"))))</f>
        <v>Critical</v>
      </c>
      <c r="D19" s="409">
        <v>87500.0</v>
      </c>
      <c r="E19" s="410">
        <f>'RM Rollforward'!H15</f>
        <v>1825</v>
      </c>
      <c r="F19" s="410">
        <v>50.0</v>
      </c>
      <c r="G19" s="410">
        <f t="shared" si="5"/>
        <v>54750</v>
      </c>
      <c r="H19" s="411">
        <f>'RM Rollforward'!J11</f>
        <v>48</v>
      </c>
      <c r="I19" s="411">
        <f>SUM('RM Rollforward'!L11:L12)</f>
        <v>224880</v>
      </c>
      <c r="J19" s="411">
        <v>30.0</v>
      </c>
      <c r="K19" s="412">
        <v>55000.0</v>
      </c>
      <c r="L19" s="409"/>
      <c r="M19" s="409">
        <f t="shared" si="2"/>
        <v>85675</v>
      </c>
      <c r="N19" s="409">
        <f t="shared" si="3"/>
        <v>1825</v>
      </c>
      <c r="O19" s="409">
        <f t="shared" si="4"/>
        <v>-85675</v>
      </c>
    </row>
    <row r="20">
      <c r="A20" s="423" t="s">
        <v>185</v>
      </c>
      <c r="B20" s="423" t="s">
        <v>186</v>
      </c>
      <c r="C20" s="402" t="str">
        <f>if(E20&lt;=280,"Critical",IF(E20&lt;=600,"Low",IF(E20&lt;=1000,"Moderate",IF(E20&lt;=1200,"High"))))</f>
        <v>High</v>
      </c>
      <c r="D20" s="403">
        <v>1200.0</v>
      </c>
      <c r="E20" s="404">
        <f>'RM Rollforward'!H70</f>
        <v>1058</v>
      </c>
      <c r="F20" s="404">
        <v>1.0</v>
      </c>
      <c r="G20" s="404">
        <f t="shared" si="5"/>
        <v>26450</v>
      </c>
      <c r="H20" s="405">
        <f>'RM Rollforward'!J45</f>
        <v>130</v>
      </c>
      <c r="I20" s="405">
        <f>'RM Rollforward'!L45</f>
        <v>42250</v>
      </c>
      <c r="J20" s="405">
        <v>25.0</v>
      </c>
      <c r="K20" s="406">
        <v>0.0</v>
      </c>
      <c r="L20" s="403"/>
      <c r="M20" s="403">
        <f t="shared" si="2"/>
        <v>142</v>
      </c>
      <c r="N20" s="403">
        <f t="shared" si="3"/>
        <v>1058</v>
      </c>
      <c r="O20" s="403">
        <f t="shared" si="4"/>
        <v>-142</v>
      </c>
    </row>
    <row r="21">
      <c r="A21" s="415" t="s">
        <v>96</v>
      </c>
      <c r="B21" s="415" t="s">
        <v>97</v>
      </c>
      <c r="C21" s="408" t="str">
        <f>if(E21&lt;=19000,"Critical",IF(E21&lt;=40000,"Low",IF(E21&lt;=67000,"Moderate",IF(E21&lt;=80000,"High"))))</f>
        <v>Critical</v>
      </c>
      <c r="D21" s="409">
        <v>79500.0</v>
      </c>
      <c r="E21" s="410">
        <f>'RM Rollforward'!H20</f>
        <v>10300</v>
      </c>
      <c r="F21" s="410"/>
      <c r="G21" s="410">
        <f t="shared" si="5"/>
        <v>0</v>
      </c>
      <c r="H21" s="411">
        <f>'RM Rollforward'!J30</f>
        <v>75</v>
      </c>
      <c r="I21" s="411">
        <f>'RM Rollforward'!L30</f>
        <v>303750</v>
      </c>
      <c r="J21" s="411"/>
      <c r="K21" s="412">
        <v>87500.0</v>
      </c>
      <c r="L21" s="416"/>
      <c r="M21" s="409">
        <f t="shared" si="2"/>
        <v>69200</v>
      </c>
      <c r="N21" s="409">
        <f t="shared" si="3"/>
        <v>10300</v>
      </c>
      <c r="O21" s="409">
        <f t="shared" si="4"/>
        <v>-69200</v>
      </c>
    </row>
    <row r="22">
      <c r="A22" s="423" t="s">
        <v>144</v>
      </c>
      <c r="B22" s="423" t="s">
        <v>145</v>
      </c>
      <c r="C22" s="402" t="str">
        <f>if(E22&lt;=500,"Critical",IF(E22&lt;=1000,"Low",IF(E22&lt;=1500,"Moderate",IF(E22&lt;=2500,"High"))))</f>
        <v>High</v>
      </c>
      <c r="D22" s="403">
        <v>2500.0</v>
      </c>
      <c r="E22" s="404">
        <f>'RM Rollforward'!H32</f>
        <v>2500</v>
      </c>
      <c r="F22" s="404"/>
      <c r="G22" s="404">
        <f t="shared" si="5"/>
        <v>0</v>
      </c>
      <c r="H22" s="405">
        <f>'RM Rollforward'!J33</f>
        <v>42</v>
      </c>
      <c r="I22" s="405">
        <f>'RM Rollforward'!L33</f>
        <v>0</v>
      </c>
      <c r="J22" s="405"/>
      <c r="K22" s="406">
        <v>2500.0</v>
      </c>
      <c r="L22" s="414"/>
      <c r="M22" s="403">
        <f t="shared" si="2"/>
        <v>0</v>
      </c>
      <c r="N22" s="403">
        <f t="shared" si="3"/>
        <v>2500</v>
      </c>
      <c r="O22" s="403">
        <f t="shared" si="4"/>
        <v>0</v>
      </c>
    </row>
    <row r="23">
      <c r="A23" s="407" t="s">
        <v>738</v>
      </c>
      <c r="B23" s="407" t="s">
        <v>739</v>
      </c>
      <c r="C23" s="408" t="str">
        <f>if(E23&lt;=1100,"Critical",IF(E23&lt;=2200,"Low",IF(E23&lt;=3300,"Moderate",IF(E23&lt;=5500,"High"))))</f>
        <v>High</v>
      </c>
      <c r="D23" s="409">
        <v>5500.0</v>
      </c>
      <c r="E23" s="410">
        <f>'RM Rollforward'!H34</f>
        <v>4400</v>
      </c>
      <c r="F23" s="410"/>
      <c r="G23" s="410">
        <f t="shared" si="5"/>
        <v>0</v>
      </c>
      <c r="H23" s="411">
        <f>'RM Rollforward'!J35</f>
        <v>76</v>
      </c>
      <c r="I23" s="411">
        <f>'RM Rollforward'!L35</f>
        <v>286900</v>
      </c>
      <c r="J23" s="411"/>
      <c r="K23" s="412">
        <v>0.0</v>
      </c>
      <c r="L23" s="409"/>
      <c r="M23" s="409">
        <f t="shared" si="2"/>
        <v>1100</v>
      </c>
      <c r="N23" s="409">
        <f t="shared" si="3"/>
        <v>4400</v>
      </c>
      <c r="O23" s="409">
        <f t="shared" si="4"/>
        <v>-1100</v>
      </c>
    </row>
    <row r="24">
      <c r="A24" s="423" t="s">
        <v>622</v>
      </c>
      <c r="B24" s="423" t="s">
        <v>623</v>
      </c>
      <c r="C24" s="402" t="str">
        <f>if(E24&lt;=10500,"Critical",IF(E24&lt;=21000,"Low",IF(E24&lt;=63000,"Moderate",IF(E24&lt;=120000,"High"))))</f>
        <v>High</v>
      </c>
      <c r="D24" s="403">
        <v>80000.0</v>
      </c>
      <c r="E24" s="404">
        <f>'RM Rollforward'!H56</f>
        <v>73500</v>
      </c>
      <c r="F24" s="404"/>
      <c r="G24" s="404">
        <f t="shared" si="5"/>
        <v>0</v>
      </c>
      <c r="H24" s="405">
        <f>'RM Rollforward'!J64</f>
        <v>0.75</v>
      </c>
      <c r="I24" s="405">
        <f>'RM Rollforward'!L64</f>
        <v>201600</v>
      </c>
      <c r="J24" s="405"/>
      <c r="K24" s="406">
        <v>0.0</v>
      </c>
      <c r="L24" s="403"/>
      <c r="M24" s="403">
        <f t="shared" si="2"/>
        <v>6500</v>
      </c>
      <c r="N24" s="403">
        <f t="shared" si="3"/>
        <v>73500</v>
      </c>
      <c r="O24" s="403">
        <f t="shared" si="4"/>
        <v>-6500</v>
      </c>
    </row>
    <row r="25">
      <c r="A25" s="407" t="s">
        <v>677</v>
      </c>
      <c r="B25" s="407" t="s">
        <v>678</v>
      </c>
      <c r="C25" s="408" t="str">
        <f t="shared" ref="C25:C27" si="9">if(E25&lt;=10,"Critical",IF(E25&lt;=50,"Low",IF(E25&lt;=150,"Moderate",IF(E25&lt;250,"High"))))</f>
        <v>High</v>
      </c>
      <c r="D25" s="409">
        <v>0.0</v>
      </c>
      <c r="E25" s="410">
        <f>'RM Rollforward'!H78</f>
        <v>180</v>
      </c>
      <c r="F25" s="410"/>
      <c r="G25" s="410"/>
      <c r="H25" s="411"/>
      <c r="I25" s="411"/>
      <c r="J25" s="411"/>
      <c r="K25" s="412">
        <v>0.0</v>
      </c>
      <c r="L25" s="409"/>
      <c r="M25" s="409">
        <f t="shared" si="2"/>
        <v>-180</v>
      </c>
      <c r="N25" s="409">
        <f t="shared" si="3"/>
        <v>180</v>
      </c>
      <c r="O25" s="409">
        <f t="shared" si="4"/>
        <v>180</v>
      </c>
    </row>
    <row r="26">
      <c r="A26" s="423" t="s">
        <v>766</v>
      </c>
      <c r="B26" s="423" t="s">
        <v>767</v>
      </c>
      <c r="C26" s="402" t="str">
        <f t="shared" si="9"/>
        <v>High</v>
      </c>
      <c r="D26" s="403">
        <v>0.0</v>
      </c>
      <c r="E26" s="404">
        <f>'RM Rollforward'!H79</f>
        <v>222</v>
      </c>
      <c r="F26" s="404"/>
      <c r="G26" s="404"/>
      <c r="H26" s="405"/>
      <c r="I26" s="405"/>
      <c r="J26" s="405"/>
      <c r="K26" s="406">
        <v>0.0</v>
      </c>
      <c r="L26" s="403"/>
      <c r="M26" s="403">
        <f t="shared" si="2"/>
        <v>-222</v>
      </c>
      <c r="N26" s="403">
        <f t="shared" si="3"/>
        <v>222</v>
      </c>
      <c r="O26" s="403">
        <f t="shared" si="4"/>
        <v>222</v>
      </c>
    </row>
    <row r="27">
      <c r="A27" s="407" t="s">
        <v>688</v>
      </c>
      <c r="B27" s="407" t="s">
        <v>689</v>
      </c>
      <c r="C27" s="408" t="str">
        <f t="shared" si="9"/>
        <v>High</v>
      </c>
      <c r="D27" s="409">
        <v>0.0</v>
      </c>
      <c r="E27" s="410">
        <f>'RM Rollforward'!H82</f>
        <v>180</v>
      </c>
      <c r="F27" s="410"/>
      <c r="G27" s="410"/>
      <c r="H27" s="411"/>
      <c r="I27" s="411"/>
      <c r="J27" s="411"/>
      <c r="K27" s="412">
        <v>0.0</v>
      </c>
      <c r="L27" s="409"/>
      <c r="M27" s="409">
        <f t="shared" si="2"/>
        <v>-180</v>
      </c>
      <c r="N27" s="409">
        <f t="shared" si="3"/>
        <v>180</v>
      </c>
      <c r="O27" s="409">
        <f t="shared" si="4"/>
        <v>180</v>
      </c>
    </row>
    <row r="28">
      <c r="A28" s="423" t="s">
        <v>768</v>
      </c>
      <c r="B28" s="423" t="s">
        <v>769</v>
      </c>
      <c r="C28" s="402" t="str">
        <f>if(E28&lt;=10,"Critical",IF(E28&lt;=50,"Low",IF(E28&lt;=150,"Moderate",IF(E28&lt;200,"High"))))</f>
        <v>High</v>
      </c>
      <c r="D28" s="403">
        <v>0.0</v>
      </c>
      <c r="E28" s="404">
        <f>'RM Rollforward'!H83</f>
        <v>170</v>
      </c>
      <c r="F28" s="404"/>
      <c r="G28" s="404"/>
      <c r="H28" s="405"/>
      <c r="I28" s="405"/>
      <c r="J28" s="405"/>
      <c r="K28" s="406">
        <v>0.0</v>
      </c>
      <c r="L28" s="403"/>
      <c r="M28" s="403">
        <f t="shared" si="2"/>
        <v>-170</v>
      </c>
      <c r="N28" s="403">
        <f t="shared" si="3"/>
        <v>170</v>
      </c>
      <c r="O28" s="403">
        <f t="shared" si="4"/>
        <v>170</v>
      </c>
    </row>
    <row r="29">
      <c r="A29" s="415" t="s">
        <v>53</v>
      </c>
      <c r="B29" s="415" t="s">
        <v>54</v>
      </c>
      <c r="C29" s="408" t="str">
        <f>if(E29&lt;=3000,"Critical",IF(E29&lt;=6000,"Low",IF(E29&lt;=12000,"Moderate",IF(E29&lt;=30000,"High"))))</f>
        <v>High</v>
      </c>
      <c r="D29" s="409">
        <v>0.0</v>
      </c>
      <c r="E29" s="410">
        <f>'RM Rollforward'!H17</f>
        <v>24625</v>
      </c>
      <c r="F29" s="410">
        <v>10.0</v>
      </c>
      <c r="G29" s="410">
        <f t="shared" ref="G29:G43" si="10">E29*J29</f>
        <v>615625</v>
      </c>
      <c r="H29" s="411">
        <f>'RM Rollforward'!J39</f>
        <v>201</v>
      </c>
      <c r="I29" s="411">
        <f>'RM Rollforward'!L39</f>
        <v>290244</v>
      </c>
      <c r="J29" s="411">
        <v>25.0</v>
      </c>
      <c r="K29" s="412">
        <v>0.0</v>
      </c>
      <c r="L29" s="409"/>
      <c r="M29" s="409">
        <f t="shared" si="2"/>
        <v>-24625</v>
      </c>
      <c r="N29" s="409">
        <f t="shared" si="3"/>
        <v>24625</v>
      </c>
      <c r="O29" s="409">
        <f t="shared" si="4"/>
        <v>24625</v>
      </c>
    </row>
    <row r="30">
      <c r="A30" s="423" t="s">
        <v>113</v>
      </c>
      <c r="B30" s="423" t="s">
        <v>114</v>
      </c>
      <c r="C30" s="402" t="str">
        <f>if(E30&lt;=20000,"Critical",IF(E30&lt;=40000,"Low",IF(E30&lt;=60000,"Moderate",IF(E30&lt;=150000,"High"))))</f>
        <v>High</v>
      </c>
      <c r="D30" s="403">
        <v>0.0</v>
      </c>
      <c r="E30" s="404">
        <f>'RM Rollforward'!H54</f>
        <v>129000</v>
      </c>
      <c r="F30" s="404">
        <v>1.0</v>
      </c>
      <c r="G30" s="404">
        <f t="shared" si="10"/>
        <v>283800000</v>
      </c>
      <c r="H30" s="405">
        <f>'RM Rollforward'!J58</f>
        <v>3.4</v>
      </c>
      <c r="I30" s="405">
        <f>'RM Rollforward'!L58</f>
        <v>39270</v>
      </c>
      <c r="J30" s="405">
        <v>2200.0</v>
      </c>
      <c r="K30" s="406">
        <v>86000.0</v>
      </c>
      <c r="L30" s="403"/>
      <c r="M30" s="403">
        <f t="shared" si="2"/>
        <v>-129000</v>
      </c>
      <c r="N30" s="403">
        <f t="shared" si="3"/>
        <v>129000</v>
      </c>
      <c r="O30" s="403">
        <f t="shared" si="4"/>
        <v>129000</v>
      </c>
    </row>
    <row r="31">
      <c r="A31" s="407" t="s">
        <v>214</v>
      </c>
      <c r="B31" s="407" t="s">
        <v>215</v>
      </c>
      <c r="C31" s="408" t="str">
        <f>if(E31&lt;=30800,"Critical",IF(E31&lt;=66000,"Low",IF(E31&lt;=110000,"Moderate",IF(E31&lt;=141000,"High"))))</f>
        <v>High</v>
      </c>
      <c r="D31" s="409">
        <v>0.0</v>
      </c>
      <c r="E31" s="410">
        <f>'RM Rollforward'!H53</f>
        <v>135000</v>
      </c>
      <c r="F31" s="410">
        <v>28.0</v>
      </c>
      <c r="G31" s="410">
        <f t="shared" si="10"/>
        <v>3375000</v>
      </c>
      <c r="H31" s="411">
        <f>'RM Rollforward'!J28</f>
        <v>75</v>
      </c>
      <c r="I31" s="411">
        <f>'RM Rollforward'!L28</f>
        <v>20625</v>
      </c>
      <c r="J31" s="411">
        <v>25.0</v>
      </c>
      <c r="K31" s="412">
        <v>0.0</v>
      </c>
      <c r="L31" s="409"/>
      <c r="M31" s="409">
        <f t="shared" si="2"/>
        <v>-135000</v>
      </c>
      <c r="N31" s="409">
        <f t="shared" si="3"/>
        <v>135000</v>
      </c>
      <c r="O31" s="409">
        <f t="shared" si="4"/>
        <v>135000</v>
      </c>
    </row>
    <row r="32">
      <c r="A32" s="423" t="s">
        <v>148</v>
      </c>
      <c r="B32" s="423" t="s">
        <v>149</v>
      </c>
      <c r="C32" s="402" t="str">
        <f>if(E32&lt;=20,"Critical",IF(E32&lt;=40,"Low",IF(E32&lt;=80,"Moderate",IF(E32&lt;=200,"High"))))</f>
        <v>High</v>
      </c>
      <c r="D32" s="403">
        <v>70.0</v>
      </c>
      <c r="E32" s="404">
        <f>'RM Rollforward'!H72</f>
        <v>117</v>
      </c>
      <c r="F32" s="404"/>
      <c r="G32" s="404">
        <f t="shared" si="10"/>
        <v>0</v>
      </c>
      <c r="H32" s="405">
        <f>'RM Rollforward'!J88</f>
        <v>150</v>
      </c>
      <c r="I32" s="405">
        <f>'RM Rollforward'!L88</f>
        <v>0</v>
      </c>
      <c r="J32" s="405"/>
      <c r="K32" s="406">
        <v>100.0</v>
      </c>
      <c r="L32" s="403"/>
      <c r="M32" s="403">
        <f t="shared" si="2"/>
        <v>-47</v>
      </c>
      <c r="N32" s="403">
        <f t="shared" si="3"/>
        <v>117</v>
      </c>
      <c r="O32" s="403">
        <f t="shared" si="4"/>
        <v>47</v>
      </c>
    </row>
    <row r="33">
      <c r="A33" s="415" t="s">
        <v>61</v>
      </c>
      <c r="B33" s="415" t="s">
        <v>62</v>
      </c>
      <c r="C33" s="408" t="str">
        <f>if(E33&lt;=6000,"Critical",IF(E33&lt;=13000,"Low",IF(E33&lt;=22000,"Moderate",IF(E33&lt;=26000,"High"))))</f>
        <v>Moderate</v>
      </c>
      <c r="D33" s="409">
        <v>25500.0</v>
      </c>
      <c r="E33" s="410">
        <f>'RM Rollforward'!H14</f>
        <v>18875</v>
      </c>
      <c r="F33" s="410">
        <v>150.0</v>
      </c>
      <c r="G33" s="410">
        <f t="shared" si="10"/>
        <v>471875</v>
      </c>
      <c r="H33" s="411">
        <v>75.0</v>
      </c>
      <c r="I33" s="411">
        <f>'RM Rollforward'!L21</f>
        <v>692250</v>
      </c>
      <c r="J33" s="411">
        <v>25.0</v>
      </c>
      <c r="K33" s="412">
        <v>17500.0</v>
      </c>
      <c r="L33" s="409">
        <v>17500.0</v>
      </c>
      <c r="M33" s="409">
        <f t="shared" si="2"/>
        <v>-10875</v>
      </c>
      <c r="N33" s="409">
        <f t="shared" si="3"/>
        <v>36375</v>
      </c>
      <c r="O33" s="409">
        <f t="shared" si="4"/>
        <v>10875</v>
      </c>
    </row>
    <row r="34">
      <c r="A34" s="423" t="s">
        <v>157</v>
      </c>
      <c r="B34" s="423" t="s">
        <v>158</v>
      </c>
      <c r="C34" s="402" t="str">
        <f>if(E34&lt;=350,"Critical",IF(E34&lt;=750,"Low",IF(E34&lt;=1250,"Moderate",IF(E34&lt;=1500,"High"))))</f>
        <v>High</v>
      </c>
      <c r="D34" s="403">
        <v>1000.0</v>
      </c>
      <c r="E34" s="404">
        <f>'RM Rollforward'!H38</f>
        <v>1300</v>
      </c>
      <c r="F34" s="404">
        <v>50.0</v>
      </c>
      <c r="G34" s="404">
        <f t="shared" si="10"/>
        <v>39000</v>
      </c>
      <c r="H34" s="405">
        <v>48.0</v>
      </c>
      <c r="I34" s="405">
        <f>SUM('RM Rollforward'!L15:L16)</f>
        <v>190162.5</v>
      </c>
      <c r="J34" s="405">
        <v>30.0</v>
      </c>
      <c r="K34" s="406">
        <v>1000.0</v>
      </c>
      <c r="L34" s="403"/>
      <c r="M34" s="403">
        <f t="shared" si="2"/>
        <v>-300</v>
      </c>
      <c r="N34" s="403">
        <f t="shared" si="3"/>
        <v>1300</v>
      </c>
      <c r="O34" s="403">
        <f t="shared" si="4"/>
        <v>300</v>
      </c>
    </row>
    <row r="35">
      <c r="A35" s="407" t="s">
        <v>162</v>
      </c>
      <c r="B35" s="407" t="s">
        <v>163</v>
      </c>
      <c r="C35" s="408" t="str">
        <f>if(E35&lt;=200,"Critical",IF(E35&lt;=400,"Low",IF(E35&lt;=800,"Moderate",IF(E35&lt;=2000,"High"))))</f>
        <v>High</v>
      </c>
      <c r="D35" s="409">
        <v>1000.0</v>
      </c>
      <c r="E35" s="410">
        <f>'RM Rollforward'!H40</f>
        <v>1597</v>
      </c>
      <c r="F35" s="410"/>
      <c r="G35" s="410">
        <f t="shared" si="10"/>
        <v>0</v>
      </c>
      <c r="H35" s="411">
        <f>'RM Rollforward'!J22</f>
        <v>57</v>
      </c>
      <c r="I35" s="411">
        <f>'RM Rollforward'!L22</f>
        <v>0</v>
      </c>
      <c r="J35" s="411"/>
      <c r="K35" s="412">
        <v>25.0</v>
      </c>
      <c r="L35" s="409"/>
      <c r="M35" s="409">
        <f t="shared" si="2"/>
        <v>-597</v>
      </c>
      <c r="N35" s="409">
        <f t="shared" si="3"/>
        <v>1597</v>
      </c>
      <c r="O35" s="409">
        <f t="shared" si="4"/>
        <v>597</v>
      </c>
    </row>
    <row r="36">
      <c r="A36" s="423" t="s">
        <v>91</v>
      </c>
      <c r="B36" s="423" t="s">
        <v>92</v>
      </c>
      <c r="C36" s="402" t="str">
        <f>if(E36&lt;=8400,"Critical",IF(E36&lt;=18000,"Low",IF(E36&lt;=30000,"Moderate",IF(E36&lt;=60000,"High"))))</f>
        <v>High</v>
      </c>
      <c r="D36" s="403">
        <v>40000.0</v>
      </c>
      <c r="E36" s="404">
        <f>'RM Rollforward'!H55</f>
        <v>40800</v>
      </c>
      <c r="F36" s="404"/>
      <c r="G36" s="404">
        <f t="shared" si="10"/>
        <v>0</v>
      </c>
      <c r="H36" s="405">
        <f>'RM Rollforward'!J56</f>
        <v>0.6</v>
      </c>
      <c r="I36" s="405">
        <f>'RM Rollforward'!L56</f>
        <v>44100</v>
      </c>
      <c r="J36" s="405"/>
      <c r="K36" s="406">
        <v>60000.0</v>
      </c>
      <c r="L36" s="403"/>
      <c r="M36" s="403">
        <f t="shared" si="2"/>
        <v>-800</v>
      </c>
      <c r="N36" s="403">
        <f t="shared" si="3"/>
        <v>40800</v>
      </c>
      <c r="O36" s="403">
        <f t="shared" si="4"/>
        <v>800</v>
      </c>
    </row>
    <row r="37">
      <c r="A37" s="407" t="s">
        <v>69</v>
      </c>
      <c r="B37" s="424" t="s">
        <v>70</v>
      </c>
      <c r="C37" s="408" t="str">
        <f>if(E37&lt;=168000,"Critical",IF(E37&lt;=360000,"Low",IF(E37&lt;=600000,"Moderate",IF(E37&lt;=1000000,"High"))))</f>
        <v>High</v>
      </c>
      <c r="D37" s="409">
        <v>720000.0</v>
      </c>
      <c r="E37" s="410">
        <f>'RM Rollforward'!H68</f>
        <v>897000</v>
      </c>
      <c r="F37" s="410"/>
      <c r="G37" s="410">
        <f t="shared" si="10"/>
        <v>0</v>
      </c>
      <c r="H37" s="411">
        <f>'RM Rollforward'!J29</f>
        <v>75</v>
      </c>
      <c r="I37" s="411">
        <f>'RM Rollforward'!L29</f>
        <v>511875</v>
      </c>
      <c r="J37" s="411"/>
      <c r="K37" s="412">
        <v>394000.0</v>
      </c>
      <c r="L37" s="416"/>
      <c r="M37" s="409">
        <f t="shared" si="2"/>
        <v>-177000</v>
      </c>
      <c r="N37" s="409">
        <f t="shared" si="3"/>
        <v>897000</v>
      </c>
      <c r="O37" s="409">
        <f t="shared" si="4"/>
        <v>177000</v>
      </c>
    </row>
    <row r="38">
      <c r="A38" s="423" t="s">
        <v>160</v>
      </c>
      <c r="B38" s="423" t="s">
        <v>161</v>
      </c>
      <c r="C38" s="402" t="str">
        <f>if(E38&lt;=175,"Critical",IF(E38&lt;=375,"Low",IF(E38&lt;=625,"Moderate",IF(E38&lt;=2000,"High"))))</f>
        <v>High</v>
      </c>
      <c r="D38" s="403">
        <v>750.0</v>
      </c>
      <c r="E38" s="404">
        <f>'RM Rollforward'!H39</f>
        <v>1444</v>
      </c>
      <c r="F38" s="404">
        <v>10.0</v>
      </c>
      <c r="G38" s="404">
        <f t="shared" si="10"/>
        <v>43320</v>
      </c>
      <c r="H38" s="405">
        <f>'RM Rollforward'!J24</f>
        <v>75</v>
      </c>
      <c r="I38" s="405">
        <f>'RM Rollforward'!L24</f>
        <v>75000</v>
      </c>
      <c r="J38" s="405">
        <v>30.0</v>
      </c>
      <c r="K38" s="406">
        <v>1000.0</v>
      </c>
      <c r="L38" s="403"/>
      <c r="M38" s="403">
        <f t="shared" si="2"/>
        <v>-694</v>
      </c>
      <c r="N38" s="403">
        <f t="shared" si="3"/>
        <v>1444</v>
      </c>
      <c r="O38" s="403">
        <f t="shared" si="4"/>
        <v>694</v>
      </c>
    </row>
    <row r="39">
      <c r="A39" s="407" t="s">
        <v>165</v>
      </c>
      <c r="B39" s="407" t="s">
        <v>166</v>
      </c>
      <c r="C39" s="408" t="str">
        <f>if(E39&lt;=350,"Critical",IF(E39&lt;=750,"Low",IF(E39&lt;=1250,"Moderate",IF(E39&lt;=2000,"High"))))</f>
        <v>High</v>
      </c>
      <c r="D39" s="409">
        <v>1000.0</v>
      </c>
      <c r="E39" s="410">
        <f>'RM Rollforward'!H41</f>
        <v>1625</v>
      </c>
      <c r="F39" s="410">
        <v>16.0</v>
      </c>
      <c r="G39" s="410">
        <f t="shared" si="10"/>
        <v>2437500</v>
      </c>
      <c r="H39" s="411">
        <f>'RM Rollforward'!J75</f>
        <v>10</v>
      </c>
      <c r="I39" s="411">
        <f>'RM Rollforward'!L75</f>
        <v>6330</v>
      </c>
      <c r="J39" s="411">
        <v>1500.0</v>
      </c>
      <c r="K39" s="412">
        <v>1000.0</v>
      </c>
      <c r="L39" s="409"/>
      <c r="M39" s="409">
        <f t="shared" si="2"/>
        <v>-625</v>
      </c>
      <c r="N39" s="409">
        <f t="shared" si="3"/>
        <v>1625</v>
      </c>
      <c r="O39" s="409">
        <f t="shared" si="4"/>
        <v>625</v>
      </c>
    </row>
    <row r="40">
      <c r="A40" s="423" t="s">
        <v>751</v>
      </c>
      <c r="B40" s="423" t="s">
        <v>752</v>
      </c>
      <c r="C40" s="402" t="str">
        <f>if(E40&lt;=8400,"Critical",IF(E40&lt;=18000,"Low",IF(E40&lt;=30000,"Moderate",IF(E40&lt;=36000,"High"))))</f>
        <v>Low</v>
      </c>
      <c r="D40" s="403">
        <v>0.0</v>
      </c>
      <c r="E40" s="404">
        <f>'RM Rollforward'!H58</f>
        <v>11550</v>
      </c>
      <c r="F40" s="404">
        <v>2.0</v>
      </c>
      <c r="G40" s="404">
        <f t="shared" si="10"/>
        <v>11550</v>
      </c>
      <c r="H40" s="405">
        <f>'RM Rollforward'!J78</f>
        <v>300</v>
      </c>
      <c r="I40" s="405">
        <f>'RM Rollforward'!L78</f>
        <v>54000</v>
      </c>
      <c r="J40" s="405">
        <v>1.0</v>
      </c>
      <c r="K40" s="406">
        <v>0.0</v>
      </c>
      <c r="L40" s="403"/>
      <c r="M40" s="403">
        <f t="shared" si="2"/>
        <v>-11550</v>
      </c>
      <c r="N40" s="403">
        <f t="shared" si="3"/>
        <v>11550</v>
      </c>
      <c r="O40" s="403">
        <f t="shared" si="4"/>
        <v>11550</v>
      </c>
    </row>
    <row r="41">
      <c r="A41" s="407" t="s">
        <v>647</v>
      </c>
      <c r="B41" s="407" t="s">
        <v>648</v>
      </c>
      <c r="C41" s="408" t="str">
        <f>if(E41&lt;=175,"Critical",IF(E41&lt;=375,"Low",IF(E41&lt;=625,"Moderate",IF(E41&lt;=750,"High"))))</f>
        <v>Low</v>
      </c>
      <c r="D41" s="409">
        <v>500.0</v>
      </c>
      <c r="E41" s="410">
        <f>'RM Rollforward'!H45</f>
        <v>325</v>
      </c>
      <c r="F41" s="410"/>
      <c r="G41" s="410">
        <f t="shared" si="10"/>
        <v>0</v>
      </c>
      <c r="H41" s="411">
        <f>'RM Rollforward'!J69</f>
        <v>0.7</v>
      </c>
      <c r="I41" s="411">
        <f>'RM Rollforward'!L69</f>
        <v>269920</v>
      </c>
      <c r="J41" s="411"/>
      <c r="K41" s="412">
        <v>0.0</v>
      </c>
      <c r="L41" s="416"/>
      <c r="M41" s="409">
        <f t="shared" si="2"/>
        <v>175</v>
      </c>
      <c r="N41" s="409">
        <f t="shared" si="3"/>
        <v>325</v>
      </c>
      <c r="O41" s="409">
        <f t="shared" si="4"/>
        <v>-175</v>
      </c>
    </row>
    <row r="42">
      <c r="A42" s="413" t="s">
        <v>643</v>
      </c>
      <c r="B42" s="413" t="s">
        <v>644</v>
      </c>
      <c r="C42" s="402" t="str">
        <f>if(E42&lt;=2200,"Critical",IF(E42&lt;=5000,"Low",IF(E42&lt;=7500,"Moderate",IF(E42&lt;=9000,"High"))))</f>
        <v>Critical</v>
      </c>
      <c r="D42" s="403">
        <v>9000.0</v>
      </c>
      <c r="E42" s="404">
        <f>'RM Rollforward'!H18</f>
        <v>900</v>
      </c>
      <c r="F42" s="404">
        <v>20.0</v>
      </c>
      <c r="G42" s="404">
        <f t="shared" si="10"/>
        <v>22500</v>
      </c>
      <c r="H42" s="405">
        <f>'RM Rollforward'!J41</f>
        <v>188</v>
      </c>
      <c r="I42" s="405">
        <f>'RM Rollforward'!L41</f>
        <v>305500</v>
      </c>
      <c r="J42" s="405">
        <v>25.0</v>
      </c>
      <c r="K42" s="406">
        <v>0.0</v>
      </c>
      <c r="L42" s="414"/>
      <c r="M42" s="403">
        <f t="shared" si="2"/>
        <v>8100</v>
      </c>
      <c r="N42" s="403">
        <f t="shared" si="3"/>
        <v>900</v>
      </c>
      <c r="O42" s="403">
        <f t="shared" si="4"/>
        <v>-8100</v>
      </c>
    </row>
    <row r="43">
      <c r="A43" s="415" t="s">
        <v>645</v>
      </c>
      <c r="B43" s="415" t="s">
        <v>646</v>
      </c>
      <c r="C43" s="408" t="str">
        <f>if(E43&lt;=600,"Critical",IF(E43&lt;=1200,"Low",IF(E43&lt;=2400,"Moderate",IF(E43&lt;=4800,"High"))))</f>
        <v>Critical</v>
      </c>
      <c r="D43" s="409">
        <v>2500.0</v>
      </c>
      <c r="E43" s="410">
        <f>'RM Rollforward'!H19</f>
        <v>300</v>
      </c>
      <c r="F43" s="410"/>
      <c r="G43" s="410">
        <f t="shared" si="10"/>
        <v>0</v>
      </c>
      <c r="H43" s="411">
        <v>45.0</v>
      </c>
      <c r="I43" s="411">
        <f>SUM('RM Rollforward'!L19)</f>
        <v>15000</v>
      </c>
      <c r="J43" s="411"/>
      <c r="K43" s="412">
        <v>0.0</v>
      </c>
      <c r="L43" s="416"/>
      <c r="M43" s="409">
        <f t="shared" si="2"/>
        <v>2200</v>
      </c>
      <c r="N43" s="409">
        <f t="shared" si="3"/>
        <v>300</v>
      </c>
      <c r="O43" s="409">
        <f t="shared" si="4"/>
        <v>-2200</v>
      </c>
    </row>
    <row r="44">
      <c r="A44" s="423" t="s">
        <v>770</v>
      </c>
      <c r="B44" s="423" t="s">
        <v>771</v>
      </c>
      <c r="C44" s="402" t="str">
        <f>if(E44&lt;=10,"Critical",IF(E44&lt;=50,"Low",IF(E44&lt;=150,"Moderate",IF(E44&lt;200,"High"))))</f>
        <v>Low</v>
      </c>
      <c r="D44" s="403">
        <v>0.0</v>
      </c>
      <c r="E44" s="404">
        <f>'RM Rollforward'!H84</f>
        <v>50</v>
      </c>
      <c r="F44" s="404"/>
      <c r="G44" s="404"/>
      <c r="H44" s="405"/>
      <c r="I44" s="405"/>
      <c r="J44" s="405"/>
      <c r="K44" s="406">
        <v>0.0</v>
      </c>
      <c r="L44" s="414"/>
      <c r="M44" s="403">
        <f t="shared" si="2"/>
        <v>-50</v>
      </c>
      <c r="N44" s="403">
        <f t="shared" si="3"/>
        <v>50</v>
      </c>
      <c r="O44" s="403">
        <f t="shared" si="4"/>
        <v>50</v>
      </c>
    </row>
    <row r="45">
      <c r="A45" s="407" t="s">
        <v>16</v>
      </c>
      <c r="B45" s="407" t="s">
        <v>17</v>
      </c>
      <c r="C45" s="408" t="str">
        <f>if(E45&lt;=420,"Critical",IF(E45&lt;=900,"Low",IF(E45&lt;=1500,"Moderate",IF(E45&lt;=1800,"High"))))</f>
        <v>Low</v>
      </c>
      <c r="D45" s="410"/>
      <c r="E45" s="410">
        <f>'RM Rollforward'!H74</f>
        <v>588</v>
      </c>
      <c r="F45" s="410">
        <v>1.0</v>
      </c>
      <c r="G45" s="410">
        <f t="shared" ref="G45:G50" si="11">E45*J45</f>
        <v>705600</v>
      </c>
      <c r="H45" s="411">
        <f>'RM Rollforward'!J62</f>
        <v>0.3</v>
      </c>
      <c r="I45" s="411">
        <f>'RM Rollforward'!L62</f>
        <v>0</v>
      </c>
      <c r="J45" s="411">
        <v>1200.0</v>
      </c>
      <c r="K45" s="412">
        <v>0.0</v>
      </c>
      <c r="L45" s="416"/>
      <c r="M45" s="409">
        <f t="shared" si="2"/>
        <v>-588</v>
      </c>
      <c r="N45" s="409">
        <f t="shared" si="3"/>
        <v>588</v>
      </c>
      <c r="O45" s="409">
        <f t="shared" si="4"/>
        <v>588</v>
      </c>
    </row>
    <row r="46">
      <c r="A46" s="413" t="s">
        <v>47</v>
      </c>
      <c r="B46" s="413" t="s">
        <v>48</v>
      </c>
      <c r="C46" s="402" t="str">
        <f>if(E46&lt;=7000,"Critical",IF(E46&lt;=15000,"Low",IF(E46&lt;=18000,"Moderate",IF(E46&lt;=30000,"High"))))</f>
        <v>Low</v>
      </c>
      <c r="D46" s="403">
        <v>30000.0</v>
      </c>
      <c r="E46" s="404">
        <f>'RM Rollforward'!H21</f>
        <v>9750</v>
      </c>
      <c r="F46" s="404"/>
      <c r="G46" s="404">
        <f t="shared" si="11"/>
        <v>0</v>
      </c>
      <c r="H46" s="405">
        <f>'RM Rollforward'!J31</f>
        <v>75</v>
      </c>
      <c r="I46" s="405">
        <f>'RM Rollforward'!L31</f>
        <v>15000</v>
      </c>
      <c r="J46" s="405"/>
      <c r="K46" s="406">
        <v>0.0</v>
      </c>
      <c r="L46" s="414"/>
      <c r="M46" s="403">
        <f t="shared" si="2"/>
        <v>20250</v>
      </c>
      <c r="N46" s="403">
        <f t="shared" si="3"/>
        <v>9750</v>
      </c>
      <c r="O46" s="403">
        <f t="shared" si="4"/>
        <v>-20250</v>
      </c>
    </row>
    <row r="47">
      <c r="A47" s="407" t="s">
        <v>627</v>
      </c>
      <c r="B47" s="407" t="s">
        <v>628</v>
      </c>
      <c r="C47" s="408" t="str">
        <f>if(E47&lt;=1750,"Critical",IF(E47&lt;=3750,"Low",IF(E47&lt;=6250,"Moderate",IF(E47&lt;=7500,"High"))))</f>
        <v>Low</v>
      </c>
      <c r="D47" s="409">
        <v>7500.0</v>
      </c>
      <c r="E47" s="410">
        <f>'RM Rollforward'!H73</f>
        <v>2445</v>
      </c>
      <c r="F47" s="410"/>
      <c r="G47" s="410">
        <f t="shared" si="11"/>
        <v>0</v>
      </c>
      <c r="H47" s="411">
        <f>'RM Rollforward'!J61</f>
        <v>0.3</v>
      </c>
      <c r="I47" s="411">
        <f>'RM Rollforward'!L61</f>
        <v>59400</v>
      </c>
      <c r="J47" s="411"/>
      <c r="K47" s="412">
        <v>0.0</v>
      </c>
      <c r="L47" s="416"/>
      <c r="M47" s="409">
        <f t="shared" si="2"/>
        <v>5055</v>
      </c>
      <c r="N47" s="409">
        <f t="shared" si="3"/>
        <v>2445</v>
      </c>
      <c r="O47" s="409">
        <f t="shared" si="4"/>
        <v>-5055</v>
      </c>
    </row>
    <row r="48">
      <c r="A48" s="423" t="s">
        <v>649</v>
      </c>
      <c r="B48" s="423" t="s">
        <v>650</v>
      </c>
      <c r="C48" s="402" t="str">
        <f>if(E48&lt;=175,"Critical",IF(E48&lt;=375,"Low",IF(E48&lt;=625,"Moderate",IF(E48&lt;=750,"High"))))</f>
        <v>Low</v>
      </c>
      <c r="D48" s="403">
        <v>750.0</v>
      </c>
      <c r="E48" s="404">
        <f>'RM Rollforward'!H46</f>
        <v>375</v>
      </c>
      <c r="F48" s="404"/>
      <c r="G48" s="404">
        <f t="shared" si="11"/>
        <v>0</v>
      </c>
      <c r="H48" s="405">
        <f>'RM Rollforward'!J54</f>
        <v>0.6</v>
      </c>
      <c r="I48" s="405">
        <f>'RM Rollforward'!L54</f>
        <v>77400</v>
      </c>
      <c r="J48" s="405"/>
      <c r="K48" s="406">
        <v>0.0</v>
      </c>
      <c r="L48" s="403"/>
      <c r="M48" s="403">
        <f t="shared" si="2"/>
        <v>375</v>
      </c>
      <c r="N48" s="403">
        <f t="shared" si="3"/>
        <v>375</v>
      </c>
      <c r="O48" s="403">
        <f t="shared" si="4"/>
        <v>-375</v>
      </c>
    </row>
    <row r="49">
      <c r="A49" s="407" t="s">
        <v>183</v>
      </c>
      <c r="B49" s="407" t="s">
        <v>184</v>
      </c>
      <c r="C49" s="408" t="str">
        <f>if(E49&lt;=500,"Critical",IF(E49&lt;=1000,"Low",IF(E49&lt;=2000,"Moderate",IF(E49&lt;=5000,"High"))))</f>
        <v>High</v>
      </c>
      <c r="D49" s="409">
        <v>0.0</v>
      </c>
      <c r="E49" s="410">
        <f>'RM Rollforward'!H35</f>
        <v>3775</v>
      </c>
      <c r="F49" s="410"/>
      <c r="G49" s="410">
        <f t="shared" si="11"/>
        <v>0</v>
      </c>
      <c r="H49" s="411">
        <f>'RM Rollforward'!J36</f>
        <v>74</v>
      </c>
      <c r="I49" s="411">
        <f>'RM Rollforward'!L36</f>
        <v>88800</v>
      </c>
      <c r="J49" s="411"/>
      <c r="K49" s="412">
        <v>0.0</v>
      </c>
      <c r="L49" s="409"/>
      <c r="M49" s="409">
        <f t="shared" si="2"/>
        <v>-3775</v>
      </c>
      <c r="N49" s="409">
        <f t="shared" si="3"/>
        <v>3775</v>
      </c>
      <c r="O49" s="409">
        <f t="shared" si="4"/>
        <v>3775</v>
      </c>
    </row>
    <row r="50">
      <c r="A50" s="423" t="s">
        <v>167</v>
      </c>
      <c r="B50" s="423" t="s">
        <v>168</v>
      </c>
      <c r="C50" s="402" t="str">
        <f>if(E50&lt;=350,"Critical",IF(E50&lt;=750,"Low",IF(E50&lt;=1250,"Moderate",IF(E50&lt;=1500,"High"))))</f>
        <v>Moderate</v>
      </c>
      <c r="D50" s="403">
        <v>750.0</v>
      </c>
      <c r="E50" s="404">
        <f>'RM Rollforward'!H43</f>
        <v>1095</v>
      </c>
      <c r="F50" s="404"/>
      <c r="G50" s="404">
        <f t="shared" si="11"/>
        <v>0</v>
      </c>
      <c r="H50" s="405">
        <f>'RM Rollforward'!J67</f>
        <v>0.55</v>
      </c>
      <c r="I50" s="405">
        <f>'RM Rollforward'!L67</f>
        <v>0</v>
      </c>
      <c r="J50" s="405"/>
      <c r="K50" s="406">
        <v>750.0</v>
      </c>
      <c r="L50" s="403"/>
      <c r="M50" s="403">
        <f t="shared" si="2"/>
        <v>-345</v>
      </c>
      <c r="N50" s="403">
        <f t="shared" si="3"/>
        <v>1095</v>
      </c>
      <c r="O50" s="403">
        <f t="shared" si="4"/>
        <v>345</v>
      </c>
    </row>
    <row r="51">
      <c r="A51" s="407" t="s">
        <v>683</v>
      </c>
      <c r="B51" s="407" t="s">
        <v>684</v>
      </c>
      <c r="C51" s="408" t="str">
        <f>if(E51&lt;=10,"Critical",IF(E51&lt;=50,"Low",IF(E51&lt;=150,"Moderate",IF(E51&lt;200,"High"))))</f>
        <v>Moderate</v>
      </c>
      <c r="D51" s="409">
        <v>0.0</v>
      </c>
      <c r="E51" s="410">
        <f>'RM Rollforward'!H80</f>
        <v>120</v>
      </c>
      <c r="F51" s="410"/>
      <c r="G51" s="410"/>
      <c r="H51" s="411"/>
      <c r="I51" s="411"/>
      <c r="J51" s="411"/>
      <c r="K51" s="412">
        <v>0.0</v>
      </c>
      <c r="L51" s="409"/>
      <c r="M51" s="409">
        <f t="shared" si="2"/>
        <v>-120</v>
      </c>
      <c r="N51" s="409">
        <f t="shared" si="3"/>
        <v>120</v>
      </c>
      <c r="O51" s="409">
        <f t="shared" si="4"/>
        <v>120</v>
      </c>
    </row>
    <row r="52">
      <c r="A52" s="423" t="s">
        <v>74</v>
      </c>
      <c r="B52" s="425" t="s">
        <v>75</v>
      </c>
      <c r="C52" s="402" t="str">
        <f>if(E52&lt;=112000,"Critical",IF(E52&lt;=240000,"Low",IF(E52&lt;=400000,"Moderate",IF(E52&lt;=480000,"High"))))</f>
        <v>Moderate</v>
      </c>
      <c r="D52" s="403">
        <v>480000.0</v>
      </c>
      <c r="E52" s="404">
        <f>'RM Rollforward'!H69</f>
        <v>385600</v>
      </c>
      <c r="F52" s="404">
        <v>1.0</v>
      </c>
      <c r="G52" s="404">
        <f t="shared" ref="G52:G54" si="12">E52*J52</f>
        <v>9640000</v>
      </c>
      <c r="H52" s="405">
        <f>'RM Rollforward'!J44</f>
        <v>84</v>
      </c>
      <c r="I52" s="405">
        <f>'RM Rollforward'!L44</f>
        <v>90216</v>
      </c>
      <c r="J52" s="405">
        <v>25.0</v>
      </c>
      <c r="K52" s="406">
        <v>352800.0</v>
      </c>
      <c r="L52" s="414"/>
      <c r="M52" s="403">
        <f t="shared" si="2"/>
        <v>94400</v>
      </c>
      <c r="N52" s="403">
        <f t="shared" si="3"/>
        <v>385600</v>
      </c>
      <c r="O52" s="403">
        <f t="shared" si="4"/>
        <v>-94400</v>
      </c>
    </row>
    <row r="53" ht="15.75" customHeight="1">
      <c r="A53" s="420" t="s">
        <v>84</v>
      </c>
      <c r="B53" s="420" t="s">
        <v>85</v>
      </c>
      <c r="C53" s="408" t="str">
        <f t="shared" ref="C53:C54" si="13">if(E53&lt;=350,"Critical",IF(E53&lt;=750,"Low",IF(E53&lt;=1250,"Moderate",IF(E53&lt;=1500,"High"))))</f>
        <v>Moderate</v>
      </c>
      <c r="D53" s="409">
        <v>1000.0</v>
      </c>
      <c r="E53" s="410">
        <f>'RM Rollforward'!H42</f>
        <v>925</v>
      </c>
      <c r="F53" s="410"/>
      <c r="G53" s="410">
        <f t="shared" si="12"/>
        <v>0</v>
      </c>
      <c r="H53" s="411">
        <f>'RM Rollforward'!J65</f>
        <v>0.9</v>
      </c>
      <c r="I53" s="411">
        <f>'RM Rollforward'!L65</f>
        <v>216000</v>
      </c>
      <c r="J53" s="411"/>
      <c r="K53" s="412">
        <v>1000.0</v>
      </c>
      <c r="L53" s="416"/>
      <c r="M53" s="409">
        <f t="shared" si="2"/>
        <v>75</v>
      </c>
      <c r="N53" s="409">
        <f t="shared" si="3"/>
        <v>925</v>
      </c>
      <c r="O53" s="409">
        <f t="shared" si="4"/>
        <v>-75</v>
      </c>
    </row>
    <row r="54" ht="15.75" customHeight="1">
      <c r="A54" s="421" t="s">
        <v>88</v>
      </c>
      <c r="B54" s="421" t="s">
        <v>89</v>
      </c>
      <c r="C54" s="402" t="str">
        <f t="shared" si="13"/>
        <v>Moderate</v>
      </c>
      <c r="D54" s="403">
        <v>1000.0</v>
      </c>
      <c r="E54" s="404">
        <f>'RM Rollforward'!H44</f>
        <v>1074</v>
      </c>
      <c r="F54" s="404">
        <v>20.0</v>
      </c>
      <c r="G54" s="404">
        <f t="shared" si="12"/>
        <v>859200</v>
      </c>
      <c r="H54" s="405">
        <f>'RM Rollforward'!J76</f>
        <v>95</v>
      </c>
      <c r="I54" s="405">
        <f>'RM Rollforward'!L76</f>
        <v>104500</v>
      </c>
      <c r="J54" s="405">
        <v>800.0</v>
      </c>
      <c r="K54" s="406">
        <v>1000.0</v>
      </c>
      <c r="L54" s="414"/>
      <c r="M54" s="403">
        <f t="shared" si="2"/>
        <v>-74</v>
      </c>
      <c r="N54" s="403">
        <f t="shared" si="3"/>
        <v>1074</v>
      </c>
      <c r="O54" s="403">
        <f t="shared" si="4"/>
        <v>74</v>
      </c>
    </row>
    <row r="55" ht="15.75" customHeight="1">
      <c r="A55" s="420" t="s">
        <v>669</v>
      </c>
      <c r="B55" s="420" t="s">
        <v>670</v>
      </c>
      <c r="C55" s="408" t="str">
        <f>if(E55&lt;=400,"Critical",IF(E55&lt;=800,"Low",IF(E55&lt;=1600,"Moderate",IF(E55&lt;=3200,"High"))))</f>
        <v>Moderate</v>
      </c>
      <c r="D55" s="409">
        <v>2000.0</v>
      </c>
      <c r="E55" s="410">
        <f>'RM Rollforward'!H76</f>
        <v>1100</v>
      </c>
      <c r="F55" s="410"/>
      <c r="G55" s="410"/>
      <c r="H55" s="411"/>
      <c r="I55" s="411"/>
      <c r="J55" s="411"/>
      <c r="K55" s="412">
        <v>0.0</v>
      </c>
      <c r="L55" s="416"/>
      <c r="M55" s="409">
        <f t="shared" si="2"/>
        <v>900</v>
      </c>
      <c r="N55" s="409">
        <f t="shared" si="3"/>
        <v>1100</v>
      </c>
      <c r="O55" s="409">
        <f t="shared" si="4"/>
        <v>-900</v>
      </c>
    </row>
    <row r="56" ht="15.75" customHeight="1">
      <c r="A56" s="421" t="s">
        <v>620</v>
      </c>
      <c r="B56" s="421" t="s">
        <v>621</v>
      </c>
      <c r="C56" s="402" t="str">
        <f>if(E56&lt;=20000,"Critical",IF(E56&lt;=50000,"Low",IF(E56&lt;=75000,"Moderate",IF(E56&lt;=100000,"High"))))</f>
        <v>Moderate</v>
      </c>
      <c r="D56" s="403">
        <v>0.0</v>
      </c>
      <c r="E56" s="404">
        <f>'RM Rollforward'!H57</f>
        <v>54200</v>
      </c>
      <c r="F56" s="404"/>
      <c r="G56" s="404">
        <f t="shared" ref="G56:G59" si="14">E56*J56</f>
        <v>0</v>
      </c>
      <c r="H56" s="405">
        <f>'RM Rollforward'!J66</f>
        <v>0.11</v>
      </c>
      <c r="I56" s="405">
        <f>'RM Rollforward'!L66</f>
        <v>1100</v>
      </c>
      <c r="J56" s="405"/>
      <c r="K56" s="406">
        <v>0.0</v>
      </c>
      <c r="L56" s="414"/>
      <c r="M56" s="403">
        <f t="shared" si="2"/>
        <v>-54200</v>
      </c>
      <c r="N56" s="403">
        <f t="shared" si="3"/>
        <v>54200</v>
      </c>
      <c r="O56" s="403">
        <f t="shared" si="4"/>
        <v>54200</v>
      </c>
    </row>
    <row r="57" ht="15.75" customHeight="1">
      <c r="A57" s="420" t="s">
        <v>753</v>
      </c>
      <c r="B57" s="420" t="s">
        <v>754</v>
      </c>
      <c r="C57" s="408" t="str">
        <f>if(E57&lt;=4200,"Critical",IF(E57&lt;=9000,"Low",IF(E57&lt;=15000,"Moderate",IF(E57&lt;=18000,"High"))))</f>
        <v>Moderate</v>
      </c>
      <c r="D57" s="409">
        <v>80000.0</v>
      </c>
      <c r="E57" s="410">
        <f>'RM Rollforward'!H59</f>
        <v>9720</v>
      </c>
      <c r="F57" s="410"/>
      <c r="G57" s="410">
        <f t="shared" si="14"/>
        <v>0</v>
      </c>
      <c r="H57" s="411">
        <f>'RM Rollforward'!J82</f>
        <v>290</v>
      </c>
      <c r="I57" s="411">
        <f>'RM Rollforward'!L82</f>
        <v>52200</v>
      </c>
      <c r="J57" s="411"/>
      <c r="K57" s="412">
        <v>46220.0</v>
      </c>
      <c r="L57" s="416"/>
      <c r="M57" s="409">
        <f t="shared" si="2"/>
        <v>70280</v>
      </c>
      <c r="N57" s="409">
        <f t="shared" si="3"/>
        <v>9720</v>
      </c>
      <c r="O57" s="409">
        <f t="shared" si="4"/>
        <v>-70280</v>
      </c>
    </row>
    <row r="58" ht="15.75" customHeight="1">
      <c r="A58" s="421" t="s">
        <v>740</v>
      </c>
      <c r="B58" s="421" t="s">
        <v>741</v>
      </c>
      <c r="C58" s="402" t="str">
        <f>if(E58&lt;=350,"Critical",IF(E58&lt;=750,"Low",IF(E58&lt;=1250,"Moderate",IF(E58&lt;=1500,"High"))))</f>
        <v>Moderate</v>
      </c>
      <c r="D58" s="403">
        <v>0.0</v>
      </c>
      <c r="E58" s="404">
        <f>'RM Rollforward'!H36</f>
        <v>1200</v>
      </c>
      <c r="F58" s="404"/>
      <c r="G58" s="404">
        <f t="shared" si="14"/>
        <v>0</v>
      </c>
      <c r="H58" s="405">
        <f>'RM Rollforward'!J37</f>
        <v>40</v>
      </c>
      <c r="I58" s="405">
        <f>'RM Rollforward'!L37</f>
        <v>2000</v>
      </c>
      <c r="J58" s="405"/>
      <c r="K58" s="406">
        <v>0.0</v>
      </c>
      <c r="L58" s="403"/>
      <c r="M58" s="403">
        <f t="shared" si="2"/>
        <v>-1200</v>
      </c>
      <c r="N58" s="403">
        <f t="shared" si="3"/>
        <v>1200</v>
      </c>
      <c r="O58" s="403">
        <f t="shared" si="4"/>
        <v>1200</v>
      </c>
    </row>
    <row r="59" ht="15.75" customHeight="1">
      <c r="A59" s="420" t="s">
        <v>631</v>
      </c>
      <c r="B59" s="420" t="s">
        <v>632</v>
      </c>
      <c r="C59" s="408" t="str">
        <f>if(E59&lt;=35,"Critical",IF(E59&lt;=70,"Low",IF(E59&lt;=140,"Moderate",IF(E59&lt;=280,"High"))))</f>
        <v>Low</v>
      </c>
      <c r="D59" s="409">
        <v>250.0</v>
      </c>
      <c r="E59" s="410">
        <f>'RM Rollforward'!H37</f>
        <v>50</v>
      </c>
      <c r="F59" s="410">
        <v>50.0</v>
      </c>
      <c r="G59" s="410">
        <f t="shared" si="14"/>
        <v>1500</v>
      </c>
      <c r="H59" s="411">
        <f>'RM Rollforward'!J9</f>
        <v>45</v>
      </c>
      <c r="I59" s="411">
        <f>SUM('RM Rollforward'!L9:L10)</f>
        <v>954030</v>
      </c>
      <c r="J59" s="411">
        <v>30.0</v>
      </c>
      <c r="K59" s="412">
        <v>0.0</v>
      </c>
      <c r="L59" s="409"/>
      <c r="M59" s="409">
        <f t="shared" si="2"/>
        <v>200</v>
      </c>
      <c r="N59" s="409">
        <f t="shared" si="3"/>
        <v>50</v>
      </c>
      <c r="O59" s="409">
        <f t="shared" si="4"/>
        <v>-200</v>
      </c>
    </row>
    <row r="60" ht="15.75" customHeight="1">
      <c r="A60" s="421" t="s">
        <v>675</v>
      </c>
      <c r="B60" s="421" t="s">
        <v>676</v>
      </c>
      <c r="C60" s="402" t="str">
        <f t="shared" ref="C60:C62" si="15">if(E60&lt;=10,"Critical",IF(E60&lt;=50,"Low",IF(E60&lt;=150,"Moderate",IF(E60&lt;200,"High"))))</f>
        <v>Moderate</v>
      </c>
      <c r="D60" s="403">
        <v>0.0</v>
      </c>
      <c r="E60" s="404">
        <f>'RM Rollforward'!H77</f>
        <v>60</v>
      </c>
      <c r="F60" s="404"/>
      <c r="G60" s="404"/>
      <c r="H60" s="405"/>
      <c r="I60" s="405"/>
      <c r="J60" s="405"/>
      <c r="K60" s="406">
        <v>0.0</v>
      </c>
      <c r="L60" s="403"/>
      <c r="M60" s="403">
        <f t="shared" si="2"/>
        <v>-60</v>
      </c>
      <c r="N60" s="403">
        <f t="shared" si="3"/>
        <v>60</v>
      </c>
      <c r="O60" s="403">
        <f t="shared" si="4"/>
        <v>60</v>
      </c>
    </row>
    <row r="61" ht="15.75" customHeight="1">
      <c r="A61" s="420" t="s">
        <v>679</v>
      </c>
      <c r="B61" s="420" t="s">
        <v>680</v>
      </c>
      <c r="C61" s="408" t="str">
        <f t="shared" si="15"/>
        <v>Moderate</v>
      </c>
      <c r="D61" s="409">
        <v>0.0</v>
      </c>
      <c r="E61" s="410">
        <f>'RM Rollforward'!H81</f>
        <v>100</v>
      </c>
      <c r="F61" s="410"/>
      <c r="G61" s="410"/>
      <c r="H61" s="411"/>
      <c r="I61" s="411"/>
      <c r="J61" s="411"/>
      <c r="K61" s="412">
        <v>0.0</v>
      </c>
      <c r="L61" s="409"/>
      <c r="M61" s="409">
        <f t="shared" si="2"/>
        <v>-100</v>
      </c>
      <c r="N61" s="409">
        <f t="shared" si="3"/>
        <v>100</v>
      </c>
      <c r="O61" s="409">
        <f t="shared" si="4"/>
        <v>100</v>
      </c>
    </row>
    <row r="62" ht="15.75" customHeight="1">
      <c r="A62" s="421" t="s">
        <v>772</v>
      </c>
      <c r="B62" s="421" t="s">
        <v>773</v>
      </c>
      <c r="C62" s="402" t="str">
        <f t="shared" si="15"/>
        <v>Moderate</v>
      </c>
      <c r="D62" s="403">
        <v>0.0</v>
      </c>
      <c r="E62" s="404">
        <f>'RM Rollforward'!H85</f>
        <v>70</v>
      </c>
      <c r="F62" s="404"/>
      <c r="G62" s="404"/>
      <c r="H62" s="405"/>
      <c r="I62" s="405"/>
      <c r="J62" s="405"/>
      <c r="K62" s="406">
        <v>0.0</v>
      </c>
      <c r="L62" s="403"/>
      <c r="M62" s="403">
        <f t="shared" si="2"/>
        <v>-70</v>
      </c>
      <c r="N62" s="403">
        <f t="shared" si="3"/>
        <v>70</v>
      </c>
      <c r="O62" s="403">
        <f t="shared" si="4"/>
        <v>70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autoFilter ref="$A$3:$O$62">
    <sortState ref="A3:O62">
      <sortCondition ref="C3:C62"/>
    </sortState>
  </autoFilter>
  <conditionalFormatting sqref="C4:C62">
    <cfRule type="cellIs" dxfId="0" priority="1" operator="equal">
      <formula>"Critical"</formula>
    </cfRule>
  </conditionalFormatting>
  <conditionalFormatting sqref="C4:C62">
    <cfRule type="cellIs" dxfId="1" priority="2" operator="equal">
      <formula>"Low"</formula>
    </cfRule>
  </conditionalFormatting>
  <conditionalFormatting sqref="C4:C62">
    <cfRule type="cellIs" dxfId="2" priority="3" operator="equal">
      <formula>"Moderate"</formula>
    </cfRule>
  </conditionalFormatting>
  <conditionalFormatting sqref="C4:C62">
    <cfRule type="cellIs" dxfId="3" priority="4" operator="equal">
      <formula>"High"</formula>
    </cfRule>
  </conditionalFormatting>
  <dataValidations>
    <dataValidation type="custom" allowBlank="1" showDropDown="1" sqref="D4:E24 H4:I24 D29:E43 H29:I43 D45:E50 H45:I50 D52:E54 H52:I54 D56:E59 H56:I59">
      <formula1>AND(ISNUMBER(D4),(NOT(OR(NOT(ISERROR(DATEVALUE(D4))), AND(ISNUMBER(D4), LEFT(CELL("format", D4))="D")))))</formula1>
    </dataValidation>
  </dataValidations>
  <printOptions/>
  <pageMargins bottom="0.75" footer="0.0" header="0.0" left="0.7" right="0.7" top="0.7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1.86"/>
  </cols>
  <sheetData>
    <row r="2">
      <c r="D2" s="57" t="s">
        <v>1562</v>
      </c>
      <c r="E2" s="57" t="s">
        <v>1632</v>
      </c>
      <c r="F2" s="57" t="s">
        <v>1633</v>
      </c>
      <c r="G2" s="57" t="s">
        <v>1634</v>
      </c>
      <c r="H2" s="57" t="s">
        <v>1629</v>
      </c>
      <c r="I2" s="57" t="s">
        <v>1635</v>
      </c>
    </row>
    <row r="3">
      <c r="A3" s="57" t="s">
        <v>69</v>
      </c>
      <c r="B3" s="57" t="s">
        <v>70</v>
      </c>
      <c r="C3" s="57" t="s">
        <v>1636</v>
      </c>
      <c r="D3" s="426">
        <v>720000.0</v>
      </c>
      <c r="E3" s="426">
        <v>2160000.0</v>
      </c>
      <c r="F3" s="426">
        <v>621000.0</v>
      </c>
      <c r="G3" s="57">
        <v>0.0</v>
      </c>
      <c r="H3" s="426">
        <v>292000.0</v>
      </c>
      <c r="I3" s="426">
        <f t="shared" ref="I3:I26" si="1">E3-F3-G3</f>
        <v>1539000</v>
      </c>
    </row>
    <row r="4">
      <c r="A4" s="57" t="s">
        <v>74</v>
      </c>
      <c r="B4" s="57" t="s">
        <v>75</v>
      </c>
      <c r="C4" s="57" t="s">
        <v>1636</v>
      </c>
      <c r="D4" s="426">
        <v>480000.0</v>
      </c>
      <c r="E4" s="426">
        <v>1440000.0</v>
      </c>
      <c r="F4" s="426">
        <v>352800.0</v>
      </c>
      <c r="G4" s="426">
        <v>44800.0</v>
      </c>
      <c r="H4" s="426">
        <v>534000.0</v>
      </c>
      <c r="I4" s="426">
        <f t="shared" si="1"/>
        <v>1042400</v>
      </c>
    </row>
    <row r="5">
      <c r="A5" s="57" t="s">
        <v>21</v>
      </c>
      <c r="B5" s="57" t="s">
        <v>22</v>
      </c>
      <c r="C5" s="57" t="s">
        <v>1636</v>
      </c>
      <c r="D5" s="57">
        <v>0.0</v>
      </c>
      <c r="E5" s="57">
        <v>0.0</v>
      </c>
      <c r="F5" s="426">
        <v>1000.0</v>
      </c>
      <c r="G5" s="57">
        <v>354.0</v>
      </c>
      <c r="H5" s="57">
        <v>0.0</v>
      </c>
      <c r="I5" s="426">
        <f t="shared" si="1"/>
        <v>-1354</v>
      </c>
    </row>
    <row r="6">
      <c r="A6" s="57" t="s">
        <v>109</v>
      </c>
      <c r="B6" s="57" t="s">
        <v>110</v>
      </c>
      <c r="C6" s="57" t="s">
        <v>1636</v>
      </c>
      <c r="D6" s="426">
        <v>900000.0</v>
      </c>
      <c r="E6" s="426">
        <v>2700000.0</v>
      </c>
      <c r="F6" s="426">
        <v>69000.0</v>
      </c>
      <c r="G6" s="57">
        <v>0.0</v>
      </c>
      <c r="H6" s="426">
        <v>30000.0</v>
      </c>
      <c r="I6" s="426">
        <f t="shared" si="1"/>
        <v>2631000</v>
      </c>
    </row>
    <row r="7">
      <c r="A7" s="57" t="s">
        <v>638</v>
      </c>
      <c r="B7" s="57" t="s">
        <v>639</v>
      </c>
      <c r="C7" s="57" t="s">
        <v>1636</v>
      </c>
      <c r="D7" s="426">
        <v>200000.0</v>
      </c>
      <c r="E7" s="426">
        <v>600000.0</v>
      </c>
      <c r="F7" s="426">
        <v>254400.0</v>
      </c>
      <c r="G7" s="57">
        <v>0.0</v>
      </c>
      <c r="H7" s="57">
        <v>0.0</v>
      </c>
      <c r="I7" s="426">
        <f t="shared" si="1"/>
        <v>345600</v>
      </c>
    </row>
    <row r="8">
      <c r="A8" s="57" t="s">
        <v>634</v>
      </c>
      <c r="B8" s="57" t="s">
        <v>635</v>
      </c>
      <c r="C8" s="57" t="s">
        <v>1636</v>
      </c>
      <c r="D8" s="426">
        <v>900000.0</v>
      </c>
      <c r="E8" s="426">
        <v>2700000.0</v>
      </c>
      <c r="F8" s="426">
        <v>360000.0</v>
      </c>
      <c r="G8" s="57">
        <v>0.0</v>
      </c>
      <c r="H8" s="57">
        <v>0.0</v>
      </c>
      <c r="I8" s="426">
        <f t="shared" si="1"/>
        <v>2340000</v>
      </c>
    </row>
    <row r="9">
      <c r="A9" s="57" t="s">
        <v>659</v>
      </c>
      <c r="B9" s="57" t="s">
        <v>660</v>
      </c>
      <c r="C9" s="57" t="s">
        <v>1636</v>
      </c>
      <c r="D9" s="57">
        <v>0.0</v>
      </c>
      <c r="E9" s="57">
        <v>0.0</v>
      </c>
      <c r="F9" s="57">
        <v>0.0</v>
      </c>
      <c r="G9" s="57">
        <v>0.0</v>
      </c>
      <c r="H9" s="57">
        <v>0.0</v>
      </c>
      <c r="I9" s="426">
        <f t="shared" si="1"/>
        <v>0</v>
      </c>
    </row>
    <row r="10">
      <c r="A10" s="57" t="s">
        <v>91</v>
      </c>
      <c r="B10" s="57" t="s">
        <v>1637</v>
      </c>
      <c r="C10" s="57" t="s">
        <v>1636</v>
      </c>
      <c r="D10" s="426">
        <v>40000.0</v>
      </c>
      <c r="E10" s="426">
        <v>120000.0</v>
      </c>
      <c r="F10" s="426">
        <v>60000.0</v>
      </c>
      <c r="G10" s="426">
        <v>7800.0</v>
      </c>
      <c r="H10" s="426">
        <v>20000.0</v>
      </c>
      <c r="I10" s="426">
        <f t="shared" si="1"/>
        <v>52200</v>
      </c>
    </row>
    <row r="11">
      <c r="A11" s="57" t="s">
        <v>622</v>
      </c>
      <c r="B11" s="57" t="s">
        <v>1638</v>
      </c>
      <c r="C11" s="57" t="s">
        <v>1562</v>
      </c>
      <c r="D11" s="426">
        <v>80000.0</v>
      </c>
      <c r="E11" s="426">
        <v>240000.0</v>
      </c>
      <c r="F11" s="57">
        <v>0.0</v>
      </c>
      <c r="G11" s="426">
        <v>88500.0</v>
      </c>
      <c r="H11" s="57">
        <v>0.0</v>
      </c>
      <c r="I11" s="426">
        <f t="shared" si="1"/>
        <v>151500</v>
      </c>
    </row>
    <row r="12">
      <c r="A12" s="57" t="s">
        <v>16</v>
      </c>
      <c r="B12" s="57" t="s">
        <v>17</v>
      </c>
      <c r="C12" s="57" t="s">
        <v>1639</v>
      </c>
      <c r="D12" s="57">
        <v>0.0</v>
      </c>
      <c r="E12" s="57">
        <v>0.0</v>
      </c>
      <c r="F12" s="426">
        <v>2000.0</v>
      </c>
      <c r="G12" s="57">
        <v>667.0</v>
      </c>
      <c r="H12" s="57">
        <v>0.0</v>
      </c>
      <c r="I12" s="426">
        <f t="shared" si="1"/>
        <v>-2667</v>
      </c>
    </row>
    <row r="13">
      <c r="A13" s="57" t="s">
        <v>185</v>
      </c>
      <c r="B13" s="57" t="s">
        <v>1640</v>
      </c>
      <c r="C13" s="57" t="s">
        <v>1639</v>
      </c>
      <c r="D13" s="426">
        <v>1200.0</v>
      </c>
      <c r="E13" s="426">
        <v>3600.0</v>
      </c>
      <c r="F13" s="57">
        <v>0.0</v>
      </c>
      <c r="G13" s="57">
        <v>498.0</v>
      </c>
      <c r="H13" s="57">
        <v>0.0</v>
      </c>
      <c r="I13" s="426">
        <f t="shared" si="1"/>
        <v>3102</v>
      </c>
    </row>
    <row r="14">
      <c r="A14" s="57" t="s">
        <v>753</v>
      </c>
      <c r="B14" s="57" t="s">
        <v>754</v>
      </c>
      <c r="C14" s="57" t="s">
        <v>1641</v>
      </c>
      <c r="D14" s="426">
        <v>80000.0</v>
      </c>
      <c r="E14" s="426">
        <v>240000.0</v>
      </c>
      <c r="F14" s="426">
        <v>46220.0</v>
      </c>
      <c r="G14" s="426">
        <v>9720.0</v>
      </c>
      <c r="H14" s="57">
        <v>0.0</v>
      </c>
      <c r="I14" s="426">
        <f t="shared" si="1"/>
        <v>184060</v>
      </c>
    </row>
    <row r="15">
      <c r="A15" s="57" t="s">
        <v>148</v>
      </c>
      <c r="B15" s="57" t="s">
        <v>1642</v>
      </c>
      <c r="C15" s="57" t="s">
        <v>1641</v>
      </c>
      <c r="D15" s="57">
        <v>60.0</v>
      </c>
      <c r="E15" s="57">
        <v>180.0</v>
      </c>
      <c r="F15" s="57">
        <v>100.0</v>
      </c>
      <c r="G15" s="57">
        <v>38.0</v>
      </c>
      <c r="H15" s="57">
        <v>0.0</v>
      </c>
      <c r="I15" s="426">
        <f t="shared" si="1"/>
        <v>42</v>
      </c>
    </row>
    <row r="16">
      <c r="A16" s="57" t="s">
        <v>627</v>
      </c>
      <c r="B16" s="57" t="s">
        <v>1643</v>
      </c>
      <c r="C16" s="57" t="s">
        <v>1641</v>
      </c>
      <c r="D16" s="426">
        <v>7500.0</v>
      </c>
      <c r="E16" s="426">
        <v>22500.0</v>
      </c>
      <c r="F16" s="57">
        <v>0.0</v>
      </c>
      <c r="G16" s="426">
        <v>4375.0</v>
      </c>
      <c r="H16" s="57">
        <v>0.0</v>
      </c>
      <c r="I16" s="426">
        <f t="shared" si="1"/>
        <v>18125</v>
      </c>
    </row>
    <row r="17">
      <c r="A17" s="57" t="s">
        <v>669</v>
      </c>
      <c r="B17" s="57" t="s">
        <v>1644</v>
      </c>
      <c r="C17" s="57" t="s">
        <v>1562</v>
      </c>
      <c r="D17" s="57">
        <v>0.0</v>
      </c>
      <c r="E17" s="57">
        <v>0.0</v>
      </c>
      <c r="F17" s="57">
        <v>0.0</v>
      </c>
      <c r="G17" s="426">
        <v>1750.0</v>
      </c>
      <c r="H17" s="57">
        <v>0.0</v>
      </c>
      <c r="I17" s="426">
        <f t="shared" si="1"/>
        <v>-1750</v>
      </c>
    </row>
    <row r="18">
      <c r="A18" s="57" t="s">
        <v>675</v>
      </c>
      <c r="B18" s="57" t="s">
        <v>676</v>
      </c>
      <c r="C18" s="57" t="s">
        <v>1562</v>
      </c>
      <c r="D18" s="57">
        <v>0.0</v>
      </c>
      <c r="E18" s="57">
        <v>0.0</v>
      </c>
      <c r="F18" s="57">
        <v>0.0</v>
      </c>
      <c r="G18" s="57">
        <v>80.0</v>
      </c>
      <c r="H18" s="57">
        <v>0.0</v>
      </c>
      <c r="I18" s="426">
        <f t="shared" si="1"/>
        <v>-80</v>
      </c>
    </row>
    <row r="19">
      <c r="A19" s="57" t="s">
        <v>677</v>
      </c>
      <c r="B19" s="57" t="s">
        <v>678</v>
      </c>
      <c r="C19" s="57" t="s">
        <v>1562</v>
      </c>
      <c r="D19" s="57">
        <v>0.0</v>
      </c>
      <c r="E19" s="57">
        <v>0.0</v>
      </c>
      <c r="F19" s="57">
        <v>0.0</v>
      </c>
      <c r="G19" s="57">
        <v>200.0</v>
      </c>
      <c r="H19" s="57">
        <v>0.0</v>
      </c>
      <c r="I19" s="426">
        <f t="shared" si="1"/>
        <v>-200</v>
      </c>
    </row>
    <row r="20">
      <c r="A20" s="57" t="s">
        <v>766</v>
      </c>
      <c r="B20" s="57" t="s">
        <v>767</v>
      </c>
      <c r="C20" s="57" t="s">
        <v>1562</v>
      </c>
      <c r="D20" s="57">
        <v>0.0</v>
      </c>
      <c r="E20" s="57">
        <v>0.0</v>
      </c>
      <c r="F20" s="57">
        <v>0.0</v>
      </c>
      <c r="G20" s="57">
        <v>222.0</v>
      </c>
      <c r="H20" s="57">
        <v>0.0</v>
      </c>
      <c r="I20" s="426">
        <f t="shared" si="1"/>
        <v>-222</v>
      </c>
    </row>
    <row r="21">
      <c r="A21" s="57" t="s">
        <v>683</v>
      </c>
      <c r="B21" s="57" t="s">
        <v>684</v>
      </c>
      <c r="C21" s="57" t="s">
        <v>1562</v>
      </c>
      <c r="D21" s="57">
        <v>0.0</v>
      </c>
      <c r="E21" s="57">
        <v>0.0</v>
      </c>
      <c r="F21" s="57">
        <v>0.0</v>
      </c>
      <c r="G21" s="57">
        <v>160.0</v>
      </c>
      <c r="H21" s="57">
        <v>0.0</v>
      </c>
      <c r="I21" s="426">
        <f t="shared" si="1"/>
        <v>-160</v>
      </c>
    </row>
    <row r="22">
      <c r="A22" s="57" t="s">
        <v>679</v>
      </c>
      <c r="B22" s="57" t="s">
        <v>680</v>
      </c>
      <c r="C22" s="57" t="s">
        <v>1562</v>
      </c>
      <c r="D22" s="57">
        <v>0.0</v>
      </c>
      <c r="E22" s="57">
        <v>0.0</v>
      </c>
      <c r="F22" s="57">
        <v>0.0</v>
      </c>
      <c r="G22" s="57">
        <v>125.0</v>
      </c>
      <c r="H22" s="57">
        <v>0.0</v>
      </c>
      <c r="I22" s="426">
        <f t="shared" si="1"/>
        <v>-125</v>
      </c>
    </row>
    <row r="23">
      <c r="A23" s="57" t="s">
        <v>688</v>
      </c>
      <c r="B23" s="57" t="s">
        <v>689</v>
      </c>
      <c r="C23" s="57" t="s">
        <v>1562</v>
      </c>
      <c r="D23" s="57">
        <v>0.0</v>
      </c>
      <c r="E23" s="57">
        <v>0.0</v>
      </c>
      <c r="F23" s="57">
        <v>0.0</v>
      </c>
      <c r="G23" s="57">
        <v>200.0</v>
      </c>
      <c r="H23" s="57">
        <v>0.0</v>
      </c>
      <c r="I23" s="426">
        <f t="shared" si="1"/>
        <v>-200</v>
      </c>
    </row>
    <row r="24">
      <c r="A24" s="57" t="s">
        <v>768</v>
      </c>
      <c r="B24" s="57" t="s">
        <v>769</v>
      </c>
      <c r="C24" s="57" t="s">
        <v>1562</v>
      </c>
      <c r="D24" s="57">
        <v>0.0</v>
      </c>
      <c r="E24" s="57">
        <v>0.0</v>
      </c>
      <c r="F24" s="57">
        <v>0.0</v>
      </c>
      <c r="G24" s="57">
        <v>170.0</v>
      </c>
      <c r="H24" s="57">
        <v>0.0</v>
      </c>
      <c r="I24" s="426">
        <f t="shared" si="1"/>
        <v>-170</v>
      </c>
    </row>
    <row r="25">
      <c r="A25" s="57" t="s">
        <v>770</v>
      </c>
      <c r="B25" s="57" t="s">
        <v>771</v>
      </c>
      <c r="C25" s="57" t="s">
        <v>1562</v>
      </c>
      <c r="D25" s="57">
        <v>0.0</v>
      </c>
      <c r="E25" s="57">
        <v>0.0</v>
      </c>
      <c r="F25" s="57">
        <v>0.0</v>
      </c>
      <c r="G25" s="57">
        <v>50.0</v>
      </c>
      <c r="H25" s="57">
        <v>0.0</v>
      </c>
      <c r="I25" s="426">
        <f t="shared" si="1"/>
        <v>-50</v>
      </c>
    </row>
    <row r="26">
      <c r="A26" s="57" t="s">
        <v>772</v>
      </c>
      <c r="B26" s="57" t="s">
        <v>773</v>
      </c>
      <c r="C26" s="57" t="s">
        <v>1562</v>
      </c>
      <c r="D26" s="57">
        <v>0.0</v>
      </c>
      <c r="E26" s="57">
        <v>0.0</v>
      </c>
      <c r="F26" s="57">
        <v>0.0</v>
      </c>
      <c r="G26" s="57">
        <v>70.0</v>
      </c>
      <c r="H26" s="57">
        <v>0.0</v>
      </c>
      <c r="I26" s="426">
        <f t="shared" si="1"/>
        <v>-70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43"/>
    <col customWidth="1" min="2" max="2" width="37.14"/>
    <col customWidth="1" min="3" max="3" width="5.71"/>
    <col customWidth="1" min="4" max="4" width="11.86"/>
    <col customWidth="1" min="5" max="5" width="7.0"/>
    <col customWidth="1" hidden="1" min="6" max="6" width="9.0"/>
    <col customWidth="1" min="7" max="7" width="14.57"/>
    <col customWidth="1" hidden="1" min="8" max="8" width="9.43"/>
    <col customWidth="1" min="9" max="9" width="8.71"/>
  </cols>
  <sheetData>
    <row r="1" ht="14.25" customHeight="1">
      <c r="B1" s="182" t="s">
        <v>599</v>
      </c>
      <c r="C1" s="89"/>
      <c r="D1" s="427"/>
      <c r="E1" s="428"/>
      <c r="F1" s="429"/>
      <c r="G1" s="338"/>
    </row>
    <row r="2" ht="12.75" customHeight="1">
      <c r="B2" s="182" t="s">
        <v>1645</v>
      </c>
      <c r="C2" s="89"/>
      <c r="D2" s="427"/>
      <c r="E2" s="428"/>
      <c r="F2" s="429"/>
      <c r="G2" s="338"/>
    </row>
    <row r="3" ht="12.75" customHeight="1">
      <c r="B3" s="182" t="str">
        <f>'RM Rollforward'!B3</f>
        <v>As of June 20, 2025</v>
      </c>
      <c r="C3" s="430"/>
      <c r="D3" s="427"/>
      <c r="E3" s="428"/>
      <c r="F3" s="429"/>
      <c r="G3" s="338"/>
    </row>
    <row r="4" ht="12.75" customHeight="1">
      <c r="A4" s="431" t="s">
        <v>6</v>
      </c>
      <c r="B4" s="431" t="s">
        <v>7</v>
      </c>
      <c r="C4" s="432" t="s">
        <v>9</v>
      </c>
      <c r="D4" s="433" t="s">
        <v>1646</v>
      </c>
      <c r="E4" s="434" t="s">
        <v>727</v>
      </c>
      <c r="F4" s="435"/>
      <c r="G4" s="436" t="s">
        <v>728</v>
      </c>
      <c r="H4" s="436" t="s">
        <v>196</v>
      </c>
    </row>
    <row r="5" ht="12.0" customHeight="1">
      <c r="A5" s="437" t="s">
        <v>1647</v>
      </c>
      <c r="B5" s="437" t="s">
        <v>1648</v>
      </c>
      <c r="C5" s="438" t="s">
        <v>1649</v>
      </c>
      <c r="D5" s="439" t="str">
        <f>'RM Rollforward'!#REF!</f>
        <v>#ERROR!</v>
      </c>
      <c r="E5" s="439">
        <v>75.0</v>
      </c>
      <c r="F5" s="440">
        <v>1.0</v>
      </c>
      <c r="G5" s="441" t="str">
        <f t="shared" ref="G5:G43" si="1">D5*E5*F5</f>
        <v>#ERROR!</v>
      </c>
      <c r="H5" s="169"/>
    </row>
    <row r="6" ht="12.0" customHeight="1">
      <c r="A6" s="437" t="s">
        <v>1650</v>
      </c>
      <c r="B6" s="437" t="s">
        <v>1651</v>
      </c>
      <c r="C6" s="438" t="s">
        <v>1649</v>
      </c>
      <c r="D6" s="439" t="str">
        <f>'RM Rollforward'!#REF!</f>
        <v>#ERROR!</v>
      </c>
      <c r="E6" s="439">
        <v>75.0</v>
      </c>
      <c r="F6" s="440">
        <v>1.0</v>
      </c>
      <c r="G6" s="441" t="str">
        <f t="shared" si="1"/>
        <v>#ERROR!</v>
      </c>
      <c r="H6" s="169"/>
    </row>
    <row r="7" ht="12.0" customHeight="1">
      <c r="A7" s="437" t="s">
        <v>1652</v>
      </c>
      <c r="B7" s="437" t="s">
        <v>1653</v>
      </c>
      <c r="C7" s="438" t="s">
        <v>1649</v>
      </c>
      <c r="D7" s="439" t="str">
        <f>'RM Rollforward'!#REF!</f>
        <v>#ERROR!</v>
      </c>
      <c r="E7" s="439">
        <v>75.0</v>
      </c>
      <c r="F7" s="440">
        <v>1.0</v>
      </c>
      <c r="G7" s="441" t="str">
        <f t="shared" si="1"/>
        <v>#ERROR!</v>
      </c>
      <c r="H7" s="169"/>
    </row>
    <row r="8" ht="12.0" customHeight="1">
      <c r="A8" s="437" t="s">
        <v>1654</v>
      </c>
      <c r="B8" s="437" t="s">
        <v>1655</v>
      </c>
      <c r="C8" s="438" t="s">
        <v>1649</v>
      </c>
      <c r="D8" s="439" t="str">
        <f>'RM Rollforward'!#REF!</f>
        <v>#ERROR!</v>
      </c>
      <c r="E8" s="439">
        <v>75.0</v>
      </c>
      <c r="F8" s="440">
        <v>1.0</v>
      </c>
      <c r="G8" s="441" t="str">
        <f t="shared" si="1"/>
        <v>#ERROR!</v>
      </c>
      <c r="H8" s="169"/>
      <c r="I8" s="180" t="s">
        <v>0</v>
      </c>
    </row>
    <row r="9" ht="12.0" customHeight="1">
      <c r="A9" s="437" t="s">
        <v>1656</v>
      </c>
      <c r="B9" s="437" t="s">
        <v>1657</v>
      </c>
      <c r="C9" s="438" t="s">
        <v>1649</v>
      </c>
      <c r="D9" s="439" t="str">
        <f>'RM Rollforward'!#REF!</f>
        <v>#ERROR!</v>
      </c>
      <c r="E9" s="439">
        <v>75.0</v>
      </c>
      <c r="F9" s="440">
        <v>1.0</v>
      </c>
      <c r="G9" s="441" t="str">
        <f t="shared" si="1"/>
        <v>#ERROR!</v>
      </c>
      <c r="H9" s="169"/>
    </row>
    <row r="10" ht="12.0" customHeight="1">
      <c r="A10" s="437" t="s">
        <v>1658</v>
      </c>
      <c r="B10" s="437" t="s">
        <v>1659</v>
      </c>
      <c r="C10" s="438" t="s">
        <v>1649</v>
      </c>
      <c r="D10" s="439">
        <v>0.0</v>
      </c>
      <c r="E10" s="439">
        <v>75.0</v>
      </c>
      <c r="F10" s="440">
        <v>1.0</v>
      </c>
      <c r="G10" s="441">
        <f t="shared" si="1"/>
        <v>0</v>
      </c>
      <c r="H10" s="169"/>
    </row>
    <row r="11" ht="12.0" customHeight="1">
      <c r="A11" s="437" t="s">
        <v>1660</v>
      </c>
      <c r="B11" s="437" t="s">
        <v>1661</v>
      </c>
      <c r="C11" s="438" t="s">
        <v>1649</v>
      </c>
      <c r="D11" s="439" t="str">
        <f>'RM Rollforward'!#REF!</f>
        <v>#ERROR!</v>
      </c>
      <c r="E11" s="439">
        <v>75.0</v>
      </c>
      <c r="F11" s="440">
        <v>1.0</v>
      </c>
      <c r="G11" s="441" t="str">
        <f t="shared" si="1"/>
        <v>#ERROR!</v>
      </c>
      <c r="H11" s="169"/>
    </row>
    <row r="12" ht="12.0" customHeight="1">
      <c r="A12" s="437" t="s">
        <v>1662</v>
      </c>
      <c r="B12" s="437" t="s">
        <v>1663</v>
      </c>
      <c r="C12" s="438" t="s">
        <v>1649</v>
      </c>
      <c r="D12" s="439" t="str">
        <f>'RM Rollforward'!#REF!</f>
        <v>#ERROR!</v>
      </c>
      <c r="E12" s="439">
        <v>75.0</v>
      </c>
      <c r="F12" s="440">
        <v>1.0</v>
      </c>
      <c r="G12" s="441" t="str">
        <f t="shared" si="1"/>
        <v>#ERROR!</v>
      </c>
      <c r="H12" s="169"/>
    </row>
    <row r="13" ht="12.0" customHeight="1">
      <c r="A13" s="437" t="s">
        <v>1664</v>
      </c>
      <c r="B13" s="437" t="s">
        <v>1665</v>
      </c>
      <c r="C13" s="438" t="s">
        <v>1649</v>
      </c>
      <c r="D13" s="439" t="str">
        <f>'RM Rollforward'!#REF!</f>
        <v>#ERROR!</v>
      </c>
      <c r="E13" s="439">
        <v>75.0</v>
      </c>
      <c r="F13" s="440">
        <v>1.0</v>
      </c>
      <c r="G13" s="441" t="str">
        <f t="shared" si="1"/>
        <v>#ERROR!</v>
      </c>
      <c r="H13" s="169"/>
    </row>
    <row r="14" ht="12.0" customHeight="1">
      <c r="A14" s="437" t="s">
        <v>1666</v>
      </c>
      <c r="B14" s="437" t="s">
        <v>1667</v>
      </c>
      <c r="C14" s="438" t="s">
        <v>1649</v>
      </c>
      <c r="D14" s="439" t="str">
        <f>'RM Rollforward'!#REF!</f>
        <v>#ERROR!</v>
      </c>
      <c r="E14" s="439">
        <v>75.0</v>
      </c>
      <c r="F14" s="440">
        <v>1.0</v>
      </c>
      <c r="G14" s="441" t="str">
        <f t="shared" si="1"/>
        <v>#ERROR!</v>
      </c>
      <c r="H14" s="169"/>
    </row>
    <row r="15" ht="12.0" customHeight="1">
      <c r="A15" s="437" t="s">
        <v>1668</v>
      </c>
      <c r="B15" s="437" t="s">
        <v>1669</v>
      </c>
      <c r="C15" s="438" t="s">
        <v>1649</v>
      </c>
      <c r="D15" s="439" t="str">
        <f>'RM Rollforward'!#REF!</f>
        <v>#ERROR!</v>
      </c>
      <c r="E15" s="439">
        <v>75.0</v>
      </c>
      <c r="F15" s="440">
        <v>1.0</v>
      </c>
      <c r="G15" s="441" t="str">
        <f t="shared" si="1"/>
        <v>#ERROR!</v>
      </c>
      <c r="H15" s="169"/>
    </row>
    <row r="16" ht="12.0" customHeight="1">
      <c r="A16" s="437" t="s">
        <v>1670</v>
      </c>
      <c r="B16" s="437" t="s">
        <v>1671</v>
      </c>
      <c r="C16" s="438" t="s">
        <v>1649</v>
      </c>
      <c r="D16" s="439" t="str">
        <f>'RM Rollforward'!#REF!</f>
        <v>#ERROR!</v>
      </c>
      <c r="E16" s="439">
        <v>75.0</v>
      </c>
      <c r="F16" s="440">
        <v>1.0</v>
      </c>
      <c r="G16" s="441" t="str">
        <f t="shared" si="1"/>
        <v>#ERROR!</v>
      </c>
      <c r="H16" s="169"/>
    </row>
    <row r="17" ht="12.0" customHeight="1">
      <c r="A17" s="437" t="s">
        <v>1672</v>
      </c>
      <c r="B17" s="437" t="s">
        <v>1673</v>
      </c>
      <c r="C17" s="438" t="s">
        <v>1649</v>
      </c>
      <c r="D17" s="439" t="str">
        <f>'RM Rollforward'!#REF!</f>
        <v>#ERROR!</v>
      </c>
      <c r="E17" s="439">
        <v>75.0</v>
      </c>
      <c r="F17" s="440">
        <v>1.0</v>
      </c>
      <c r="G17" s="441" t="str">
        <f t="shared" si="1"/>
        <v>#ERROR!</v>
      </c>
      <c r="H17" s="169"/>
    </row>
    <row r="18" ht="12.0" customHeight="1">
      <c r="A18" s="437" t="s">
        <v>1674</v>
      </c>
      <c r="B18" s="437" t="s">
        <v>1675</v>
      </c>
      <c r="C18" s="438" t="s">
        <v>1649</v>
      </c>
      <c r="D18" s="439" t="str">
        <f>'RM Rollforward'!#REF!</f>
        <v>#ERROR!</v>
      </c>
      <c r="E18" s="439">
        <v>75.0</v>
      </c>
      <c r="F18" s="440">
        <v>1.0</v>
      </c>
      <c r="G18" s="441" t="str">
        <f t="shared" si="1"/>
        <v>#ERROR!</v>
      </c>
      <c r="H18" s="169"/>
    </row>
    <row r="19" ht="12.0" customHeight="1">
      <c r="A19" s="437" t="s">
        <v>1676</v>
      </c>
      <c r="B19" s="437" t="s">
        <v>1677</v>
      </c>
      <c r="C19" s="438" t="s">
        <v>1649</v>
      </c>
      <c r="D19" s="439" t="str">
        <f>'RM Rollforward'!#REF!</f>
        <v>#ERROR!</v>
      </c>
      <c r="E19" s="439">
        <v>75.0</v>
      </c>
      <c r="F19" s="440">
        <v>1.0</v>
      </c>
      <c r="G19" s="441" t="str">
        <f t="shared" si="1"/>
        <v>#ERROR!</v>
      </c>
      <c r="H19" s="169"/>
    </row>
    <row r="20" ht="12.0" customHeight="1">
      <c r="A20" s="437" t="s">
        <v>1678</v>
      </c>
      <c r="B20" s="437" t="s">
        <v>1679</v>
      </c>
      <c r="C20" s="438" t="s">
        <v>1649</v>
      </c>
      <c r="D20" s="439" t="str">
        <f>'RM Rollforward'!#REF!</f>
        <v>#ERROR!</v>
      </c>
      <c r="E20" s="439">
        <v>75.0</v>
      </c>
      <c r="F20" s="440">
        <v>1.0</v>
      </c>
      <c r="G20" s="441" t="str">
        <f t="shared" si="1"/>
        <v>#ERROR!</v>
      </c>
      <c r="H20" s="169"/>
    </row>
    <row r="21" ht="12.0" customHeight="1">
      <c r="A21" s="437" t="s">
        <v>1680</v>
      </c>
      <c r="B21" s="437" t="s">
        <v>1681</v>
      </c>
      <c r="C21" s="438" t="s">
        <v>1649</v>
      </c>
      <c r="D21" s="439" t="str">
        <f>'RM Rollforward'!#REF!</f>
        <v>#ERROR!</v>
      </c>
      <c r="E21" s="439">
        <v>75.0</v>
      </c>
      <c r="F21" s="440">
        <v>1.0</v>
      </c>
      <c r="G21" s="441" t="str">
        <f t="shared" si="1"/>
        <v>#ERROR!</v>
      </c>
      <c r="H21" s="169"/>
    </row>
    <row r="22" ht="12.0" customHeight="1">
      <c r="A22" s="437" t="s">
        <v>1682</v>
      </c>
      <c r="B22" s="437" t="s">
        <v>1683</v>
      </c>
      <c r="C22" s="438" t="s">
        <v>1649</v>
      </c>
      <c r="D22" s="439" t="str">
        <f>'RM Rollforward'!#REF!</f>
        <v>#ERROR!</v>
      </c>
      <c r="E22" s="439">
        <v>75.0</v>
      </c>
      <c r="F22" s="440">
        <v>1.0</v>
      </c>
      <c r="G22" s="441" t="str">
        <f t="shared" si="1"/>
        <v>#ERROR!</v>
      </c>
      <c r="H22" s="169"/>
    </row>
    <row r="23" ht="12.0" customHeight="1">
      <c r="A23" s="437" t="s">
        <v>1684</v>
      </c>
      <c r="B23" s="437" t="s">
        <v>1685</v>
      </c>
      <c r="C23" s="438" t="s">
        <v>1649</v>
      </c>
      <c r="D23" s="439" t="str">
        <f>'RM Rollforward'!#REF!</f>
        <v>#ERROR!</v>
      </c>
      <c r="E23" s="439">
        <v>75.0</v>
      </c>
      <c r="F23" s="440">
        <v>1.0</v>
      </c>
      <c r="G23" s="441" t="str">
        <f t="shared" si="1"/>
        <v>#ERROR!</v>
      </c>
      <c r="H23" s="442"/>
    </row>
    <row r="24" ht="12.0" customHeight="1">
      <c r="A24" s="437" t="s">
        <v>1686</v>
      </c>
      <c r="B24" s="437" t="s">
        <v>1687</v>
      </c>
      <c r="C24" s="438" t="s">
        <v>1649</v>
      </c>
      <c r="D24" s="439" t="str">
        <f>'RM Rollforward'!#REF!</f>
        <v>#ERROR!</v>
      </c>
      <c r="E24" s="439">
        <v>75.0</v>
      </c>
      <c r="F24" s="440">
        <v>1.0</v>
      </c>
      <c r="G24" s="441" t="str">
        <f t="shared" si="1"/>
        <v>#ERROR!</v>
      </c>
      <c r="H24" s="169"/>
    </row>
    <row r="25" ht="12.0" customHeight="1">
      <c r="A25" s="437" t="s">
        <v>1688</v>
      </c>
      <c r="B25" s="437" t="s">
        <v>1689</v>
      </c>
      <c r="C25" s="438" t="s">
        <v>1649</v>
      </c>
      <c r="D25" s="439" t="str">
        <f>'RM Rollforward'!#REF!</f>
        <v>#ERROR!</v>
      </c>
      <c r="E25" s="439">
        <v>75.0</v>
      </c>
      <c r="F25" s="440">
        <v>1.0</v>
      </c>
      <c r="G25" s="441" t="str">
        <f t="shared" si="1"/>
        <v>#ERROR!</v>
      </c>
      <c r="H25" s="169"/>
    </row>
    <row r="26" ht="12.0" customHeight="1">
      <c r="A26" s="437" t="s">
        <v>1690</v>
      </c>
      <c r="B26" s="437" t="s">
        <v>1691</v>
      </c>
      <c r="C26" s="438" t="s">
        <v>1649</v>
      </c>
      <c r="D26" s="439" t="str">
        <f>'RM Rollforward'!#REF!</f>
        <v>#ERROR!</v>
      </c>
      <c r="E26" s="439">
        <v>75.0</v>
      </c>
      <c r="F26" s="440">
        <v>1.0</v>
      </c>
      <c r="G26" s="441" t="str">
        <f t="shared" si="1"/>
        <v>#ERROR!</v>
      </c>
      <c r="H26" s="169"/>
    </row>
    <row r="27" ht="12.0" customHeight="1">
      <c r="A27" s="437" t="s">
        <v>1692</v>
      </c>
      <c r="B27" s="437" t="s">
        <v>1693</v>
      </c>
      <c r="C27" s="438" t="s">
        <v>1649</v>
      </c>
      <c r="D27" s="439" t="str">
        <f>'RM Rollforward'!#REF!</f>
        <v>#ERROR!</v>
      </c>
      <c r="E27" s="439">
        <v>75.0</v>
      </c>
      <c r="F27" s="440">
        <v>1.0</v>
      </c>
      <c r="G27" s="441" t="str">
        <f t="shared" si="1"/>
        <v>#ERROR!</v>
      </c>
      <c r="H27" s="169"/>
    </row>
    <row r="28" ht="12.0" customHeight="1">
      <c r="A28" s="437" t="s">
        <v>1694</v>
      </c>
      <c r="B28" s="437" t="s">
        <v>1695</v>
      </c>
      <c r="C28" s="438" t="s">
        <v>1649</v>
      </c>
      <c r="D28" s="439" t="str">
        <f>'RM Rollforward'!#REF!</f>
        <v>#ERROR!</v>
      </c>
      <c r="E28" s="439">
        <v>75.0</v>
      </c>
      <c r="F28" s="440">
        <v>1.0</v>
      </c>
      <c r="G28" s="441" t="str">
        <f t="shared" si="1"/>
        <v>#ERROR!</v>
      </c>
      <c r="H28" s="169"/>
    </row>
    <row r="29" ht="12.0" customHeight="1">
      <c r="A29" s="437" t="s">
        <v>1696</v>
      </c>
      <c r="B29" s="437" t="s">
        <v>1697</v>
      </c>
      <c r="C29" s="438" t="s">
        <v>1649</v>
      </c>
      <c r="D29" s="439" t="str">
        <f>'RM Rollforward'!#REF!</f>
        <v>#ERROR!</v>
      </c>
      <c r="E29" s="439">
        <v>75.0</v>
      </c>
      <c r="F29" s="440">
        <v>1.0</v>
      </c>
      <c r="G29" s="441" t="str">
        <f t="shared" si="1"/>
        <v>#ERROR!</v>
      </c>
      <c r="H29" s="169"/>
    </row>
    <row r="30" ht="12.0" customHeight="1">
      <c r="A30" s="437" t="s">
        <v>1698</v>
      </c>
      <c r="B30" s="437" t="s">
        <v>1699</v>
      </c>
      <c r="C30" s="438" t="s">
        <v>1649</v>
      </c>
      <c r="D30" s="439" t="str">
        <f>'RM Rollforward'!#REF!</f>
        <v>#ERROR!</v>
      </c>
      <c r="E30" s="439">
        <v>75.0</v>
      </c>
      <c r="F30" s="440">
        <v>1.0</v>
      </c>
      <c r="G30" s="441" t="str">
        <f t="shared" si="1"/>
        <v>#ERROR!</v>
      </c>
      <c r="H30" s="169"/>
    </row>
    <row r="31" ht="12.0" customHeight="1">
      <c r="A31" s="437" t="s">
        <v>1700</v>
      </c>
      <c r="B31" s="437" t="s">
        <v>1701</v>
      </c>
      <c r="C31" s="438" t="s">
        <v>1649</v>
      </c>
      <c r="D31" s="439" t="str">
        <f>'RM Rollforward'!#REF!</f>
        <v>#ERROR!</v>
      </c>
      <c r="E31" s="439">
        <v>75.0</v>
      </c>
      <c r="F31" s="440">
        <v>1.0</v>
      </c>
      <c r="G31" s="441" t="str">
        <f t="shared" si="1"/>
        <v>#ERROR!</v>
      </c>
      <c r="H31" s="169"/>
    </row>
    <row r="32" ht="12.0" customHeight="1">
      <c r="A32" s="437" t="s">
        <v>1702</v>
      </c>
      <c r="B32" s="437" t="s">
        <v>1703</v>
      </c>
      <c r="C32" s="438" t="s">
        <v>1649</v>
      </c>
      <c r="D32" s="439" t="str">
        <f>'RM Rollforward'!#REF!</f>
        <v>#ERROR!</v>
      </c>
      <c r="E32" s="439">
        <v>75.0</v>
      </c>
      <c r="F32" s="440">
        <v>1.0</v>
      </c>
      <c r="G32" s="441" t="str">
        <f t="shared" si="1"/>
        <v>#ERROR!</v>
      </c>
      <c r="H32" s="169"/>
    </row>
    <row r="33" ht="12.0" customHeight="1">
      <c r="A33" s="437" t="s">
        <v>1704</v>
      </c>
      <c r="B33" s="437" t="s">
        <v>1705</v>
      </c>
      <c r="C33" s="438" t="s">
        <v>1649</v>
      </c>
      <c r="D33" s="439" t="str">
        <f>'RM Rollforward'!#REF!</f>
        <v>#ERROR!</v>
      </c>
      <c r="E33" s="439">
        <v>75.0</v>
      </c>
      <c r="F33" s="440">
        <v>1.0</v>
      </c>
      <c r="G33" s="441" t="str">
        <f t="shared" si="1"/>
        <v>#ERROR!</v>
      </c>
      <c r="H33" s="169"/>
    </row>
    <row r="34" ht="12.0" customHeight="1">
      <c r="A34" s="437" t="s">
        <v>1706</v>
      </c>
      <c r="B34" s="437" t="s">
        <v>1707</v>
      </c>
      <c r="C34" s="438" t="s">
        <v>1649</v>
      </c>
      <c r="D34" s="439" t="str">
        <f>'RM Rollforward'!#REF!</f>
        <v>#ERROR!</v>
      </c>
      <c r="E34" s="439">
        <v>75.0</v>
      </c>
      <c r="F34" s="440">
        <v>1.0</v>
      </c>
      <c r="G34" s="441" t="str">
        <f t="shared" si="1"/>
        <v>#ERROR!</v>
      </c>
      <c r="H34" s="169"/>
    </row>
    <row r="35" ht="12.0" customHeight="1">
      <c r="A35" s="437" t="s">
        <v>1708</v>
      </c>
      <c r="B35" s="437" t="s">
        <v>1709</v>
      </c>
      <c r="C35" s="438" t="s">
        <v>1649</v>
      </c>
      <c r="D35" s="439" t="str">
        <f>'RM Rollforward'!#REF!</f>
        <v>#ERROR!</v>
      </c>
      <c r="E35" s="439">
        <v>75.0</v>
      </c>
      <c r="F35" s="440">
        <v>1.0</v>
      </c>
      <c r="G35" s="441" t="str">
        <f t="shared" si="1"/>
        <v>#ERROR!</v>
      </c>
      <c r="H35" s="169"/>
    </row>
    <row r="36" ht="12.0" customHeight="1">
      <c r="A36" s="437" t="s">
        <v>1710</v>
      </c>
      <c r="B36" s="437" t="s">
        <v>1711</v>
      </c>
      <c r="C36" s="438" t="s">
        <v>1649</v>
      </c>
      <c r="D36" s="439" t="str">
        <f>'RM Rollforward'!#REF!</f>
        <v>#ERROR!</v>
      </c>
      <c r="E36" s="439">
        <v>75.0</v>
      </c>
      <c r="F36" s="440">
        <v>1.0</v>
      </c>
      <c r="G36" s="441" t="str">
        <f t="shared" si="1"/>
        <v>#ERROR!</v>
      </c>
      <c r="H36" s="169"/>
    </row>
    <row r="37" ht="12.0" customHeight="1">
      <c r="A37" s="437" t="s">
        <v>1712</v>
      </c>
      <c r="B37" s="437" t="s">
        <v>1713</v>
      </c>
      <c r="C37" s="438" t="s">
        <v>1649</v>
      </c>
      <c r="D37" s="439" t="str">
        <f>'RM Rollforward'!#REF!</f>
        <v>#ERROR!</v>
      </c>
      <c r="E37" s="439">
        <v>75.0</v>
      </c>
      <c r="F37" s="440">
        <v>1.0</v>
      </c>
      <c r="G37" s="443" t="str">
        <f t="shared" si="1"/>
        <v>#ERROR!</v>
      </c>
      <c r="H37" s="169"/>
    </row>
    <row r="38" ht="12.0" customHeight="1">
      <c r="A38" s="437" t="s">
        <v>1714</v>
      </c>
      <c r="B38" s="437" t="s">
        <v>1715</v>
      </c>
      <c r="C38" s="438" t="s">
        <v>1649</v>
      </c>
      <c r="D38" s="439" t="str">
        <f>'RM Rollforward'!#REF!</f>
        <v>#ERROR!</v>
      </c>
      <c r="E38" s="439">
        <v>75.0</v>
      </c>
      <c r="F38" s="440">
        <v>1.0</v>
      </c>
      <c r="G38" s="443" t="str">
        <f t="shared" si="1"/>
        <v>#ERROR!</v>
      </c>
      <c r="H38" s="169"/>
    </row>
    <row r="39" ht="12.0" customHeight="1">
      <c r="A39" s="437" t="s">
        <v>1716</v>
      </c>
      <c r="B39" s="437" t="s">
        <v>1717</v>
      </c>
      <c r="C39" s="438" t="s">
        <v>1649</v>
      </c>
      <c r="D39" s="439" t="str">
        <f>'RM Rollforward'!#REF!</f>
        <v>#ERROR!</v>
      </c>
      <c r="E39" s="439">
        <v>75.0</v>
      </c>
      <c r="F39" s="440">
        <v>1.0</v>
      </c>
      <c r="G39" s="443" t="str">
        <f t="shared" si="1"/>
        <v>#ERROR!</v>
      </c>
      <c r="H39" s="169"/>
    </row>
    <row r="40" ht="12.0" customHeight="1">
      <c r="A40" s="437" t="s">
        <v>1718</v>
      </c>
      <c r="B40" s="437" t="s">
        <v>1719</v>
      </c>
      <c r="C40" s="438" t="s">
        <v>1649</v>
      </c>
      <c r="D40" s="439" t="str">
        <f>'RM Rollforward'!#REF!</f>
        <v>#ERROR!</v>
      </c>
      <c r="E40" s="439">
        <v>75.0</v>
      </c>
      <c r="F40" s="440">
        <v>1.0</v>
      </c>
      <c r="G40" s="443" t="str">
        <f t="shared" si="1"/>
        <v>#ERROR!</v>
      </c>
      <c r="H40" s="169"/>
    </row>
    <row r="41" ht="12.0" customHeight="1">
      <c r="A41" s="437" t="s">
        <v>1720</v>
      </c>
      <c r="B41" s="437" t="s">
        <v>1721</v>
      </c>
      <c r="C41" s="438" t="s">
        <v>1649</v>
      </c>
      <c r="D41" s="439" t="str">
        <f>'RM Rollforward'!#REF!</f>
        <v>#ERROR!</v>
      </c>
      <c r="E41" s="439">
        <v>75.0</v>
      </c>
      <c r="F41" s="440">
        <v>1.0</v>
      </c>
      <c r="G41" s="443" t="str">
        <f t="shared" si="1"/>
        <v>#ERROR!</v>
      </c>
      <c r="H41" s="169"/>
    </row>
    <row r="42" ht="12.0" customHeight="1">
      <c r="A42" s="437" t="s">
        <v>1722</v>
      </c>
      <c r="B42" s="437" t="s">
        <v>1723</v>
      </c>
      <c r="C42" s="438" t="s">
        <v>1649</v>
      </c>
      <c r="D42" s="439" t="str">
        <f>'RM Rollforward'!#REF!</f>
        <v>#ERROR!</v>
      </c>
      <c r="E42" s="439">
        <v>75.0</v>
      </c>
      <c r="F42" s="440">
        <v>1.0</v>
      </c>
      <c r="G42" s="443" t="str">
        <f t="shared" si="1"/>
        <v>#ERROR!</v>
      </c>
      <c r="H42" s="169"/>
    </row>
    <row r="43" ht="12.0" customHeight="1">
      <c r="A43" s="437" t="s">
        <v>1724</v>
      </c>
      <c r="B43" s="437" t="s">
        <v>1725</v>
      </c>
      <c r="C43" s="438" t="s">
        <v>1649</v>
      </c>
      <c r="D43" s="439" t="str">
        <f>'RM Rollforward'!#REF!</f>
        <v>#ERROR!</v>
      </c>
      <c r="E43" s="439">
        <v>75.0</v>
      </c>
      <c r="F43" s="440">
        <v>1.0</v>
      </c>
      <c r="G43" s="443" t="str">
        <f t="shared" si="1"/>
        <v>#ERROR!</v>
      </c>
      <c r="H43" s="169"/>
    </row>
    <row r="44" ht="12.0" customHeight="1">
      <c r="A44" s="437" t="s">
        <v>1726</v>
      </c>
      <c r="B44" s="437" t="s">
        <v>1727</v>
      </c>
      <c r="C44" s="438" t="s">
        <v>1649</v>
      </c>
      <c r="D44" s="439" t="str">
        <f>'RM Rollforward'!#REF!</f>
        <v>#ERROR!</v>
      </c>
      <c r="E44" s="439">
        <v>75.0</v>
      </c>
      <c r="F44" s="440">
        <v>1.0</v>
      </c>
      <c r="G44" s="443"/>
      <c r="H44" s="169"/>
    </row>
    <row r="45" ht="12.0" customHeight="1">
      <c r="A45" s="437" t="s">
        <v>1728</v>
      </c>
      <c r="B45" s="437" t="s">
        <v>1729</v>
      </c>
      <c r="C45" s="438" t="s">
        <v>1649</v>
      </c>
      <c r="D45" s="439" t="str">
        <f>'RM Rollforward'!#REF!</f>
        <v>#ERROR!</v>
      </c>
      <c r="E45" s="439">
        <v>75.0</v>
      </c>
      <c r="F45" s="440">
        <v>1.0</v>
      </c>
      <c r="G45" s="443" t="str">
        <f t="shared" ref="G45:G189" si="2">D45*E45*F45</f>
        <v>#ERROR!</v>
      </c>
      <c r="H45" s="169"/>
    </row>
    <row r="46" ht="12.0" customHeight="1">
      <c r="A46" s="437" t="s">
        <v>1730</v>
      </c>
      <c r="B46" s="437" t="s">
        <v>1731</v>
      </c>
      <c r="C46" s="438" t="s">
        <v>1649</v>
      </c>
      <c r="D46" s="439" t="str">
        <f>'RM Rollforward'!#REF!</f>
        <v>#ERROR!</v>
      </c>
      <c r="E46" s="439">
        <v>75.0</v>
      </c>
      <c r="F46" s="440">
        <v>1.0</v>
      </c>
      <c r="G46" s="443" t="str">
        <f t="shared" si="2"/>
        <v>#ERROR!</v>
      </c>
      <c r="H46" s="169"/>
    </row>
    <row r="47" ht="12.0" customHeight="1">
      <c r="A47" s="437" t="s">
        <v>1732</v>
      </c>
      <c r="B47" s="437" t="s">
        <v>1733</v>
      </c>
      <c r="C47" s="438" t="s">
        <v>1649</v>
      </c>
      <c r="D47" s="439" t="str">
        <f>'RM Rollforward'!#REF!</f>
        <v>#ERROR!</v>
      </c>
      <c r="E47" s="439">
        <v>75.0</v>
      </c>
      <c r="F47" s="440">
        <v>1.0</v>
      </c>
      <c r="G47" s="443" t="str">
        <f t="shared" si="2"/>
        <v>#ERROR!</v>
      </c>
      <c r="H47" s="169"/>
    </row>
    <row r="48" ht="12.0" customHeight="1">
      <c r="A48" s="437" t="s">
        <v>1734</v>
      </c>
      <c r="B48" s="437" t="s">
        <v>1735</v>
      </c>
      <c r="C48" s="438" t="s">
        <v>1649</v>
      </c>
      <c r="D48" s="439" t="str">
        <f>'RM Rollforward'!#REF!</f>
        <v>#ERROR!</v>
      </c>
      <c r="E48" s="439">
        <v>75.0</v>
      </c>
      <c r="F48" s="440">
        <v>1.0</v>
      </c>
      <c r="G48" s="443" t="str">
        <f t="shared" si="2"/>
        <v>#ERROR!</v>
      </c>
      <c r="H48" s="169"/>
    </row>
    <row r="49" ht="12.0" customHeight="1">
      <c r="A49" s="437" t="s">
        <v>1736</v>
      </c>
      <c r="B49" s="437" t="s">
        <v>1737</v>
      </c>
      <c r="C49" s="438" t="s">
        <v>1649</v>
      </c>
      <c r="D49" s="439" t="str">
        <f>'RM Rollforward'!#REF!</f>
        <v>#ERROR!</v>
      </c>
      <c r="E49" s="439">
        <v>75.0</v>
      </c>
      <c r="F49" s="440">
        <v>1.0</v>
      </c>
      <c r="G49" s="443" t="str">
        <f t="shared" si="2"/>
        <v>#ERROR!</v>
      </c>
      <c r="H49" s="169"/>
    </row>
    <row r="50" ht="12.0" customHeight="1">
      <c r="A50" s="437" t="s">
        <v>1738</v>
      </c>
      <c r="B50" s="437" t="s">
        <v>1739</v>
      </c>
      <c r="C50" s="438" t="s">
        <v>1649</v>
      </c>
      <c r="D50" s="439" t="str">
        <f>'RM Rollforward'!#REF!</f>
        <v>#ERROR!</v>
      </c>
      <c r="E50" s="439">
        <v>75.0</v>
      </c>
      <c r="F50" s="440">
        <v>1.0</v>
      </c>
      <c r="G50" s="443" t="str">
        <f t="shared" si="2"/>
        <v>#ERROR!</v>
      </c>
      <c r="H50" s="169"/>
    </row>
    <row r="51" ht="12.0" customHeight="1">
      <c r="A51" s="437" t="s">
        <v>1740</v>
      </c>
      <c r="B51" s="437" t="s">
        <v>1741</v>
      </c>
      <c r="C51" s="438" t="s">
        <v>1649</v>
      </c>
      <c r="D51" s="439" t="str">
        <f>'RM Rollforward'!#REF!</f>
        <v>#ERROR!</v>
      </c>
      <c r="E51" s="439">
        <v>75.0</v>
      </c>
      <c r="F51" s="440">
        <v>1.0</v>
      </c>
      <c r="G51" s="443" t="str">
        <f t="shared" si="2"/>
        <v>#ERROR!</v>
      </c>
      <c r="H51" s="169"/>
    </row>
    <row r="52" ht="12.0" customHeight="1">
      <c r="A52" s="437" t="s">
        <v>1742</v>
      </c>
      <c r="B52" s="437" t="s">
        <v>1743</v>
      </c>
      <c r="C52" s="438" t="s">
        <v>1649</v>
      </c>
      <c r="D52" s="439" t="str">
        <f>'RM Rollforward'!#REF!</f>
        <v>#ERROR!</v>
      </c>
      <c r="E52" s="439">
        <v>75.0</v>
      </c>
      <c r="F52" s="440">
        <v>1.0</v>
      </c>
      <c r="G52" s="443" t="str">
        <f t="shared" si="2"/>
        <v>#ERROR!</v>
      </c>
      <c r="H52" s="169"/>
    </row>
    <row r="53" ht="12.0" customHeight="1">
      <c r="A53" s="437" t="s">
        <v>1744</v>
      </c>
      <c r="B53" s="437" t="s">
        <v>1745</v>
      </c>
      <c r="C53" s="438" t="s">
        <v>1649</v>
      </c>
      <c r="D53" s="439" t="str">
        <f>'RM Rollforward'!#REF!</f>
        <v>#ERROR!</v>
      </c>
      <c r="E53" s="439">
        <v>75.0</v>
      </c>
      <c r="F53" s="440">
        <v>1.0</v>
      </c>
      <c r="G53" s="443" t="str">
        <f t="shared" si="2"/>
        <v>#ERROR!</v>
      </c>
      <c r="H53" s="169"/>
    </row>
    <row r="54" ht="12.0" customHeight="1">
      <c r="A54" s="437" t="s">
        <v>1746</v>
      </c>
      <c r="B54" s="437" t="s">
        <v>1747</v>
      </c>
      <c r="C54" s="438" t="s">
        <v>1649</v>
      </c>
      <c r="D54" s="439" t="str">
        <f>'RM Rollforward'!#REF!</f>
        <v>#ERROR!</v>
      </c>
      <c r="E54" s="439">
        <v>75.0</v>
      </c>
      <c r="F54" s="440">
        <v>1.0</v>
      </c>
      <c r="G54" s="443" t="str">
        <f t="shared" si="2"/>
        <v>#ERROR!</v>
      </c>
      <c r="H54" s="169"/>
    </row>
    <row r="55" ht="12.0" customHeight="1">
      <c r="A55" s="437" t="s">
        <v>1748</v>
      </c>
      <c r="B55" s="437" t="s">
        <v>1749</v>
      </c>
      <c r="C55" s="438" t="s">
        <v>1649</v>
      </c>
      <c r="D55" s="439" t="str">
        <f>'RM Rollforward'!#REF!</f>
        <v>#ERROR!</v>
      </c>
      <c r="E55" s="439">
        <v>75.0</v>
      </c>
      <c r="F55" s="440">
        <v>1.0</v>
      </c>
      <c r="G55" s="443" t="str">
        <f t="shared" si="2"/>
        <v>#ERROR!</v>
      </c>
      <c r="H55" s="169"/>
    </row>
    <row r="56" ht="12.0" customHeight="1">
      <c r="A56" s="437" t="s">
        <v>1750</v>
      </c>
      <c r="B56" s="437" t="s">
        <v>1751</v>
      </c>
      <c r="C56" s="438" t="s">
        <v>1649</v>
      </c>
      <c r="D56" s="439" t="str">
        <f>'RM Rollforward'!#REF!</f>
        <v>#ERROR!</v>
      </c>
      <c r="E56" s="439">
        <v>75.0</v>
      </c>
      <c r="F56" s="440">
        <v>1.0</v>
      </c>
      <c r="G56" s="443" t="str">
        <f t="shared" si="2"/>
        <v>#ERROR!</v>
      </c>
      <c r="H56" s="169"/>
    </row>
    <row r="57" ht="12.0" customHeight="1">
      <c r="A57" s="437" t="s">
        <v>1752</v>
      </c>
      <c r="B57" s="437" t="s">
        <v>1753</v>
      </c>
      <c r="C57" s="438" t="s">
        <v>1649</v>
      </c>
      <c r="D57" s="439" t="str">
        <f>'RM Rollforward'!#REF!</f>
        <v>#ERROR!</v>
      </c>
      <c r="E57" s="439">
        <v>75.0</v>
      </c>
      <c r="F57" s="440">
        <v>1.0</v>
      </c>
      <c r="G57" s="443" t="str">
        <f t="shared" si="2"/>
        <v>#ERROR!</v>
      </c>
      <c r="H57" s="169"/>
    </row>
    <row r="58" ht="12.0" customHeight="1">
      <c r="A58" s="437" t="s">
        <v>1754</v>
      </c>
      <c r="B58" s="437" t="s">
        <v>1755</v>
      </c>
      <c r="C58" s="438" t="s">
        <v>1649</v>
      </c>
      <c r="D58" s="439" t="str">
        <f>'RM Rollforward'!#REF!</f>
        <v>#ERROR!</v>
      </c>
      <c r="E58" s="444">
        <v>43.0</v>
      </c>
      <c r="F58" s="440">
        <v>1.0</v>
      </c>
      <c r="G58" s="443" t="str">
        <f t="shared" si="2"/>
        <v>#ERROR!</v>
      </c>
      <c r="H58" s="169"/>
    </row>
    <row r="59" ht="12.0" customHeight="1">
      <c r="A59" s="437" t="s">
        <v>1756</v>
      </c>
      <c r="B59" s="437" t="s">
        <v>1757</v>
      </c>
      <c r="C59" s="438" t="s">
        <v>1649</v>
      </c>
      <c r="D59" s="439" t="str">
        <f>'RM Rollforward'!#REF!</f>
        <v>#ERROR!</v>
      </c>
      <c r="E59" s="444">
        <v>43.0</v>
      </c>
      <c r="F59" s="440">
        <v>1.0</v>
      </c>
      <c r="G59" s="443" t="str">
        <f t="shared" si="2"/>
        <v>#ERROR!</v>
      </c>
      <c r="H59" s="169"/>
    </row>
    <row r="60" ht="12.0" customHeight="1">
      <c r="A60" s="437" t="s">
        <v>1758</v>
      </c>
      <c r="B60" s="437" t="s">
        <v>1759</v>
      </c>
      <c r="C60" s="438" t="s">
        <v>1649</v>
      </c>
      <c r="D60" s="439" t="str">
        <f>'RM Rollforward'!#REF!</f>
        <v>#ERROR!</v>
      </c>
      <c r="E60" s="444">
        <v>43.0</v>
      </c>
      <c r="F60" s="440">
        <v>1.0</v>
      </c>
      <c r="G60" s="443" t="str">
        <f t="shared" si="2"/>
        <v>#ERROR!</v>
      </c>
      <c r="H60" s="169"/>
    </row>
    <row r="61" ht="12.0" customHeight="1">
      <c r="A61" s="437" t="s">
        <v>1760</v>
      </c>
      <c r="B61" s="437" t="s">
        <v>1761</v>
      </c>
      <c r="C61" s="438" t="s">
        <v>1649</v>
      </c>
      <c r="D61" s="439" t="str">
        <f>'RM Rollforward'!#REF!</f>
        <v>#ERROR!</v>
      </c>
      <c r="E61" s="444">
        <v>43.0</v>
      </c>
      <c r="F61" s="440">
        <v>1.0</v>
      </c>
      <c r="G61" s="443" t="str">
        <f t="shared" si="2"/>
        <v>#ERROR!</v>
      </c>
      <c r="H61" s="169"/>
    </row>
    <row r="62" ht="12.0" customHeight="1">
      <c r="A62" s="437" t="s">
        <v>1762</v>
      </c>
      <c r="B62" s="437" t="s">
        <v>1763</v>
      </c>
      <c r="C62" s="438" t="s">
        <v>1649</v>
      </c>
      <c r="D62" s="439" t="str">
        <f>'RM Rollforward'!#REF!</f>
        <v>#ERROR!</v>
      </c>
      <c r="E62" s="444">
        <v>43.0</v>
      </c>
      <c r="F62" s="440">
        <v>1.0</v>
      </c>
      <c r="G62" s="443" t="str">
        <f t="shared" si="2"/>
        <v>#ERROR!</v>
      </c>
      <c r="H62" s="169"/>
    </row>
    <row r="63" ht="12.0" customHeight="1">
      <c r="A63" s="437" t="s">
        <v>1764</v>
      </c>
      <c r="B63" s="437" t="s">
        <v>1765</v>
      </c>
      <c r="C63" s="438" t="s">
        <v>1649</v>
      </c>
      <c r="D63" s="439">
        <f>'RM Rollforward'!H550</f>
        <v>0</v>
      </c>
      <c r="E63" s="444">
        <v>43.0</v>
      </c>
      <c r="F63" s="440">
        <v>1.0</v>
      </c>
      <c r="G63" s="443">
        <f t="shared" si="2"/>
        <v>0</v>
      </c>
      <c r="H63" s="169"/>
    </row>
    <row r="64" ht="12.0" customHeight="1">
      <c r="A64" s="437" t="s">
        <v>1766</v>
      </c>
      <c r="B64" s="437" t="s">
        <v>1767</v>
      </c>
      <c r="C64" s="438" t="s">
        <v>1649</v>
      </c>
      <c r="D64" s="439">
        <f>'RM Rollforward'!H551</f>
        <v>363</v>
      </c>
      <c r="E64" s="444">
        <v>43.0</v>
      </c>
      <c r="F64" s="440">
        <v>1.0</v>
      </c>
      <c r="G64" s="443">
        <f t="shared" si="2"/>
        <v>15609</v>
      </c>
      <c r="H64" s="169"/>
    </row>
    <row r="65" ht="12.0" customHeight="1">
      <c r="A65" s="437" t="s">
        <v>1768</v>
      </c>
      <c r="B65" s="437" t="s">
        <v>1769</v>
      </c>
      <c r="C65" s="438" t="s">
        <v>1649</v>
      </c>
      <c r="D65" s="439">
        <f>'RM Rollforward'!H552</f>
        <v>0</v>
      </c>
      <c r="E65" s="444">
        <v>43.0</v>
      </c>
      <c r="F65" s="440">
        <v>1.0</v>
      </c>
      <c r="G65" s="443">
        <f t="shared" si="2"/>
        <v>0</v>
      </c>
      <c r="H65" s="169"/>
    </row>
    <row r="66" ht="12.0" customHeight="1">
      <c r="A66" s="437" t="s">
        <v>1770</v>
      </c>
      <c r="B66" s="437" t="s">
        <v>1771</v>
      </c>
      <c r="C66" s="438" t="s">
        <v>1649</v>
      </c>
      <c r="D66" s="439">
        <f>'RM Rollforward'!H553</f>
        <v>0</v>
      </c>
      <c r="E66" s="444">
        <v>43.0</v>
      </c>
      <c r="F66" s="440">
        <v>1.0</v>
      </c>
      <c r="G66" s="443">
        <f t="shared" si="2"/>
        <v>0</v>
      </c>
      <c r="H66" s="169"/>
    </row>
    <row r="67" ht="12.0" customHeight="1">
      <c r="A67" s="437" t="s">
        <v>1772</v>
      </c>
      <c r="B67" s="437" t="s">
        <v>1773</v>
      </c>
      <c r="C67" s="438" t="s">
        <v>1649</v>
      </c>
      <c r="D67" s="439">
        <f>'RM Rollforward'!H554</f>
        <v>0</v>
      </c>
      <c r="E67" s="444">
        <v>43.0</v>
      </c>
      <c r="F67" s="440">
        <v>1.0</v>
      </c>
      <c r="G67" s="443">
        <f t="shared" si="2"/>
        <v>0</v>
      </c>
      <c r="H67" s="169"/>
    </row>
    <row r="68" ht="12.0" customHeight="1">
      <c r="A68" s="437" t="s">
        <v>1774</v>
      </c>
      <c r="B68" s="437" t="s">
        <v>1775</v>
      </c>
      <c r="C68" s="438" t="s">
        <v>1649</v>
      </c>
      <c r="D68" s="439">
        <f>'RM Rollforward'!H566</f>
        <v>21</v>
      </c>
      <c r="E68" s="444">
        <v>43.0</v>
      </c>
      <c r="F68" s="440">
        <v>1.0</v>
      </c>
      <c r="G68" s="443">
        <f t="shared" si="2"/>
        <v>903</v>
      </c>
      <c r="H68" s="169"/>
    </row>
    <row r="69" ht="12.0" customHeight="1">
      <c r="A69" s="437" t="s">
        <v>1776</v>
      </c>
      <c r="B69" s="437" t="s">
        <v>1777</v>
      </c>
      <c r="C69" s="438" t="s">
        <v>1649</v>
      </c>
      <c r="D69" s="439">
        <f>'RM Rollforward'!H567</f>
        <v>0</v>
      </c>
      <c r="E69" s="444">
        <v>43.0</v>
      </c>
      <c r="F69" s="440">
        <v>1.0</v>
      </c>
      <c r="G69" s="443">
        <f t="shared" si="2"/>
        <v>0</v>
      </c>
      <c r="H69" s="169"/>
    </row>
    <row r="70" ht="12.0" customHeight="1">
      <c r="A70" s="437" t="s">
        <v>1778</v>
      </c>
      <c r="B70" s="437" t="s">
        <v>1779</v>
      </c>
      <c r="C70" s="438" t="s">
        <v>1649</v>
      </c>
      <c r="D70" s="439">
        <f>'RM Rollforward'!H568</f>
        <v>110</v>
      </c>
      <c r="E70" s="444">
        <v>43.0</v>
      </c>
      <c r="F70" s="440">
        <v>1.0</v>
      </c>
      <c r="G70" s="443">
        <f t="shared" si="2"/>
        <v>4730</v>
      </c>
      <c r="H70" s="169"/>
    </row>
    <row r="71" ht="12.0" customHeight="1">
      <c r="A71" s="437" t="s">
        <v>1780</v>
      </c>
      <c r="B71" s="437" t="s">
        <v>1781</v>
      </c>
      <c r="C71" s="438" t="s">
        <v>1649</v>
      </c>
      <c r="D71" s="439">
        <f>'RM Rollforward'!H569</f>
        <v>0</v>
      </c>
      <c r="E71" s="444">
        <v>43.0</v>
      </c>
      <c r="F71" s="440">
        <v>1.0</v>
      </c>
      <c r="G71" s="443">
        <f t="shared" si="2"/>
        <v>0</v>
      </c>
      <c r="H71" s="169"/>
    </row>
    <row r="72" ht="12.0" customHeight="1">
      <c r="A72" s="437" t="s">
        <v>1782</v>
      </c>
      <c r="B72" s="437" t="s">
        <v>1783</v>
      </c>
      <c r="C72" s="438" t="s">
        <v>1649</v>
      </c>
      <c r="D72" s="439">
        <f>'RM Rollforward'!H570</f>
        <v>0</v>
      </c>
      <c r="E72" s="444">
        <v>43.0</v>
      </c>
      <c r="F72" s="440">
        <v>1.0</v>
      </c>
      <c r="G72" s="443">
        <f t="shared" si="2"/>
        <v>0</v>
      </c>
      <c r="H72" s="169"/>
    </row>
    <row r="73" ht="12.0" customHeight="1">
      <c r="A73" s="437" t="s">
        <v>1784</v>
      </c>
      <c r="B73" s="437" t="s">
        <v>1785</v>
      </c>
      <c r="C73" s="438" t="s">
        <v>1649</v>
      </c>
      <c r="D73" s="439">
        <f>'RM Rollforward'!H571</f>
        <v>0</v>
      </c>
      <c r="E73" s="444">
        <v>43.0</v>
      </c>
      <c r="F73" s="440">
        <v>1.0</v>
      </c>
      <c r="G73" s="443">
        <f t="shared" si="2"/>
        <v>0</v>
      </c>
      <c r="H73" s="169"/>
    </row>
    <row r="74" ht="12.0" customHeight="1">
      <c r="A74" s="437" t="s">
        <v>1786</v>
      </c>
      <c r="B74" s="437" t="s">
        <v>1787</v>
      </c>
      <c r="C74" s="438" t="s">
        <v>1649</v>
      </c>
      <c r="D74" s="439">
        <f>'RM Rollforward'!H572</f>
        <v>0</v>
      </c>
      <c r="E74" s="444">
        <v>43.0</v>
      </c>
      <c r="F74" s="440">
        <v>1.0</v>
      </c>
      <c r="G74" s="443">
        <f t="shared" si="2"/>
        <v>0</v>
      </c>
      <c r="H74" s="169"/>
    </row>
    <row r="75" ht="12.0" customHeight="1">
      <c r="A75" s="437" t="s">
        <v>1788</v>
      </c>
      <c r="B75" s="437" t="s">
        <v>1789</v>
      </c>
      <c r="C75" s="438" t="s">
        <v>1649</v>
      </c>
      <c r="D75" s="439">
        <f>'RM Rollforward'!H573</f>
        <v>17</v>
      </c>
      <c r="E75" s="444">
        <v>43.0</v>
      </c>
      <c r="F75" s="440">
        <v>1.0</v>
      </c>
      <c r="G75" s="443">
        <f t="shared" si="2"/>
        <v>731</v>
      </c>
      <c r="H75" s="169"/>
    </row>
    <row r="76" ht="12.0" customHeight="1">
      <c r="A76" s="437" t="s">
        <v>1790</v>
      </c>
      <c r="B76" s="437" t="s">
        <v>1791</v>
      </c>
      <c r="C76" s="438" t="s">
        <v>1649</v>
      </c>
      <c r="D76" s="439">
        <f>'RM Rollforward'!H574</f>
        <v>0</v>
      </c>
      <c r="E76" s="444">
        <v>43.0</v>
      </c>
      <c r="F76" s="440">
        <v>1.0</v>
      </c>
      <c r="G76" s="443">
        <f t="shared" si="2"/>
        <v>0</v>
      </c>
      <c r="H76" s="169"/>
    </row>
    <row r="77" ht="12.0" customHeight="1">
      <c r="A77" s="437" t="s">
        <v>1792</v>
      </c>
      <c r="B77" s="437" t="s">
        <v>1793</v>
      </c>
      <c r="C77" s="438" t="s">
        <v>1649</v>
      </c>
      <c r="D77" s="439">
        <f>'RM Rollforward'!H575</f>
        <v>0</v>
      </c>
      <c r="E77" s="444">
        <v>43.0</v>
      </c>
      <c r="F77" s="440">
        <v>1.0</v>
      </c>
      <c r="G77" s="443">
        <f t="shared" si="2"/>
        <v>0</v>
      </c>
      <c r="H77" s="169"/>
    </row>
    <row r="78" ht="12.0" customHeight="1">
      <c r="A78" s="437" t="s">
        <v>1794</v>
      </c>
      <c r="B78" s="437" t="s">
        <v>1795</v>
      </c>
      <c r="C78" s="438" t="s">
        <v>1649</v>
      </c>
      <c r="D78" s="439">
        <f>'RM Rollforward'!H576</f>
        <v>0</v>
      </c>
      <c r="E78" s="444">
        <v>43.0</v>
      </c>
      <c r="F78" s="440">
        <v>1.0</v>
      </c>
      <c r="G78" s="443">
        <f t="shared" si="2"/>
        <v>0</v>
      </c>
      <c r="H78" s="169"/>
    </row>
    <row r="79" ht="12.0" customHeight="1">
      <c r="A79" s="437" t="s">
        <v>1796</v>
      </c>
      <c r="B79" s="437" t="s">
        <v>1797</v>
      </c>
      <c r="C79" s="438" t="s">
        <v>1649</v>
      </c>
      <c r="D79" s="439">
        <f>'RM Rollforward'!H577</f>
        <v>18</v>
      </c>
      <c r="E79" s="444">
        <v>43.0</v>
      </c>
      <c r="F79" s="440">
        <v>1.0</v>
      </c>
      <c r="G79" s="443">
        <f t="shared" si="2"/>
        <v>774</v>
      </c>
      <c r="H79" s="169"/>
    </row>
    <row r="80" ht="12.0" customHeight="1">
      <c r="A80" s="437" t="s">
        <v>1798</v>
      </c>
      <c r="B80" s="437" t="s">
        <v>1799</v>
      </c>
      <c r="C80" s="438" t="s">
        <v>1649</v>
      </c>
      <c r="D80" s="439">
        <f>'RM Rollforward'!H578</f>
        <v>10</v>
      </c>
      <c r="E80" s="444">
        <v>43.0</v>
      </c>
      <c r="F80" s="440">
        <v>1.0</v>
      </c>
      <c r="G80" s="443">
        <f t="shared" si="2"/>
        <v>430</v>
      </c>
      <c r="H80" s="169"/>
    </row>
    <row r="81" ht="12.0" customHeight="1">
      <c r="A81" s="437" t="s">
        <v>1800</v>
      </c>
      <c r="B81" s="437" t="s">
        <v>1801</v>
      </c>
      <c r="C81" s="438" t="s">
        <v>1649</v>
      </c>
      <c r="D81" s="439">
        <f>'RM Rollforward'!H579</f>
        <v>134</v>
      </c>
      <c r="E81" s="444">
        <v>43.0</v>
      </c>
      <c r="F81" s="440">
        <v>1.0</v>
      </c>
      <c r="G81" s="443">
        <f t="shared" si="2"/>
        <v>5762</v>
      </c>
      <c r="H81" s="169"/>
    </row>
    <row r="82" ht="12.0" customHeight="1">
      <c r="A82" s="437" t="s">
        <v>1802</v>
      </c>
      <c r="B82" s="437" t="s">
        <v>1803</v>
      </c>
      <c r="C82" s="438" t="s">
        <v>1649</v>
      </c>
      <c r="D82" s="439">
        <f>'RM Rollforward'!H580</f>
        <v>0</v>
      </c>
      <c r="E82" s="444">
        <v>43.0</v>
      </c>
      <c r="F82" s="440">
        <v>1.0</v>
      </c>
      <c r="G82" s="443">
        <f t="shared" si="2"/>
        <v>0</v>
      </c>
      <c r="H82" s="169"/>
    </row>
    <row r="83" ht="12.0" customHeight="1">
      <c r="A83" s="437" t="s">
        <v>1804</v>
      </c>
      <c r="B83" s="437" t="s">
        <v>1805</v>
      </c>
      <c r="C83" s="438" t="s">
        <v>1649</v>
      </c>
      <c r="D83" s="439">
        <f>'RM Rollforward'!H581</f>
        <v>154</v>
      </c>
      <c r="E83" s="444">
        <v>43.0</v>
      </c>
      <c r="F83" s="440">
        <v>1.0</v>
      </c>
      <c r="G83" s="443">
        <f t="shared" si="2"/>
        <v>6622</v>
      </c>
      <c r="H83" s="169"/>
    </row>
    <row r="84" ht="12.0" customHeight="1">
      <c r="A84" s="437" t="s">
        <v>1806</v>
      </c>
      <c r="B84" s="437" t="s">
        <v>1807</v>
      </c>
      <c r="C84" s="438" t="s">
        <v>1649</v>
      </c>
      <c r="D84" s="439">
        <f>'RM Rollforward'!H582</f>
        <v>18</v>
      </c>
      <c r="E84" s="444">
        <v>43.0</v>
      </c>
      <c r="F84" s="440">
        <v>1.0</v>
      </c>
      <c r="G84" s="443">
        <f t="shared" si="2"/>
        <v>774</v>
      </c>
      <c r="H84" s="169"/>
    </row>
    <row r="85" ht="12.0" customHeight="1">
      <c r="A85" s="437" t="s">
        <v>1808</v>
      </c>
      <c r="B85" s="437" t="s">
        <v>1809</v>
      </c>
      <c r="C85" s="438" t="s">
        <v>1649</v>
      </c>
      <c r="D85" s="439">
        <f>'RM Rollforward'!H583</f>
        <v>596</v>
      </c>
      <c r="E85" s="444">
        <v>43.0</v>
      </c>
      <c r="F85" s="440">
        <v>1.0</v>
      </c>
      <c r="G85" s="443">
        <f t="shared" si="2"/>
        <v>25628</v>
      </c>
      <c r="H85" s="169"/>
    </row>
    <row r="86" ht="12.0" customHeight="1">
      <c r="A86" s="437" t="s">
        <v>1810</v>
      </c>
      <c r="B86" s="437" t="s">
        <v>1811</v>
      </c>
      <c r="C86" s="438" t="s">
        <v>1649</v>
      </c>
      <c r="D86" s="439">
        <f>'RM Rollforward'!H584</f>
        <v>0</v>
      </c>
      <c r="E86" s="444">
        <v>43.0</v>
      </c>
      <c r="F86" s="440">
        <v>1.0</v>
      </c>
      <c r="G86" s="443">
        <f t="shared" si="2"/>
        <v>0</v>
      </c>
      <c r="H86" s="169"/>
    </row>
    <row r="87" ht="12.0" customHeight="1">
      <c r="A87" s="437" t="s">
        <v>1812</v>
      </c>
      <c r="B87" s="437" t="s">
        <v>1813</v>
      </c>
      <c r="C87" s="438" t="s">
        <v>1649</v>
      </c>
      <c r="D87" s="439">
        <f>'RM Rollforward'!H585</f>
        <v>0</v>
      </c>
      <c r="E87" s="444">
        <v>43.0</v>
      </c>
      <c r="F87" s="440">
        <v>1.0</v>
      </c>
      <c r="G87" s="443">
        <f t="shared" si="2"/>
        <v>0</v>
      </c>
      <c r="H87" s="169"/>
    </row>
    <row r="88" ht="12.0" customHeight="1">
      <c r="A88" s="437" t="s">
        <v>1814</v>
      </c>
      <c r="B88" s="437" t="s">
        <v>1815</v>
      </c>
      <c r="C88" s="438" t="s">
        <v>1649</v>
      </c>
      <c r="D88" s="439">
        <f>'RM Rollforward'!H586</f>
        <v>44</v>
      </c>
      <c r="E88" s="444">
        <v>43.0</v>
      </c>
      <c r="F88" s="440">
        <v>1.0</v>
      </c>
      <c r="G88" s="443">
        <f t="shared" si="2"/>
        <v>1892</v>
      </c>
      <c r="H88" s="169"/>
    </row>
    <row r="89" ht="12.0" customHeight="1">
      <c r="A89" s="437" t="s">
        <v>1816</v>
      </c>
      <c r="B89" s="437" t="s">
        <v>1817</v>
      </c>
      <c r="C89" s="438" t="s">
        <v>1649</v>
      </c>
      <c r="D89" s="439">
        <f>'RM Rollforward'!H587</f>
        <v>0</v>
      </c>
      <c r="E89" s="444">
        <v>43.0</v>
      </c>
      <c r="F89" s="440">
        <v>1.0</v>
      </c>
      <c r="G89" s="443">
        <f t="shared" si="2"/>
        <v>0</v>
      </c>
      <c r="H89" s="169"/>
    </row>
    <row r="90" ht="12.0" customHeight="1">
      <c r="A90" s="437" t="s">
        <v>1818</v>
      </c>
      <c r="B90" s="437" t="s">
        <v>1819</v>
      </c>
      <c r="C90" s="438" t="s">
        <v>1649</v>
      </c>
      <c r="D90" s="439">
        <f>'RM Rollforward'!H588</f>
        <v>0</v>
      </c>
      <c r="E90" s="444">
        <v>43.0</v>
      </c>
      <c r="F90" s="440">
        <v>1.0</v>
      </c>
      <c r="G90" s="443">
        <f t="shared" si="2"/>
        <v>0</v>
      </c>
      <c r="H90" s="169"/>
    </row>
    <row r="91" ht="12.0" customHeight="1">
      <c r="A91" s="437" t="s">
        <v>1820</v>
      </c>
      <c r="B91" s="437" t="s">
        <v>1821</v>
      </c>
      <c r="C91" s="438" t="s">
        <v>1649</v>
      </c>
      <c r="D91" s="439">
        <f>'RM Rollforward'!H589</f>
        <v>435</v>
      </c>
      <c r="E91" s="444">
        <v>43.0</v>
      </c>
      <c r="F91" s="440">
        <v>1.0</v>
      </c>
      <c r="G91" s="443">
        <f t="shared" si="2"/>
        <v>18705</v>
      </c>
      <c r="H91" s="169"/>
    </row>
    <row r="92" ht="12.0" customHeight="1">
      <c r="A92" s="437" t="s">
        <v>1822</v>
      </c>
      <c r="B92" s="437" t="s">
        <v>1823</v>
      </c>
      <c r="C92" s="438" t="s">
        <v>1649</v>
      </c>
      <c r="D92" s="439">
        <f>'RM Rollforward'!H590</f>
        <v>96</v>
      </c>
      <c r="E92" s="444">
        <v>43.0</v>
      </c>
      <c r="F92" s="440">
        <v>1.0</v>
      </c>
      <c r="G92" s="443">
        <f t="shared" si="2"/>
        <v>4128</v>
      </c>
      <c r="H92" s="169"/>
    </row>
    <row r="93" ht="12.0" customHeight="1">
      <c r="A93" s="437" t="s">
        <v>1824</v>
      </c>
      <c r="B93" s="437" t="s">
        <v>1825</v>
      </c>
      <c r="C93" s="438" t="s">
        <v>1649</v>
      </c>
      <c r="D93" s="439">
        <f>'RM Rollforward'!H591</f>
        <v>2177</v>
      </c>
      <c r="E93" s="444">
        <v>43.0</v>
      </c>
      <c r="F93" s="440">
        <v>1.0</v>
      </c>
      <c r="G93" s="443">
        <f t="shared" si="2"/>
        <v>93611</v>
      </c>
      <c r="H93" s="169"/>
    </row>
    <row r="94" ht="12.0" customHeight="1">
      <c r="A94" s="437" t="s">
        <v>1826</v>
      </c>
      <c r="B94" s="437" t="s">
        <v>1827</v>
      </c>
      <c r="C94" s="438" t="s">
        <v>1649</v>
      </c>
      <c r="D94" s="439">
        <f>'RM Rollforward'!H592</f>
        <v>0</v>
      </c>
      <c r="E94" s="444">
        <v>43.0</v>
      </c>
      <c r="F94" s="440">
        <v>1.0</v>
      </c>
      <c r="G94" s="443">
        <f t="shared" si="2"/>
        <v>0</v>
      </c>
      <c r="H94" s="169"/>
    </row>
    <row r="95" ht="12.0" customHeight="1">
      <c r="A95" s="437" t="s">
        <v>1828</v>
      </c>
      <c r="B95" s="437" t="s">
        <v>1829</v>
      </c>
      <c r="C95" s="438" t="s">
        <v>1649</v>
      </c>
      <c r="D95" s="439">
        <f>'RM Rollforward'!H593</f>
        <v>0</v>
      </c>
      <c r="E95" s="444">
        <v>43.0</v>
      </c>
      <c r="F95" s="440">
        <v>1.0</v>
      </c>
      <c r="G95" s="443">
        <f t="shared" si="2"/>
        <v>0</v>
      </c>
      <c r="H95" s="169"/>
    </row>
    <row r="96" ht="12.0" customHeight="1">
      <c r="A96" s="437" t="s">
        <v>1830</v>
      </c>
      <c r="B96" s="437" t="s">
        <v>1831</v>
      </c>
      <c r="C96" s="438" t="s">
        <v>1649</v>
      </c>
      <c r="D96" s="439">
        <f>'RM Rollforward'!H594</f>
        <v>21</v>
      </c>
      <c r="E96" s="444">
        <v>43.0</v>
      </c>
      <c r="F96" s="440">
        <v>1.0</v>
      </c>
      <c r="G96" s="443">
        <f t="shared" si="2"/>
        <v>903</v>
      </c>
      <c r="H96" s="169"/>
    </row>
    <row r="97" ht="12.0" customHeight="1">
      <c r="A97" s="437" t="s">
        <v>1832</v>
      </c>
      <c r="B97" s="437" t="s">
        <v>1833</v>
      </c>
      <c r="C97" s="438" t="s">
        <v>1649</v>
      </c>
      <c r="D97" s="439">
        <f>'RM Rollforward'!H595</f>
        <v>0</v>
      </c>
      <c r="E97" s="444">
        <v>43.0</v>
      </c>
      <c r="F97" s="440">
        <v>1.0</v>
      </c>
      <c r="G97" s="443">
        <f t="shared" si="2"/>
        <v>0</v>
      </c>
      <c r="H97" s="169"/>
    </row>
    <row r="98" ht="12.0" customHeight="1">
      <c r="A98" s="437" t="s">
        <v>1834</v>
      </c>
      <c r="B98" s="437" t="s">
        <v>1835</v>
      </c>
      <c r="C98" s="438" t="s">
        <v>1649</v>
      </c>
      <c r="D98" s="439">
        <f>'RM Rollforward'!H596</f>
        <v>23</v>
      </c>
      <c r="E98" s="444">
        <v>43.0</v>
      </c>
      <c r="F98" s="440">
        <v>1.0</v>
      </c>
      <c r="G98" s="443">
        <f t="shared" si="2"/>
        <v>989</v>
      </c>
      <c r="H98" s="169"/>
    </row>
    <row r="99" ht="12.0" customHeight="1">
      <c r="A99" s="437" t="s">
        <v>1836</v>
      </c>
      <c r="B99" s="437" t="s">
        <v>1837</v>
      </c>
      <c r="C99" s="438" t="s">
        <v>1649</v>
      </c>
      <c r="D99" s="439">
        <f>'RM Rollforward'!H597</f>
        <v>0</v>
      </c>
      <c r="E99" s="444">
        <v>43.0</v>
      </c>
      <c r="F99" s="440">
        <v>1.0</v>
      </c>
      <c r="G99" s="443">
        <f t="shared" si="2"/>
        <v>0</v>
      </c>
      <c r="H99" s="169"/>
    </row>
    <row r="100" ht="12.0" customHeight="1">
      <c r="A100" s="437" t="s">
        <v>1838</v>
      </c>
      <c r="B100" s="437" t="s">
        <v>1839</v>
      </c>
      <c r="C100" s="438" t="s">
        <v>1649</v>
      </c>
      <c r="D100" s="439">
        <f>'RM Rollforward'!H598</f>
        <v>1685</v>
      </c>
      <c r="E100" s="444">
        <v>43.0</v>
      </c>
      <c r="F100" s="440">
        <v>1.0</v>
      </c>
      <c r="G100" s="443">
        <f t="shared" si="2"/>
        <v>72455</v>
      </c>
      <c r="H100" s="169"/>
    </row>
    <row r="101" ht="12.0" customHeight="1">
      <c r="A101" s="437" t="s">
        <v>1840</v>
      </c>
      <c r="B101" s="437" t="s">
        <v>1841</v>
      </c>
      <c r="C101" s="438" t="s">
        <v>1649</v>
      </c>
      <c r="D101" s="439">
        <f>'RM Rollforward'!H599</f>
        <v>1211</v>
      </c>
      <c r="E101" s="444">
        <v>43.0</v>
      </c>
      <c r="F101" s="440">
        <v>1.0</v>
      </c>
      <c r="G101" s="443">
        <f t="shared" si="2"/>
        <v>52073</v>
      </c>
      <c r="H101" s="169"/>
    </row>
    <row r="102" ht="12.0" customHeight="1">
      <c r="A102" s="437" t="s">
        <v>1842</v>
      </c>
      <c r="B102" s="437" t="s">
        <v>1843</v>
      </c>
      <c r="C102" s="438" t="s">
        <v>1649</v>
      </c>
      <c r="D102" s="439">
        <f>'RM Rollforward'!H600</f>
        <v>1666</v>
      </c>
      <c r="E102" s="444">
        <v>43.0</v>
      </c>
      <c r="F102" s="440">
        <v>1.0</v>
      </c>
      <c r="G102" s="443">
        <f t="shared" si="2"/>
        <v>71638</v>
      </c>
      <c r="H102" s="169"/>
    </row>
    <row r="103" ht="12.0" customHeight="1">
      <c r="A103" s="437" t="s">
        <v>1844</v>
      </c>
      <c r="B103" s="437" t="s">
        <v>1845</v>
      </c>
      <c r="C103" s="438" t="s">
        <v>1649</v>
      </c>
      <c r="D103" s="439">
        <f>'RM Rollforward'!H601</f>
        <v>0</v>
      </c>
      <c r="E103" s="444">
        <v>43.0</v>
      </c>
      <c r="F103" s="440">
        <v>1.0</v>
      </c>
      <c r="G103" s="443">
        <f t="shared" si="2"/>
        <v>0</v>
      </c>
      <c r="H103" s="169"/>
    </row>
    <row r="104" ht="12.0" customHeight="1">
      <c r="A104" s="437" t="s">
        <v>1846</v>
      </c>
      <c r="B104" s="437" t="s">
        <v>1847</v>
      </c>
      <c r="C104" s="438" t="s">
        <v>1649</v>
      </c>
      <c r="D104" s="439">
        <f>'RM Rollforward'!H602</f>
        <v>0</v>
      </c>
      <c r="E104" s="444">
        <v>43.0</v>
      </c>
      <c r="F104" s="440">
        <v>1.0</v>
      </c>
      <c r="G104" s="443">
        <f t="shared" si="2"/>
        <v>0</v>
      </c>
      <c r="H104" s="169"/>
    </row>
    <row r="105" ht="12.0" customHeight="1">
      <c r="A105" s="437" t="s">
        <v>1848</v>
      </c>
      <c r="B105" s="437" t="s">
        <v>1849</v>
      </c>
      <c r="C105" s="438" t="s">
        <v>1649</v>
      </c>
      <c r="D105" s="439">
        <f>'RM Rollforward'!H603</f>
        <v>0</v>
      </c>
      <c r="E105" s="444">
        <v>43.0</v>
      </c>
      <c r="F105" s="440">
        <v>1.0</v>
      </c>
      <c r="G105" s="443">
        <f t="shared" si="2"/>
        <v>0</v>
      </c>
      <c r="H105" s="169"/>
    </row>
    <row r="106" ht="12.0" customHeight="1">
      <c r="A106" s="437" t="s">
        <v>1850</v>
      </c>
      <c r="B106" s="437" t="s">
        <v>1851</v>
      </c>
      <c r="C106" s="438" t="s">
        <v>1649</v>
      </c>
      <c r="D106" s="439">
        <f>'RM Rollforward'!H604</f>
        <v>705</v>
      </c>
      <c r="E106" s="444">
        <v>43.0</v>
      </c>
      <c r="F106" s="440">
        <v>1.0</v>
      </c>
      <c r="G106" s="443">
        <f t="shared" si="2"/>
        <v>30315</v>
      </c>
      <c r="H106" s="169"/>
    </row>
    <row r="107" ht="12.0" customHeight="1">
      <c r="A107" s="437" t="s">
        <v>1852</v>
      </c>
      <c r="B107" s="437" t="s">
        <v>1853</v>
      </c>
      <c r="C107" s="438" t="s">
        <v>1649</v>
      </c>
      <c r="D107" s="439">
        <f>'RM Rollforward'!H605</f>
        <v>267</v>
      </c>
      <c r="E107" s="444">
        <v>43.0</v>
      </c>
      <c r="F107" s="440">
        <v>1.0</v>
      </c>
      <c r="G107" s="443">
        <f t="shared" si="2"/>
        <v>11481</v>
      </c>
      <c r="H107" s="169"/>
    </row>
    <row r="108" ht="12.0" customHeight="1">
      <c r="A108" s="437" t="s">
        <v>1854</v>
      </c>
      <c r="B108" s="437" t="s">
        <v>1855</v>
      </c>
      <c r="C108" s="438" t="s">
        <v>1649</v>
      </c>
      <c r="D108" s="439">
        <f>'RM Rollforward'!H606</f>
        <v>1227</v>
      </c>
      <c r="E108" s="444">
        <v>43.0</v>
      </c>
      <c r="F108" s="440">
        <v>1.0</v>
      </c>
      <c r="G108" s="443">
        <f t="shared" si="2"/>
        <v>52761</v>
      </c>
      <c r="H108" s="169"/>
    </row>
    <row r="109" ht="12.0" customHeight="1">
      <c r="A109" s="437" t="s">
        <v>1856</v>
      </c>
      <c r="B109" s="437" t="s">
        <v>1857</v>
      </c>
      <c r="C109" s="438" t="s">
        <v>1649</v>
      </c>
      <c r="D109" s="439">
        <f>'RM Rollforward'!H607</f>
        <v>1616</v>
      </c>
      <c r="E109" s="444">
        <v>43.0</v>
      </c>
      <c r="F109" s="440">
        <v>1.0</v>
      </c>
      <c r="G109" s="443">
        <f t="shared" si="2"/>
        <v>69488</v>
      </c>
      <c r="H109" s="169"/>
    </row>
    <row r="110" ht="12.0" customHeight="1">
      <c r="A110" s="437" t="s">
        <v>1858</v>
      </c>
      <c r="B110" s="437" t="s">
        <v>1859</v>
      </c>
      <c r="C110" s="438" t="s">
        <v>1649</v>
      </c>
      <c r="D110" s="439">
        <f>'RM Rollforward'!H608</f>
        <v>74</v>
      </c>
      <c r="E110" s="444">
        <v>43.0</v>
      </c>
      <c r="F110" s="440">
        <v>1.0</v>
      </c>
      <c r="G110" s="443">
        <f t="shared" si="2"/>
        <v>3182</v>
      </c>
      <c r="H110" s="169"/>
    </row>
    <row r="111" ht="12.0" customHeight="1">
      <c r="A111" s="437" t="s">
        <v>1860</v>
      </c>
      <c r="B111" s="437" t="s">
        <v>1861</v>
      </c>
      <c r="C111" s="438" t="s">
        <v>1649</v>
      </c>
      <c r="D111" s="439">
        <f>'RM Rollforward'!H609</f>
        <v>386</v>
      </c>
      <c r="E111" s="444">
        <v>43.0</v>
      </c>
      <c r="F111" s="440">
        <v>1.0</v>
      </c>
      <c r="G111" s="443">
        <f t="shared" si="2"/>
        <v>16598</v>
      </c>
      <c r="H111" s="169"/>
    </row>
    <row r="112" ht="12.0" customHeight="1">
      <c r="A112" s="437" t="s">
        <v>1862</v>
      </c>
      <c r="B112" s="437" t="s">
        <v>1863</v>
      </c>
      <c r="C112" s="438" t="s">
        <v>1649</v>
      </c>
      <c r="D112" s="439">
        <f>'RM Rollforward'!H610</f>
        <v>0</v>
      </c>
      <c r="E112" s="444">
        <v>43.0</v>
      </c>
      <c r="F112" s="440">
        <v>1.0</v>
      </c>
      <c r="G112" s="443">
        <f t="shared" si="2"/>
        <v>0</v>
      </c>
      <c r="H112" s="169"/>
    </row>
    <row r="113" ht="12.0" customHeight="1">
      <c r="A113" s="437" t="s">
        <v>1864</v>
      </c>
      <c r="B113" s="437" t="s">
        <v>1865</v>
      </c>
      <c r="C113" s="438" t="s">
        <v>1649</v>
      </c>
      <c r="D113" s="439">
        <f>'RM Rollforward'!H611</f>
        <v>0</v>
      </c>
      <c r="E113" s="444">
        <v>43.0</v>
      </c>
      <c r="F113" s="440">
        <v>1.0</v>
      </c>
      <c r="G113" s="443">
        <f t="shared" si="2"/>
        <v>0</v>
      </c>
      <c r="H113" s="169"/>
    </row>
    <row r="114" ht="12.0" customHeight="1">
      <c r="A114" s="437" t="s">
        <v>1866</v>
      </c>
      <c r="B114" s="437" t="s">
        <v>1867</v>
      </c>
      <c r="C114" s="438" t="s">
        <v>1649</v>
      </c>
      <c r="D114" s="439">
        <f>'RM Rollforward'!H612</f>
        <v>107</v>
      </c>
      <c r="E114" s="444">
        <v>43.0</v>
      </c>
      <c r="F114" s="440">
        <v>1.0</v>
      </c>
      <c r="G114" s="443">
        <f t="shared" si="2"/>
        <v>4601</v>
      </c>
      <c r="H114" s="169"/>
    </row>
    <row r="115" ht="12.0" customHeight="1">
      <c r="A115" s="437" t="s">
        <v>1868</v>
      </c>
      <c r="B115" s="437" t="s">
        <v>1869</v>
      </c>
      <c r="C115" s="438" t="s">
        <v>1649</v>
      </c>
      <c r="D115" s="439">
        <f>'RM Rollforward'!H613</f>
        <v>1167</v>
      </c>
      <c r="E115" s="444">
        <v>43.0</v>
      </c>
      <c r="F115" s="440">
        <v>1.0</v>
      </c>
      <c r="G115" s="443">
        <f t="shared" si="2"/>
        <v>50181</v>
      </c>
      <c r="H115" s="169"/>
    </row>
    <row r="116" ht="12.0" customHeight="1">
      <c r="A116" s="437" t="s">
        <v>1870</v>
      </c>
      <c r="B116" s="437" t="s">
        <v>1871</v>
      </c>
      <c r="C116" s="438" t="s">
        <v>1649</v>
      </c>
      <c r="D116" s="439">
        <f>'RM Rollforward'!H614</f>
        <v>1161</v>
      </c>
      <c r="E116" s="444">
        <v>43.0</v>
      </c>
      <c r="F116" s="440">
        <v>1.0</v>
      </c>
      <c r="G116" s="443">
        <f t="shared" si="2"/>
        <v>49923</v>
      </c>
      <c r="H116" s="169"/>
    </row>
    <row r="117" ht="12.0" customHeight="1">
      <c r="A117" s="437" t="s">
        <v>1872</v>
      </c>
      <c r="B117" s="437" t="s">
        <v>1873</v>
      </c>
      <c r="C117" s="438" t="s">
        <v>1649</v>
      </c>
      <c r="D117" s="439">
        <f>'RM Rollforward'!H615</f>
        <v>0</v>
      </c>
      <c r="E117" s="444">
        <v>43.0</v>
      </c>
      <c r="F117" s="440">
        <v>1.0</v>
      </c>
      <c r="G117" s="443">
        <f t="shared" si="2"/>
        <v>0</v>
      </c>
      <c r="H117" s="169"/>
    </row>
    <row r="118" ht="12.0" customHeight="1">
      <c r="A118" s="437" t="s">
        <v>1874</v>
      </c>
      <c r="B118" s="437" t="s">
        <v>1875</v>
      </c>
      <c r="C118" s="438" t="s">
        <v>1649</v>
      </c>
      <c r="D118" s="439">
        <f>'RM Rollforward'!H616</f>
        <v>0</v>
      </c>
      <c r="E118" s="444">
        <v>43.0</v>
      </c>
      <c r="F118" s="440">
        <v>1.0</v>
      </c>
      <c r="G118" s="443">
        <f t="shared" si="2"/>
        <v>0</v>
      </c>
      <c r="H118" s="169"/>
    </row>
    <row r="119" ht="12.0" customHeight="1">
      <c r="A119" s="437" t="s">
        <v>1876</v>
      </c>
      <c r="B119" s="437" t="s">
        <v>1877</v>
      </c>
      <c r="C119" s="438" t="s">
        <v>1649</v>
      </c>
      <c r="D119" s="439">
        <f>'RM Rollforward'!H617</f>
        <v>0</v>
      </c>
      <c r="E119" s="444">
        <v>43.0</v>
      </c>
      <c r="F119" s="440">
        <v>1.0</v>
      </c>
      <c r="G119" s="443">
        <f t="shared" si="2"/>
        <v>0</v>
      </c>
      <c r="H119" s="169"/>
    </row>
    <row r="120" ht="12.0" customHeight="1">
      <c r="A120" s="437" t="s">
        <v>1878</v>
      </c>
      <c r="B120" s="437" t="s">
        <v>1879</v>
      </c>
      <c r="C120" s="438" t="s">
        <v>1649</v>
      </c>
      <c r="D120" s="439">
        <f>'RM Rollforward'!H618</f>
        <v>32</v>
      </c>
      <c r="E120" s="444">
        <v>43.0</v>
      </c>
      <c r="F120" s="440">
        <v>1.0</v>
      </c>
      <c r="G120" s="443">
        <f t="shared" si="2"/>
        <v>1376</v>
      </c>
      <c r="H120" s="169"/>
    </row>
    <row r="121" ht="12.0" customHeight="1">
      <c r="A121" s="437" t="s">
        <v>1880</v>
      </c>
      <c r="B121" s="437" t="s">
        <v>1881</v>
      </c>
      <c r="C121" s="438" t="s">
        <v>1649</v>
      </c>
      <c r="D121" s="439">
        <f>'RM Rollforward'!H619</f>
        <v>0</v>
      </c>
      <c r="E121" s="444">
        <v>43.0</v>
      </c>
      <c r="F121" s="440">
        <v>1.0</v>
      </c>
      <c r="G121" s="443">
        <f t="shared" si="2"/>
        <v>0</v>
      </c>
      <c r="H121" s="169"/>
    </row>
    <row r="122" ht="12.0" customHeight="1">
      <c r="A122" s="437" t="s">
        <v>1882</v>
      </c>
      <c r="B122" s="437" t="s">
        <v>1883</v>
      </c>
      <c r="C122" s="438" t="s">
        <v>1649</v>
      </c>
      <c r="D122" s="439">
        <f>'RM Rollforward'!H620</f>
        <v>0</v>
      </c>
      <c r="E122" s="444">
        <v>43.0</v>
      </c>
      <c r="F122" s="440">
        <v>1.0</v>
      </c>
      <c r="G122" s="443">
        <f t="shared" si="2"/>
        <v>0</v>
      </c>
      <c r="H122" s="169"/>
    </row>
    <row r="123" ht="12.0" customHeight="1">
      <c r="A123" s="437" t="s">
        <v>1884</v>
      </c>
      <c r="B123" s="437" t="s">
        <v>1885</v>
      </c>
      <c r="C123" s="438" t="s">
        <v>1649</v>
      </c>
      <c r="D123" s="439">
        <f>'RM Rollforward'!H621</f>
        <v>0</v>
      </c>
      <c r="E123" s="444">
        <v>43.0</v>
      </c>
      <c r="F123" s="440">
        <v>1.0</v>
      </c>
      <c r="G123" s="443">
        <f t="shared" si="2"/>
        <v>0</v>
      </c>
      <c r="H123" s="169"/>
    </row>
    <row r="124" ht="12.0" customHeight="1">
      <c r="A124" s="437" t="s">
        <v>1886</v>
      </c>
      <c r="B124" s="437" t="s">
        <v>1887</v>
      </c>
      <c r="C124" s="438" t="s">
        <v>1649</v>
      </c>
      <c r="D124" s="439">
        <f>'RM Rollforward'!H622</f>
        <v>32</v>
      </c>
      <c r="E124" s="444">
        <v>43.0</v>
      </c>
      <c r="F124" s="440">
        <v>1.0</v>
      </c>
      <c r="G124" s="443">
        <f t="shared" si="2"/>
        <v>1376</v>
      </c>
      <c r="H124" s="169"/>
    </row>
    <row r="125" ht="12.0" customHeight="1">
      <c r="A125" s="437" t="s">
        <v>1888</v>
      </c>
      <c r="B125" s="437" t="s">
        <v>1889</v>
      </c>
      <c r="C125" s="438" t="s">
        <v>1649</v>
      </c>
      <c r="D125" s="439">
        <f>'RM Rollforward'!H623</f>
        <v>0</v>
      </c>
      <c r="E125" s="444">
        <v>43.0</v>
      </c>
      <c r="F125" s="440">
        <v>1.0</v>
      </c>
      <c r="G125" s="443">
        <f t="shared" si="2"/>
        <v>0</v>
      </c>
      <c r="H125" s="169"/>
    </row>
    <row r="126" ht="12.0" customHeight="1">
      <c r="A126" s="437" t="s">
        <v>1890</v>
      </c>
      <c r="B126" s="437" t="s">
        <v>1891</v>
      </c>
      <c r="C126" s="438" t="s">
        <v>1649</v>
      </c>
      <c r="D126" s="439">
        <f>'RM Rollforward'!H624</f>
        <v>0</v>
      </c>
      <c r="E126" s="444">
        <v>43.0</v>
      </c>
      <c r="F126" s="440">
        <v>1.0</v>
      </c>
      <c r="G126" s="443">
        <f t="shared" si="2"/>
        <v>0</v>
      </c>
      <c r="H126" s="169"/>
    </row>
    <row r="127" ht="12.0" customHeight="1">
      <c r="A127" s="437" t="s">
        <v>1892</v>
      </c>
      <c r="B127" s="437" t="s">
        <v>1893</v>
      </c>
      <c r="C127" s="438" t="s">
        <v>1649</v>
      </c>
      <c r="D127" s="439">
        <f>'RM Rollforward'!H625</f>
        <v>37</v>
      </c>
      <c r="E127" s="444">
        <v>43.0</v>
      </c>
      <c r="F127" s="440">
        <v>1.0</v>
      </c>
      <c r="G127" s="443">
        <f t="shared" si="2"/>
        <v>1591</v>
      </c>
      <c r="H127" s="169"/>
    </row>
    <row r="128" ht="12.0" customHeight="1">
      <c r="A128" s="437" t="s">
        <v>1894</v>
      </c>
      <c r="B128" s="437" t="s">
        <v>1895</v>
      </c>
      <c r="C128" s="438" t="s">
        <v>1649</v>
      </c>
      <c r="D128" s="439">
        <f>'RM Rollforward'!H626</f>
        <v>0</v>
      </c>
      <c r="E128" s="444">
        <v>43.0</v>
      </c>
      <c r="F128" s="440">
        <v>1.0</v>
      </c>
      <c r="G128" s="443">
        <f t="shared" si="2"/>
        <v>0</v>
      </c>
      <c r="H128" s="169"/>
    </row>
    <row r="129" ht="12.0" customHeight="1">
      <c r="A129" s="437" t="s">
        <v>1896</v>
      </c>
      <c r="B129" s="437" t="s">
        <v>1897</v>
      </c>
      <c r="C129" s="438" t="s">
        <v>1649</v>
      </c>
      <c r="D129" s="439">
        <f>'RM Rollforward'!H627</f>
        <v>0</v>
      </c>
      <c r="E129" s="444">
        <v>43.0</v>
      </c>
      <c r="F129" s="440">
        <v>1.0</v>
      </c>
      <c r="G129" s="443">
        <f t="shared" si="2"/>
        <v>0</v>
      </c>
      <c r="H129" s="169"/>
    </row>
    <row r="130" ht="12.0" customHeight="1">
      <c r="A130" s="437" t="s">
        <v>1898</v>
      </c>
      <c r="B130" s="437" t="s">
        <v>1899</v>
      </c>
      <c r="C130" s="438" t="s">
        <v>1649</v>
      </c>
      <c r="D130" s="439">
        <f>'RM Rollforward'!H628</f>
        <v>0</v>
      </c>
      <c r="E130" s="444">
        <v>43.0</v>
      </c>
      <c r="F130" s="440">
        <v>1.0</v>
      </c>
      <c r="G130" s="443">
        <f t="shared" si="2"/>
        <v>0</v>
      </c>
      <c r="H130" s="169"/>
    </row>
    <row r="131" ht="12.0" customHeight="1">
      <c r="A131" s="437" t="s">
        <v>1900</v>
      </c>
      <c r="B131" s="437" t="s">
        <v>1901</v>
      </c>
      <c r="C131" s="438" t="s">
        <v>1649</v>
      </c>
      <c r="D131" s="439">
        <f>'RM Rollforward'!H629</f>
        <v>0</v>
      </c>
      <c r="E131" s="444">
        <v>43.0</v>
      </c>
      <c r="F131" s="440">
        <v>1.0</v>
      </c>
      <c r="G131" s="443">
        <f t="shared" si="2"/>
        <v>0</v>
      </c>
      <c r="H131" s="169"/>
    </row>
    <row r="132" ht="12.0" customHeight="1">
      <c r="A132" s="437" t="s">
        <v>1902</v>
      </c>
      <c r="B132" s="437" t="s">
        <v>1903</v>
      </c>
      <c r="C132" s="438" t="s">
        <v>1649</v>
      </c>
      <c r="D132" s="439">
        <f>'RM Rollforward'!H630</f>
        <v>0</v>
      </c>
      <c r="E132" s="444">
        <v>43.0</v>
      </c>
      <c r="F132" s="440">
        <v>1.0</v>
      </c>
      <c r="G132" s="443">
        <f t="shared" si="2"/>
        <v>0</v>
      </c>
      <c r="H132" s="169"/>
    </row>
    <row r="133" ht="12.0" customHeight="1">
      <c r="A133" s="437" t="s">
        <v>1904</v>
      </c>
      <c r="B133" s="437" t="s">
        <v>1905</v>
      </c>
      <c r="C133" s="438" t="s">
        <v>1649</v>
      </c>
      <c r="D133" s="439">
        <f>'RM Rollforward'!H631</f>
        <v>0</v>
      </c>
      <c r="E133" s="444">
        <v>43.0</v>
      </c>
      <c r="F133" s="440">
        <v>1.0</v>
      </c>
      <c r="G133" s="443">
        <f t="shared" si="2"/>
        <v>0</v>
      </c>
      <c r="H133" s="169"/>
    </row>
    <row r="134" ht="12.0" customHeight="1">
      <c r="A134" s="437" t="s">
        <v>1906</v>
      </c>
      <c r="B134" s="437" t="s">
        <v>1907</v>
      </c>
      <c r="C134" s="438" t="s">
        <v>1649</v>
      </c>
      <c r="D134" s="439">
        <f>'RM Rollforward'!H632</f>
        <v>0</v>
      </c>
      <c r="E134" s="444">
        <v>43.0</v>
      </c>
      <c r="F134" s="440">
        <v>1.0</v>
      </c>
      <c r="G134" s="443">
        <f t="shared" si="2"/>
        <v>0</v>
      </c>
      <c r="H134" s="169"/>
    </row>
    <row r="135" ht="12.0" customHeight="1">
      <c r="A135" s="437" t="s">
        <v>1908</v>
      </c>
      <c r="B135" s="437" t="s">
        <v>1909</v>
      </c>
      <c r="C135" s="438" t="s">
        <v>1649</v>
      </c>
      <c r="D135" s="439">
        <f>'RM Rollforward'!H633</f>
        <v>0</v>
      </c>
      <c r="E135" s="444">
        <v>43.0</v>
      </c>
      <c r="F135" s="440">
        <v>1.0</v>
      </c>
      <c r="G135" s="443">
        <f t="shared" si="2"/>
        <v>0</v>
      </c>
      <c r="H135" s="169"/>
    </row>
    <row r="136" ht="12.0" customHeight="1">
      <c r="A136" s="437" t="s">
        <v>1910</v>
      </c>
      <c r="B136" s="437" t="s">
        <v>1911</v>
      </c>
      <c r="C136" s="438" t="s">
        <v>1649</v>
      </c>
      <c r="D136" s="439">
        <f>'RM Rollforward'!H634</f>
        <v>0</v>
      </c>
      <c r="E136" s="444">
        <v>43.0</v>
      </c>
      <c r="F136" s="440">
        <v>1.0</v>
      </c>
      <c r="G136" s="443">
        <f t="shared" si="2"/>
        <v>0</v>
      </c>
      <c r="H136" s="169"/>
    </row>
    <row r="137" ht="12.0" customHeight="1">
      <c r="A137" s="437" t="s">
        <v>1912</v>
      </c>
      <c r="B137" s="437" t="s">
        <v>1913</v>
      </c>
      <c r="C137" s="438" t="s">
        <v>1649</v>
      </c>
      <c r="D137" s="439">
        <f>'RM Rollforward'!H635</f>
        <v>0</v>
      </c>
      <c r="E137" s="444">
        <v>43.0</v>
      </c>
      <c r="F137" s="440">
        <v>1.0</v>
      </c>
      <c r="G137" s="443">
        <f t="shared" si="2"/>
        <v>0</v>
      </c>
      <c r="H137" s="169"/>
    </row>
    <row r="138" ht="12.0" customHeight="1">
      <c r="A138" s="437" t="s">
        <v>1914</v>
      </c>
      <c r="B138" s="437" t="s">
        <v>1915</v>
      </c>
      <c r="C138" s="438" t="s">
        <v>1649</v>
      </c>
      <c r="D138" s="439">
        <f>'RM Rollforward'!H636</f>
        <v>0</v>
      </c>
      <c r="E138" s="444">
        <v>43.0</v>
      </c>
      <c r="F138" s="440">
        <v>1.0</v>
      </c>
      <c r="G138" s="443">
        <f t="shared" si="2"/>
        <v>0</v>
      </c>
      <c r="H138" s="169"/>
    </row>
    <row r="139" ht="12.0" customHeight="1">
      <c r="A139" s="437" t="s">
        <v>1916</v>
      </c>
      <c r="B139" s="437" t="s">
        <v>1917</v>
      </c>
      <c r="C139" s="438" t="s">
        <v>1649</v>
      </c>
      <c r="D139" s="439">
        <f>'RM Rollforward'!H637</f>
        <v>0</v>
      </c>
      <c r="E139" s="444">
        <v>43.0</v>
      </c>
      <c r="F139" s="440">
        <v>1.0</v>
      </c>
      <c r="G139" s="443">
        <f t="shared" si="2"/>
        <v>0</v>
      </c>
      <c r="H139" s="169"/>
    </row>
    <row r="140" ht="12.0" customHeight="1">
      <c r="A140" s="437" t="s">
        <v>1918</v>
      </c>
      <c r="B140" s="437" t="s">
        <v>1919</v>
      </c>
      <c r="C140" s="438" t="s">
        <v>1649</v>
      </c>
      <c r="D140" s="439">
        <f>'RM Rollforward'!H638</f>
        <v>77</v>
      </c>
      <c r="E140" s="444">
        <v>43.0</v>
      </c>
      <c r="F140" s="440">
        <v>1.0</v>
      </c>
      <c r="G140" s="443">
        <f t="shared" si="2"/>
        <v>3311</v>
      </c>
      <c r="H140" s="169"/>
    </row>
    <row r="141" ht="12.0" customHeight="1">
      <c r="A141" s="437" t="s">
        <v>1920</v>
      </c>
      <c r="B141" s="437" t="s">
        <v>1921</v>
      </c>
      <c r="C141" s="438" t="s">
        <v>1649</v>
      </c>
      <c r="D141" s="439">
        <f>'RM Rollforward'!H639</f>
        <v>0</v>
      </c>
      <c r="E141" s="444">
        <v>43.0</v>
      </c>
      <c r="F141" s="440">
        <v>1.0</v>
      </c>
      <c r="G141" s="443">
        <f t="shared" si="2"/>
        <v>0</v>
      </c>
      <c r="H141" s="169"/>
    </row>
    <row r="142" ht="12.0" customHeight="1">
      <c r="A142" s="437" t="s">
        <v>1922</v>
      </c>
      <c r="B142" s="437" t="s">
        <v>1923</v>
      </c>
      <c r="C142" s="438" t="s">
        <v>1649</v>
      </c>
      <c r="D142" s="439">
        <f>'RM Rollforward'!H640</f>
        <v>0</v>
      </c>
      <c r="E142" s="444">
        <v>43.0</v>
      </c>
      <c r="F142" s="440">
        <v>1.0</v>
      </c>
      <c r="G142" s="443">
        <f t="shared" si="2"/>
        <v>0</v>
      </c>
      <c r="H142" s="169"/>
    </row>
    <row r="143" ht="12.0" customHeight="1">
      <c r="A143" s="437" t="s">
        <v>1924</v>
      </c>
      <c r="B143" s="437" t="s">
        <v>1925</v>
      </c>
      <c r="C143" s="438" t="s">
        <v>1649</v>
      </c>
      <c r="D143" s="439">
        <f>'RM Rollforward'!H641</f>
        <v>0</v>
      </c>
      <c r="E143" s="444">
        <v>43.0</v>
      </c>
      <c r="F143" s="440">
        <v>1.0</v>
      </c>
      <c r="G143" s="443">
        <f t="shared" si="2"/>
        <v>0</v>
      </c>
      <c r="H143" s="169"/>
    </row>
    <row r="144" ht="12.0" customHeight="1">
      <c r="A144" s="437" t="s">
        <v>1926</v>
      </c>
      <c r="B144" s="437" t="s">
        <v>1927</v>
      </c>
      <c r="C144" s="438" t="s">
        <v>1649</v>
      </c>
      <c r="D144" s="439">
        <f>'RM Rollforward'!H642</f>
        <v>0</v>
      </c>
      <c r="E144" s="444">
        <v>43.0</v>
      </c>
      <c r="F144" s="440">
        <v>1.0</v>
      </c>
      <c r="G144" s="443">
        <f t="shared" si="2"/>
        <v>0</v>
      </c>
      <c r="H144" s="169"/>
    </row>
    <row r="145" ht="12.0" customHeight="1">
      <c r="A145" s="437" t="s">
        <v>1928</v>
      </c>
      <c r="B145" s="437" t="s">
        <v>1929</v>
      </c>
      <c r="C145" s="438" t="s">
        <v>1649</v>
      </c>
      <c r="D145" s="439">
        <f>'RM Rollforward'!H643</f>
        <v>0</v>
      </c>
      <c r="E145" s="444">
        <v>43.0</v>
      </c>
      <c r="F145" s="440">
        <v>1.0</v>
      </c>
      <c r="G145" s="443">
        <f t="shared" si="2"/>
        <v>0</v>
      </c>
      <c r="H145" s="169"/>
    </row>
    <row r="146" ht="12.0" customHeight="1">
      <c r="A146" s="437" t="s">
        <v>1930</v>
      </c>
      <c r="B146" s="437" t="s">
        <v>1931</v>
      </c>
      <c r="C146" s="438" t="s">
        <v>1649</v>
      </c>
      <c r="D146" s="439">
        <f>'RM Rollforward'!H644</f>
        <v>0</v>
      </c>
      <c r="E146" s="444">
        <v>43.0</v>
      </c>
      <c r="F146" s="440">
        <v>1.0</v>
      </c>
      <c r="G146" s="443">
        <f t="shared" si="2"/>
        <v>0</v>
      </c>
      <c r="H146" s="169"/>
    </row>
    <row r="147" ht="12.0" customHeight="1">
      <c r="A147" s="437" t="s">
        <v>1932</v>
      </c>
      <c r="B147" s="437" t="s">
        <v>1933</v>
      </c>
      <c r="C147" s="438" t="s">
        <v>1649</v>
      </c>
      <c r="D147" s="439">
        <f>'RM Rollforward'!H645</f>
        <v>0</v>
      </c>
      <c r="E147" s="444">
        <v>43.0</v>
      </c>
      <c r="F147" s="440">
        <v>1.0</v>
      </c>
      <c r="G147" s="443">
        <f t="shared" si="2"/>
        <v>0</v>
      </c>
      <c r="H147" s="169"/>
    </row>
    <row r="148" ht="12.0" customHeight="1">
      <c r="A148" s="437" t="s">
        <v>1934</v>
      </c>
      <c r="B148" s="437" t="s">
        <v>1935</v>
      </c>
      <c r="C148" s="438" t="s">
        <v>1649</v>
      </c>
      <c r="D148" s="439">
        <f>'RM Rollforward'!H646</f>
        <v>0</v>
      </c>
      <c r="E148" s="444">
        <v>43.0</v>
      </c>
      <c r="F148" s="440">
        <v>1.0</v>
      </c>
      <c r="G148" s="443">
        <f t="shared" si="2"/>
        <v>0</v>
      </c>
      <c r="H148" s="169"/>
    </row>
    <row r="149" ht="12.0" customHeight="1">
      <c r="A149" s="437" t="s">
        <v>1936</v>
      </c>
      <c r="B149" s="437" t="s">
        <v>1937</v>
      </c>
      <c r="C149" s="438" t="s">
        <v>1649</v>
      </c>
      <c r="D149" s="439">
        <f>'RM Rollforward'!H647</f>
        <v>0</v>
      </c>
      <c r="E149" s="444">
        <v>43.0</v>
      </c>
      <c r="F149" s="440">
        <v>1.0</v>
      </c>
      <c r="G149" s="443">
        <f t="shared" si="2"/>
        <v>0</v>
      </c>
      <c r="H149" s="169"/>
    </row>
    <row r="150" ht="12.0" customHeight="1">
      <c r="A150" s="437" t="s">
        <v>1938</v>
      </c>
      <c r="B150" s="437" t="s">
        <v>1939</v>
      </c>
      <c r="C150" s="438" t="s">
        <v>1649</v>
      </c>
      <c r="D150" s="439">
        <f>'RM Rollforward'!H648</f>
        <v>207</v>
      </c>
      <c r="E150" s="444">
        <v>43.0</v>
      </c>
      <c r="F150" s="440">
        <v>1.0</v>
      </c>
      <c r="G150" s="443">
        <f t="shared" si="2"/>
        <v>8901</v>
      </c>
      <c r="H150" s="169"/>
    </row>
    <row r="151" ht="12.0" customHeight="1">
      <c r="A151" s="437" t="s">
        <v>1940</v>
      </c>
      <c r="B151" s="437" t="s">
        <v>1941</v>
      </c>
      <c r="C151" s="438" t="s">
        <v>1649</v>
      </c>
      <c r="D151" s="439">
        <f>'RM Rollforward'!H649</f>
        <v>2</v>
      </c>
      <c r="E151" s="444">
        <v>43.0</v>
      </c>
      <c r="F151" s="440">
        <v>1.0</v>
      </c>
      <c r="G151" s="443">
        <f t="shared" si="2"/>
        <v>86</v>
      </c>
      <c r="H151" s="169"/>
    </row>
    <row r="152" ht="12.0" customHeight="1">
      <c r="A152" s="445" t="s">
        <v>1942</v>
      </c>
      <c r="B152" s="437" t="s">
        <v>1943</v>
      </c>
      <c r="C152" s="438" t="s">
        <v>1649</v>
      </c>
      <c r="D152" s="439">
        <f>'RM Rollforward'!H650</f>
        <v>75</v>
      </c>
      <c r="E152" s="444">
        <v>43.0</v>
      </c>
      <c r="F152" s="440">
        <v>1.0</v>
      </c>
      <c r="G152" s="443">
        <f t="shared" si="2"/>
        <v>3225</v>
      </c>
      <c r="H152" s="169"/>
    </row>
    <row r="153" ht="12.0" customHeight="1">
      <c r="A153" s="437" t="s">
        <v>1944</v>
      </c>
      <c r="B153" s="437" t="s">
        <v>1945</v>
      </c>
      <c r="C153" s="438" t="s">
        <v>1649</v>
      </c>
      <c r="D153" s="439">
        <f>'RM Rollforward'!H651</f>
        <v>0</v>
      </c>
      <c r="E153" s="444">
        <v>43.0</v>
      </c>
      <c r="F153" s="440">
        <v>1.0</v>
      </c>
      <c r="G153" s="443">
        <f t="shared" si="2"/>
        <v>0</v>
      </c>
      <c r="H153" s="169"/>
    </row>
    <row r="154" ht="12.0" customHeight="1">
      <c r="A154" s="445" t="s">
        <v>1946</v>
      </c>
      <c r="B154" s="445" t="s">
        <v>1947</v>
      </c>
      <c r="C154" s="438" t="s">
        <v>1649</v>
      </c>
      <c r="D154" s="439">
        <f>'RM Rollforward'!H652</f>
        <v>0</v>
      </c>
      <c r="E154" s="444">
        <v>43.0</v>
      </c>
      <c r="F154" s="440">
        <v>1.0</v>
      </c>
      <c r="G154" s="443">
        <f t="shared" si="2"/>
        <v>0</v>
      </c>
      <c r="H154" s="169"/>
    </row>
    <row r="155" ht="12.0" customHeight="1">
      <c r="A155" s="437" t="s">
        <v>1948</v>
      </c>
      <c r="B155" s="437" t="s">
        <v>1949</v>
      </c>
      <c r="C155" s="438" t="s">
        <v>1649</v>
      </c>
      <c r="D155" s="439">
        <f>'RM Rollforward'!H653</f>
        <v>1150</v>
      </c>
      <c r="E155" s="444">
        <v>43.0</v>
      </c>
      <c r="F155" s="440">
        <v>1.0</v>
      </c>
      <c r="G155" s="443">
        <f t="shared" si="2"/>
        <v>49450</v>
      </c>
      <c r="H155" s="169"/>
    </row>
    <row r="156" ht="12.0" customHeight="1">
      <c r="A156" s="437" t="s">
        <v>1950</v>
      </c>
      <c r="B156" s="437" t="s">
        <v>1951</v>
      </c>
      <c r="C156" s="438" t="s">
        <v>1649</v>
      </c>
      <c r="D156" s="439">
        <f>'RM Rollforward'!H654</f>
        <v>1867</v>
      </c>
      <c r="E156" s="444">
        <v>43.0</v>
      </c>
      <c r="F156" s="440">
        <v>1.0</v>
      </c>
      <c r="G156" s="443">
        <f t="shared" si="2"/>
        <v>80281</v>
      </c>
      <c r="H156" s="169"/>
    </row>
    <row r="157" ht="12.0" customHeight="1">
      <c r="A157" s="437" t="s">
        <v>1952</v>
      </c>
      <c r="B157" s="437" t="s">
        <v>1953</v>
      </c>
      <c r="C157" s="438" t="s">
        <v>1649</v>
      </c>
      <c r="D157" s="439">
        <f>'RM Rollforward'!H655</f>
        <v>654</v>
      </c>
      <c r="E157" s="444">
        <v>43.0</v>
      </c>
      <c r="F157" s="440">
        <v>1.0</v>
      </c>
      <c r="G157" s="443">
        <f t="shared" si="2"/>
        <v>28122</v>
      </c>
      <c r="H157" s="169"/>
    </row>
    <row r="158" ht="12.0" customHeight="1">
      <c r="A158" s="437" t="s">
        <v>1954</v>
      </c>
      <c r="B158" s="437" t="s">
        <v>1955</v>
      </c>
      <c r="C158" s="438" t="s">
        <v>1649</v>
      </c>
      <c r="D158" s="439">
        <f>'RM Rollforward'!H656</f>
        <v>380</v>
      </c>
      <c r="E158" s="444">
        <v>43.0</v>
      </c>
      <c r="F158" s="440">
        <v>1.0</v>
      </c>
      <c r="G158" s="443">
        <f t="shared" si="2"/>
        <v>16340</v>
      </c>
      <c r="H158" s="169"/>
    </row>
    <row r="159" ht="12.0" customHeight="1">
      <c r="A159" s="437" t="s">
        <v>1956</v>
      </c>
      <c r="B159" s="437" t="s">
        <v>1957</v>
      </c>
      <c r="C159" s="438" t="s">
        <v>1649</v>
      </c>
      <c r="D159" s="439">
        <f>'RM Rollforward'!H657</f>
        <v>219</v>
      </c>
      <c r="E159" s="444">
        <v>43.0</v>
      </c>
      <c r="F159" s="440">
        <v>1.0</v>
      </c>
      <c r="G159" s="443">
        <f t="shared" si="2"/>
        <v>9417</v>
      </c>
      <c r="H159" s="169"/>
    </row>
    <row r="160" ht="12.0" customHeight="1">
      <c r="A160" s="446" t="s">
        <v>1958</v>
      </c>
      <c r="B160" s="446" t="s">
        <v>1959</v>
      </c>
      <c r="C160" s="438" t="s">
        <v>1649</v>
      </c>
      <c r="D160" s="439">
        <f>'RM Rollforward'!H658</f>
        <v>0</v>
      </c>
      <c r="E160" s="444">
        <v>43.0</v>
      </c>
      <c r="F160" s="440">
        <v>1.0</v>
      </c>
      <c r="G160" s="443">
        <f t="shared" si="2"/>
        <v>0</v>
      </c>
      <c r="H160" s="169"/>
    </row>
    <row r="161" ht="12.0" customHeight="1">
      <c r="A161" s="446" t="s">
        <v>1960</v>
      </c>
      <c r="B161" s="446" t="s">
        <v>1961</v>
      </c>
      <c r="C161" s="438" t="s">
        <v>1649</v>
      </c>
      <c r="D161" s="439">
        <f>'RM Rollforward'!H659</f>
        <v>267</v>
      </c>
      <c r="E161" s="444">
        <v>43.0</v>
      </c>
      <c r="F161" s="440">
        <v>1.0</v>
      </c>
      <c r="G161" s="443">
        <f t="shared" si="2"/>
        <v>11481</v>
      </c>
      <c r="H161" s="169"/>
    </row>
    <row r="162" ht="12.0" customHeight="1">
      <c r="A162" s="446" t="s">
        <v>1962</v>
      </c>
      <c r="B162" s="446" t="s">
        <v>1963</v>
      </c>
      <c r="C162" s="438" t="s">
        <v>1649</v>
      </c>
      <c r="D162" s="439">
        <f>'RM Rollforward'!H660</f>
        <v>955</v>
      </c>
      <c r="E162" s="444">
        <v>43.0</v>
      </c>
      <c r="F162" s="440">
        <v>1.0</v>
      </c>
      <c r="G162" s="443">
        <f t="shared" si="2"/>
        <v>41065</v>
      </c>
      <c r="H162" s="169"/>
    </row>
    <row r="163" ht="12.0" customHeight="1">
      <c r="A163" s="446" t="s">
        <v>1964</v>
      </c>
      <c r="B163" s="437" t="s">
        <v>1965</v>
      </c>
      <c r="C163" s="438" t="s">
        <v>1649</v>
      </c>
      <c r="D163" s="439">
        <f>'RM Rollforward'!H661</f>
        <v>1000</v>
      </c>
      <c r="E163" s="444">
        <v>43.0</v>
      </c>
      <c r="F163" s="440">
        <v>1.0</v>
      </c>
      <c r="G163" s="443">
        <f t="shared" si="2"/>
        <v>43000</v>
      </c>
      <c r="H163" s="169"/>
    </row>
    <row r="164" ht="12.0" customHeight="1">
      <c r="A164" s="446" t="s">
        <v>1966</v>
      </c>
      <c r="B164" s="437" t="s">
        <v>1967</v>
      </c>
      <c r="C164" s="438" t="s">
        <v>1649</v>
      </c>
      <c r="D164" s="439">
        <f>'RM Rollforward'!H662</f>
        <v>501</v>
      </c>
      <c r="E164" s="444">
        <v>75.0</v>
      </c>
      <c r="F164" s="440">
        <v>1.0</v>
      </c>
      <c r="G164" s="443">
        <f t="shared" si="2"/>
        <v>37575</v>
      </c>
      <c r="H164" s="169"/>
    </row>
    <row r="165" ht="12.0" customHeight="1">
      <c r="A165" s="446" t="s">
        <v>1968</v>
      </c>
      <c r="B165" s="437" t="s">
        <v>1969</v>
      </c>
      <c r="C165" s="438" t="s">
        <v>1649</v>
      </c>
      <c r="D165" s="439">
        <f>'RM Rollforward'!H663</f>
        <v>123</v>
      </c>
      <c r="E165" s="444">
        <v>75.0</v>
      </c>
      <c r="F165" s="440">
        <v>1.0</v>
      </c>
      <c r="G165" s="443">
        <f t="shared" si="2"/>
        <v>9225</v>
      </c>
      <c r="H165" s="169"/>
    </row>
    <row r="166" ht="12.0" customHeight="1">
      <c r="A166" s="446" t="s">
        <v>1970</v>
      </c>
      <c r="B166" s="437" t="s">
        <v>1971</v>
      </c>
      <c r="C166" s="438" t="s">
        <v>1649</v>
      </c>
      <c r="D166" s="439">
        <f>'RM Rollforward'!H664</f>
        <v>0</v>
      </c>
      <c r="E166" s="444">
        <v>75.0</v>
      </c>
      <c r="F166" s="440">
        <v>1.0</v>
      </c>
      <c r="G166" s="443">
        <f t="shared" si="2"/>
        <v>0</v>
      </c>
      <c r="H166" s="169"/>
    </row>
    <row r="167" ht="12.0" customHeight="1">
      <c r="A167" s="446" t="s">
        <v>1972</v>
      </c>
      <c r="B167" s="437" t="s">
        <v>1973</v>
      </c>
      <c r="C167" s="438" t="s">
        <v>1649</v>
      </c>
      <c r="D167" s="439">
        <f>'RM Rollforward'!H665</f>
        <v>220</v>
      </c>
      <c r="E167" s="444">
        <v>75.0</v>
      </c>
      <c r="F167" s="440">
        <v>1.0</v>
      </c>
      <c r="G167" s="443">
        <f t="shared" si="2"/>
        <v>16500</v>
      </c>
      <c r="H167" s="169"/>
    </row>
    <row r="168" ht="12.0" customHeight="1">
      <c r="A168" s="446" t="s">
        <v>1974</v>
      </c>
      <c r="B168" s="437" t="s">
        <v>1975</v>
      </c>
      <c r="C168" s="438" t="s">
        <v>1649</v>
      </c>
      <c r="D168" s="439">
        <f>'RM Rollforward'!H666</f>
        <v>0</v>
      </c>
      <c r="E168" s="444">
        <v>75.0</v>
      </c>
      <c r="F168" s="440">
        <v>1.0</v>
      </c>
      <c r="G168" s="443">
        <f t="shared" si="2"/>
        <v>0</v>
      </c>
      <c r="H168" s="169"/>
    </row>
    <row r="169" ht="12.0" customHeight="1">
      <c r="A169" s="446" t="s">
        <v>1976</v>
      </c>
      <c r="B169" s="437" t="s">
        <v>1977</v>
      </c>
      <c r="C169" s="438" t="s">
        <v>1649</v>
      </c>
      <c r="D169" s="439">
        <f>'RM Rollforward'!H667</f>
        <v>2</v>
      </c>
      <c r="E169" s="444">
        <v>75.0</v>
      </c>
      <c r="F169" s="440">
        <v>1.0</v>
      </c>
      <c r="G169" s="443">
        <f t="shared" si="2"/>
        <v>150</v>
      </c>
      <c r="H169" s="169"/>
    </row>
    <row r="170" ht="12.0" customHeight="1">
      <c r="A170" s="446" t="s">
        <v>1978</v>
      </c>
      <c r="B170" s="437" t="s">
        <v>1979</v>
      </c>
      <c r="C170" s="438" t="s">
        <v>1649</v>
      </c>
      <c r="D170" s="439">
        <f>'RM Rollforward'!H668</f>
        <v>0</v>
      </c>
      <c r="E170" s="444">
        <v>75.0</v>
      </c>
      <c r="F170" s="440">
        <v>1.0</v>
      </c>
      <c r="G170" s="443">
        <f t="shared" si="2"/>
        <v>0</v>
      </c>
      <c r="H170" s="169"/>
    </row>
    <row r="171" ht="12.0" customHeight="1">
      <c r="A171" s="446" t="s">
        <v>1980</v>
      </c>
      <c r="B171" s="437" t="s">
        <v>1981</v>
      </c>
      <c r="C171" s="438" t="s">
        <v>1649</v>
      </c>
      <c r="D171" s="439">
        <f>'RM Rollforward'!H669</f>
        <v>356</v>
      </c>
      <c r="E171" s="444">
        <v>75.0</v>
      </c>
      <c r="F171" s="440">
        <v>1.0</v>
      </c>
      <c r="G171" s="443">
        <f t="shared" si="2"/>
        <v>26700</v>
      </c>
      <c r="H171" s="169"/>
    </row>
    <row r="172" ht="12.0" customHeight="1">
      <c r="A172" s="446" t="s">
        <v>1982</v>
      </c>
      <c r="B172" s="437" t="s">
        <v>1983</v>
      </c>
      <c r="C172" s="438" t="s">
        <v>1649</v>
      </c>
      <c r="D172" s="439">
        <f>'RM Rollforward'!H671</f>
        <v>0</v>
      </c>
      <c r="E172" s="444">
        <v>75.0</v>
      </c>
      <c r="F172" s="440">
        <v>1.0</v>
      </c>
      <c r="G172" s="443">
        <f t="shared" si="2"/>
        <v>0</v>
      </c>
      <c r="H172" s="169"/>
    </row>
    <row r="173" ht="12.0" customHeight="1">
      <c r="A173" s="446" t="s">
        <v>1984</v>
      </c>
      <c r="B173" s="437" t="s">
        <v>1985</v>
      </c>
      <c r="C173" s="438" t="s">
        <v>1649</v>
      </c>
      <c r="D173" s="439">
        <f>'RM Rollforward'!H672</f>
        <v>0</v>
      </c>
      <c r="E173" s="444">
        <v>75.0</v>
      </c>
      <c r="F173" s="440">
        <v>1.0</v>
      </c>
      <c r="G173" s="443">
        <f t="shared" si="2"/>
        <v>0</v>
      </c>
      <c r="H173" s="169"/>
    </row>
    <row r="174" ht="12.0" customHeight="1">
      <c r="A174" s="446" t="s">
        <v>1986</v>
      </c>
      <c r="B174" s="437" t="s">
        <v>1987</v>
      </c>
      <c r="C174" s="438" t="s">
        <v>1649</v>
      </c>
      <c r="D174" s="439">
        <f>'RM Rollforward'!H673</f>
        <v>0</v>
      </c>
      <c r="E174" s="444">
        <v>75.0</v>
      </c>
      <c r="F174" s="440">
        <v>1.0</v>
      </c>
      <c r="G174" s="443">
        <f t="shared" si="2"/>
        <v>0</v>
      </c>
      <c r="H174" s="169"/>
    </row>
    <row r="175" ht="12.0" customHeight="1">
      <c r="A175" s="446" t="s">
        <v>1988</v>
      </c>
      <c r="B175" s="437" t="s">
        <v>1989</v>
      </c>
      <c r="C175" s="438" t="s">
        <v>1649</v>
      </c>
      <c r="D175" s="439">
        <f>'RM Rollforward'!H674</f>
        <v>0</v>
      </c>
      <c r="E175" s="444">
        <v>75.0</v>
      </c>
      <c r="F175" s="440">
        <v>1.0</v>
      </c>
      <c r="G175" s="443">
        <f t="shared" si="2"/>
        <v>0</v>
      </c>
      <c r="H175" s="169"/>
    </row>
    <row r="176" ht="12.0" customHeight="1">
      <c r="A176" s="446" t="s">
        <v>1990</v>
      </c>
      <c r="B176" s="446" t="s">
        <v>1991</v>
      </c>
      <c r="C176" s="438" t="s">
        <v>1649</v>
      </c>
      <c r="D176" s="439" t="str">
        <f>'RM Rollforward'!#REF!</f>
        <v>#ERROR!</v>
      </c>
      <c r="E176" s="444">
        <v>43.0</v>
      </c>
      <c r="F176" s="440">
        <v>1.0</v>
      </c>
      <c r="G176" s="443" t="str">
        <f t="shared" si="2"/>
        <v>#ERROR!</v>
      </c>
      <c r="H176" s="169"/>
    </row>
    <row r="177" ht="12.0" customHeight="1">
      <c r="A177" s="446" t="s">
        <v>1992</v>
      </c>
      <c r="B177" s="446" t="s">
        <v>1993</v>
      </c>
      <c r="C177" s="438" t="s">
        <v>1649</v>
      </c>
      <c r="D177" s="439" t="str">
        <f>'RM Rollforward'!#REF!</f>
        <v>#ERROR!</v>
      </c>
      <c r="E177" s="444">
        <v>43.0</v>
      </c>
      <c r="F177" s="440">
        <v>1.0</v>
      </c>
      <c r="G177" s="443" t="str">
        <f t="shared" si="2"/>
        <v>#ERROR!</v>
      </c>
      <c r="H177" s="169"/>
    </row>
    <row r="178" ht="12.0" customHeight="1">
      <c r="A178" s="446" t="s">
        <v>1994</v>
      </c>
      <c r="B178" s="446" t="s">
        <v>1995</v>
      </c>
      <c r="C178" s="438" t="s">
        <v>1649</v>
      </c>
      <c r="D178" s="439" t="str">
        <f>'RM Rollforward'!#REF!</f>
        <v>#ERROR!</v>
      </c>
      <c r="E178" s="444">
        <v>43.0</v>
      </c>
      <c r="F178" s="440">
        <v>1.0</v>
      </c>
      <c r="G178" s="443" t="str">
        <f t="shared" si="2"/>
        <v>#ERROR!</v>
      </c>
      <c r="H178" s="169"/>
    </row>
    <row r="179" ht="12.0" customHeight="1">
      <c r="A179" s="446" t="s">
        <v>1996</v>
      </c>
      <c r="B179" s="446" t="s">
        <v>1997</v>
      </c>
      <c r="C179" s="438" t="s">
        <v>1649</v>
      </c>
      <c r="D179" s="439" t="str">
        <f>'RM Rollforward'!#REF!</f>
        <v>#ERROR!</v>
      </c>
      <c r="E179" s="444">
        <v>43.0</v>
      </c>
      <c r="F179" s="440">
        <v>1.0</v>
      </c>
      <c r="G179" s="443" t="str">
        <f t="shared" si="2"/>
        <v>#ERROR!</v>
      </c>
      <c r="H179" s="169"/>
    </row>
    <row r="180" ht="12.0" customHeight="1">
      <c r="A180" s="446" t="s">
        <v>1998</v>
      </c>
      <c r="B180" s="446" t="s">
        <v>1999</v>
      </c>
      <c r="C180" s="438" t="s">
        <v>1649</v>
      </c>
      <c r="D180" s="439" t="str">
        <f>'RM Rollforward'!#REF!</f>
        <v>#ERROR!</v>
      </c>
      <c r="E180" s="444">
        <v>43.0</v>
      </c>
      <c r="F180" s="440">
        <v>1.0</v>
      </c>
      <c r="G180" s="443" t="str">
        <f t="shared" si="2"/>
        <v>#ERROR!</v>
      </c>
      <c r="H180" s="169"/>
    </row>
    <row r="181" ht="12.0" customHeight="1">
      <c r="A181" s="446" t="s">
        <v>2000</v>
      </c>
      <c r="B181" s="446" t="s">
        <v>2001</v>
      </c>
      <c r="C181" s="438" t="s">
        <v>1649</v>
      </c>
      <c r="D181" s="439" t="str">
        <f>'RM Rollforward'!#REF!</f>
        <v>#ERROR!</v>
      </c>
      <c r="E181" s="444">
        <v>43.0</v>
      </c>
      <c r="F181" s="440">
        <v>1.0</v>
      </c>
      <c r="G181" s="443" t="str">
        <f t="shared" si="2"/>
        <v>#ERROR!</v>
      </c>
      <c r="H181" s="169"/>
    </row>
    <row r="182" ht="12.0" customHeight="1">
      <c r="A182" s="446" t="s">
        <v>2002</v>
      </c>
      <c r="B182" s="446" t="s">
        <v>2003</v>
      </c>
      <c r="C182" s="438" t="s">
        <v>1649</v>
      </c>
      <c r="D182" s="439" t="str">
        <f>'RM Rollforward'!#REF!</f>
        <v>#ERROR!</v>
      </c>
      <c r="E182" s="444">
        <v>43.0</v>
      </c>
      <c r="F182" s="440">
        <v>1.0</v>
      </c>
      <c r="G182" s="443" t="str">
        <f t="shared" si="2"/>
        <v>#ERROR!</v>
      </c>
      <c r="H182" s="169"/>
    </row>
    <row r="183" ht="12.0" customHeight="1">
      <c r="A183" s="446" t="s">
        <v>2004</v>
      </c>
      <c r="B183" s="446" t="s">
        <v>2005</v>
      </c>
      <c r="C183" s="438" t="s">
        <v>1649</v>
      </c>
      <c r="D183" s="439" t="str">
        <f>'RM Rollforward'!#REF!</f>
        <v>#ERROR!</v>
      </c>
      <c r="E183" s="444">
        <v>43.0</v>
      </c>
      <c r="F183" s="440">
        <v>1.0</v>
      </c>
      <c r="G183" s="443" t="str">
        <f t="shared" si="2"/>
        <v>#ERROR!</v>
      </c>
      <c r="H183" s="169"/>
    </row>
    <row r="184" ht="12.0" customHeight="1">
      <c r="A184" s="446" t="s">
        <v>2006</v>
      </c>
      <c r="B184" s="437" t="s">
        <v>2007</v>
      </c>
      <c r="C184" s="438" t="s">
        <v>1649</v>
      </c>
      <c r="D184" s="439" t="str">
        <f>'RM Rollforward'!#REF!</f>
        <v>#ERROR!</v>
      </c>
      <c r="E184" s="444">
        <v>75.0</v>
      </c>
      <c r="F184" s="440">
        <v>1.0</v>
      </c>
      <c r="G184" s="443" t="str">
        <f t="shared" si="2"/>
        <v>#ERROR!</v>
      </c>
      <c r="H184" s="169"/>
    </row>
    <row r="185" ht="12.0" customHeight="1">
      <c r="A185" s="446" t="s">
        <v>2008</v>
      </c>
      <c r="B185" s="437" t="s">
        <v>2009</v>
      </c>
      <c r="C185" s="438" t="s">
        <v>1649</v>
      </c>
      <c r="D185" s="439" t="str">
        <f>'RM Rollforward'!#REF!</f>
        <v>#ERROR!</v>
      </c>
      <c r="E185" s="444">
        <v>75.0</v>
      </c>
      <c r="F185" s="440">
        <v>1.0</v>
      </c>
      <c r="G185" s="443" t="str">
        <f t="shared" si="2"/>
        <v>#ERROR!</v>
      </c>
      <c r="H185" s="169"/>
    </row>
    <row r="186" ht="12.0" customHeight="1">
      <c r="A186" s="446" t="s">
        <v>2010</v>
      </c>
      <c r="B186" s="437" t="s">
        <v>2011</v>
      </c>
      <c r="C186" s="438" t="s">
        <v>1649</v>
      </c>
      <c r="D186" s="439" t="str">
        <f>'RM Rollforward'!#REF!</f>
        <v>#ERROR!</v>
      </c>
      <c r="E186" s="444">
        <v>75.0</v>
      </c>
      <c r="F186" s="440">
        <v>1.0</v>
      </c>
      <c r="G186" s="443" t="str">
        <f t="shared" si="2"/>
        <v>#ERROR!</v>
      </c>
      <c r="H186" s="169"/>
    </row>
    <row r="187" ht="12.0" customHeight="1">
      <c r="A187" s="446" t="s">
        <v>2012</v>
      </c>
      <c r="B187" s="437" t="s">
        <v>2013</v>
      </c>
      <c r="C187" s="438" t="s">
        <v>1649</v>
      </c>
      <c r="D187" s="439" t="str">
        <f>'RM Rollforward'!#REF!</f>
        <v>#ERROR!</v>
      </c>
      <c r="E187" s="444">
        <v>75.0</v>
      </c>
      <c r="F187" s="440">
        <v>1.0</v>
      </c>
      <c r="G187" s="443" t="str">
        <f t="shared" si="2"/>
        <v>#ERROR!</v>
      </c>
      <c r="H187" s="169"/>
    </row>
    <row r="188" ht="12.0" customHeight="1">
      <c r="A188" s="446" t="s">
        <v>2014</v>
      </c>
      <c r="B188" s="437" t="s">
        <v>2015</v>
      </c>
      <c r="C188" s="438" t="s">
        <v>1649</v>
      </c>
      <c r="D188" s="447" t="str">
        <f>'RM Rollforward'!#REF!</f>
        <v>#ERROR!</v>
      </c>
      <c r="E188" s="444">
        <v>43.0</v>
      </c>
      <c r="F188" s="440">
        <v>1.0</v>
      </c>
      <c r="G188" s="443" t="str">
        <f t="shared" si="2"/>
        <v>#ERROR!</v>
      </c>
      <c r="H188" s="169"/>
    </row>
    <row r="189" ht="12.0" customHeight="1">
      <c r="A189" s="446" t="s">
        <v>2016</v>
      </c>
      <c r="B189" s="437" t="s">
        <v>2017</v>
      </c>
      <c r="C189" s="438" t="s">
        <v>1649</v>
      </c>
      <c r="D189" s="447" t="str">
        <f>'RM Rollforward'!#REF!</f>
        <v>#ERROR!</v>
      </c>
      <c r="E189" s="444">
        <v>43.0</v>
      </c>
      <c r="F189" s="429"/>
      <c r="G189" s="443" t="str">
        <f t="shared" si="2"/>
        <v>#ERROR!</v>
      </c>
    </row>
    <row r="190" ht="12.0" customHeight="1">
      <c r="C190" s="89"/>
      <c r="D190" s="448" t="str">
        <f>SUM(D5:D189)</f>
        <v>#ERROR!</v>
      </c>
      <c r="E190" s="428"/>
      <c r="F190" s="429"/>
      <c r="G190" s="449" t="str">
        <f>SUM(G5:G189)</f>
        <v>#ERROR!</v>
      </c>
    </row>
    <row r="191" ht="15.75" customHeight="1">
      <c r="C191" s="89"/>
      <c r="D191" s="427"/>
      <c r="E191" s="428"/>
      <c r="F191" s="429"/>
      <c r="G191" s="338"/>
    </row>
    <row r="192" ht="15.75" customHeight="1">
      <c r="C192" s="89"/>
      <c r="D192" s="427"/>
      <c r="E192" s="428"/>
      <c r="F192" s="429"/>
      <c r="G192" s="338"/>
    </row>
    <row r="193" ht="15.75" customHeight="1">
      <c r="C193" s="89"/>
      <c r="D193" s="427"/>
      <c r="E193" s="428"/>
      <c r="F193" s="429"/>
      <c r="G193" s="338"/>
    </row>
    <row r="194" ht="15.75" customHeight="1">
      <c r="C194" s="89"/>
      <c r="D194" s="427"/>
      <c r="E194" s="428"/>
      <c r="F194" s="429"/>
      <c r="G194" s="338"/>
    </row>
    <row r="195" ht="15.75" customHeight="1">
      <c r="C195" s="89"/>
      <c r="D195" s="427"/>
      <c r="E195" s="428"/>
      <c r="F195" s="429"/>
      <c r="G195" s="338"/>
    </row>
    <row r="196" ht="15.75" customHeight="1">
      <c r="C196" s="89"/>
      <c r="D196" s="427"/>
      <c r="E196" s="428"/>
      <c r="F196" s="429"/>
      <c r="G196" s="338"/>
    </row>
    <row r="197" ht="15.75" customHeight="1">
      <c r="C197" s="89"/>
      <c r="D197" s="427"/>
      <c r="E197" s="428"/>
      <c r="F197" s="429"/>
      <c r="G197" s="338"/>
    </row>
    <row r="198" ht="15.75" customHeight="1">
      <c r="C198" s="89"/>
      <c r="D198" s="427"/>
      <c r="E198" s="428"/>
      <c r="F198" s="429"/>
      <c r="G198" s="338"/>
    </row>
    <row r="199" ht="15.75" customHeight="1">
      <c r="C199" s="89"/>
      <c r="D199" s="427"/>
      <c r="E199" s="428"/>
      <c r="F199" s="429"/>
      <c r="G199" s="338"/>
    </row>
    <row r="200" ht="15.75" customHeight="1">
      <c r="C200" s="89"/>
      <c r="D200" s="427"/>
      <c r="E200" s="428"/>
      <c r="F200" s="429"/>
      <c r="G200" s="338"/>
    </row>
    <row r="201" ht="15.75" customHeight="1">
      <c r="C201" s="89"/>
      <c r="D201" s="427"/>
      <c r="E201" s="428"/>
      <c r="F201" s="429"/>
      <c r="G201" s="338"/>
    </row>
    <row r="202" ht="15.75" customHeight="1">
      <c r="C202" s="89"/>
      <c r="D202" s="427"/>
      <c r="E202" s="428"/>
      <c r="F202" s="429"/>
      <c r="G202" s="338"/>
    </row>
    <row r="203" ht="15.75" customHeight="1">
      <c r="C203" s="89"/>
      <c r="D203" s="427"/>
      <c r="E203" s="428"/>
      <c r="F203" s="429"/>
      <c r="G203" s="338"/>
    </row>
    <row r="204" ht="15.75" customHeight="1">
      <c r="C204" s="89"/>
      <c r="D204" s="427"/>
      <c r="E204" s="428"/>
      <c r="F204" s="429"/>
      <c r="G204" s="338"/>
    </row>
    <row r="205" ht="15.75" customHeight="1">
      <c r="C205" s="89"/>
      <c r="D205" s="427"/>
      <c r="E205" s="428"/>
      <c r="F205" s="429"/>
      <c r="G205" s="338"/>
    </row>
    <row r="206" ht="15.75" customHeight="1">
      <c r="C206" s="89"/>
      <c r="D206" s="427"/>
      <c r="E206" s="428"/>
      <c r="F206" s="429"/>
      <c r="G206" s="338"/>
    </row>
    <row r="207" ht="15.75" customHeight="1">
      <c r="C207" s="89"/>
      <c r="D207" s="427"/>
      <c r="E207" s="428"/>
      <c r="F207" s="429"/>
      <c r="G207" s="338"/>
    </row>
    <row r="208" ht="15.75" customHeight="1">
      <c r="C208" s="89"/>
      <c r="D208" s="427"/>
      <c r="E208" s="428"/>
      <c r="F208" s="429"/>
      <c r="G208" s="338"/>
    </row>
    <row r="209" ht="15.75" customHeight="1">
      <c r="C209" s="89"/>
      <c r="D209" s="427"/>
      <c r="E209" s="428"/>
      <c r="F209" s="429"/>
      <c r="G209" s="338"/>
    </row>
    <row r="210" ht="15.75" customHeight="1">
      <c r="C210" s="89"/>
      <c r="D210" s="427"/>
      <c r="E210" s="428"/>
      <c r="F210" s="429"/>
      <c r="G210" s="338"/>
    </row>
    <row r="211" ht="15.75" customHeight="1">
      <c r="C211" s="89"/>
      <c r="D211" s="427"/>
      <c r="E211" s="428"/>
      <c r="F211" s="429"/>
      <c r="G211" s="338"/>
    </row>
    <row r="212" ht="15.75" customHeight="1">
      <c r="C212" s="89"/>
      <c r="D212" s="427"/>
      <c r="E212" s="428"/>
      <c r="F212" s="429"/>
      <c r="G212" s="338"/>
    </row>
    <row r="213" ht="15.75" customHeight="1">
      <c r="C213" s="89"/>
      <c r="D213" s="427"/>
      <c r="E213" s="428"/>
      <c r="F213" s="429"/>
      <c r="G213" s="338"/>
    </row>
    <row r="214" ht="15.75" customHeight="1">
      <c r="C214" s="89"/>
      <c r="D214" s="427"/>
      <c r="E214" s="428"/>
      <c r="F214" s="429"/>
      <c r="G214" s="338"/>
    </row>
    <row r="215" ht="15.75" customHeight="1">
      <c r="C215" s="89"/>
      <c r="D215" s="427"/>
      <c r="E215" s="428"/>
      <c r="F215" s="429"/>
      <c r="G215" s="338"/>
    </row>
    <row r="216" ht="15.75" customHeight="1">
      <c r="C216" s="89"/>
      <c r="D216" s="427"/>
      <c r="E216" s="428"/>
      <c r="F216" s="429"/>
      <c r="G216" s="338"/>
    </row>
    <row r="217" ht="15.75" customHeight="1">
      <c r="C217" s="89"/>
      <c r="D217" s="427"/>
      <c r="E217" s="428"/>
      <c r="F217" s="429"/>
      <c r="G217" s="338"/>
    </row>
    <row r="218" ht="15.75" customHeight="1">
      <c r="C218" s="89"/>
      <c r="D218" s="427"/>
      <c r="E218" s="428"/>
      <c r="F218" s="429"/>
      <c r="G218" s="338"/>
    </row>
    <row r="219" ht="15.75" customHeight="1">
      <c r="C219" s="89"/>
      <c r="D219" s="427"/>
      <c r="E219" s="428"/>
      <c r="F219" s="429"/>
      <c r="G219" s="338"/>
    </row>
    <row r="220" ht="15.75" customHeight="1">
      <c r="C220" s="89"/>
      <c r="D220" s="427"/>
      <c r="E220" s="428"/>
      <c r="F220" s="429"/>
      <c r="G220" s="338"/>
    </row>
    <row r="221" ht="15.75" customHeight="1">
      <c r="C221" s="89"/>
      <c r="D221" s="427"/>
      <c r="E221" s="428"/>
      <c r="F221" s="429"/>
      <c r="G221" s="338"/>
    </row>
    <row r="222" ht="15.75" customHeight="1">
      <c r="C222" s="89"/>
      <c r="D222" s="427"/>
      <c r="E222" s="428"/>
      <c r="F222" s="429"/>
      <c r="G222" s="338"/>
    </row>
    <row r="223" ht="15.75" customHeight="1">
      <c r="C223" s="89"/>
      <c r="D223" s="427"/>
      <c r="E223" s="428"/>
      <c r="F223" s="429"/>
      <c r="G223" s="338"/>
    </row>
    <row r="224" ht="15.75" customHeight="1">
      <c r="C224" s="89"/>
      <c r="D224" s="427"/>
      <c r="E224" s="428"/>
      <c r="F224" s="429"/>
      <c r="G224" s="338"/>
    </row>
    <row r="225" ht="15.75" customHeight="1">
      <c r="C225" s="89"/>
      <c r="D225" s="427"/>
      <c r="E225" s="428"/>
      <c r="F225" s="429"/>
      <c r="G225" s="338"/>
    </row>
    <row r="226" ht="15.75" customHeight="1">
      <c r="C226" s="89"/>
      <c r="D226" s="427"/>
      <c r="E226" s="428"/>
      <c r="F226" s="429"/>
      <c r="G226" s="338"/>
    </row>
    <row r="227" ht="15.75" customHeight="1">
      <c r="C227" s="89"/>
      <c r="D227" s="427"/>
      <c r="E227" s="428"/>
      <c r="F227" s="429"/>
      <c r="G227" s="338"/>
    </row>
    <row r="228" ht="15.75" customHeight="1">
      <c r="C228" s="89"/>
      <c r="D228" s="427"/>
      <c r="E228" s="428"/>
      <c r="F228" s="429"/>
      <c r="G228" s="338"/>
    </row>
    <row r="229" ht="15.75" customHeight="1">
      <c r="C229" s="89"/>
      <c r="D229" s="427"/>
      <c r="E229" s="428"/>
      <c r="F229" s="429"/>
      <c r="G229" s="338"/>
    </row>
    <row r="230" ht="15.75" customHeight="1">
      <c r="C230" s="89"/>
      <c r="D230" s="427"/>
      <c r="E230" s="428"/>
      <c r="F230" s="429"/>
      <c r="G230" s="338"/>
    </row>
    <row r="231" ht="15.75" customHeight="1">
      <c r="C231" s="89"/>
      <c r="D231" s="427"/>
      <c r="E231" s="428"/>
      <c r="F231" s="429"/>
      <c r="G231" s="338"/>
    </row>
    <row r="232" ht="15.75" customHeight="1">
      <c r="C232" s="89"/>
      <c r="D232" s="427"/>
      <c r="E232" s="428"/>
      <c r="F232" s="429"/>
      <c r="G232" s="338"/>
    </row>
    <row r="233" ht="15.75" customHeight="1">
      <c r="C233" s="89"/>
      <c r="D233" s="427"/>
      <c r="E233" s="428"/>
      <c r="F233" s="429"/>
      <c r="G233" s="338"/>
    </row>
    <row r="234" ht="15.75" customHeight="1">
      <c r="C234" s="89"/>
      <c r="D234" s="427"/>
      <c r="E234" s="428"/>
      <c r="F234" s="429"/>
      <c r="G234" s="338"/>
    </row>
    <row r="235" ht="15.75" customHeight="1">
      <c r="C235" s="89"/>
      <c r="D235" s="427"/>
      <c r="E235" s="428"/>
      <c r="F235" s="429"/>
      <c r="G235" s="338"/>
    </row>
    <row r="236" ht="15.75" customHeight="1">
      <c r="C236" s="89"/>
      <c r="D236" s="427"/>
      <c r="E236" s="428"/>
      <c r="F236" s="429"/>
      <c r="G236" s="338"/>
    </row>
    <row r="237" ht="15.75" customHeight="1">
      <c r="C237" s="89"/>
      <c r="D237" s="427"/>
      <c r="E237" s="428"/>
      <c r="F237" s="429"/>
      <c r="G237" s="338"/>
    </row>
    <row r="238" ht="15.75" customHeight="1">
      <c r="C238" s="89"/>
      <c r="D238" s="427"/>
      <c r="E238" s="428"/>
      <c r="F238" s="429"/>
      <c r="G238" s="338"/>
    </row>
    <row r="239" ht="15.75" customHeight="1">
      <c r="C239" s="89"/>
      <c r="D239" s="427"/>
      <c r="E239" s="428"/>
      <c r="F239" s="429"/>
      <c r="G239" s="338"/>
    </row>
    <row r="240" ht="15.75" customHeight="1">
      <c r="C240" s="89"/>
      <c r="D240" s="427"/>
      <c r="E240" s="428"/>
      <c r="F240" s="429"/>
      <c r="G240" s="338"/>
    </row>
    <row r="241" ht="15.75" customHeight="1">
      <c r="C241" s="89"/>
      <c r="D241" s="427"/>
      <c r="E241" s="428"/>
      <c r="F241" s="429"/>
      <c r="G241" s="338"/>
    </row>
    <row r="242" ht="15.75" customHeight="1">
      <c r="C242" s="89"/>
      <c r="D242" s="427"/>
      <c r="E242" s="428"/>
      <c r="F242" s="429"/>
      <c r="G242" s="338"/>
    </row>
    <row r="243" ht="15.75" customHeight="1">
      <c r="C243" s="89"/>
      <c r="D243" s="427"/>
      <c r="E243" s="428"/>
      <c r="F243" s="429"/>
      <c r="G243" s="338"/>
    </row>
    <row r="244" ht="15.75" customHeight="1">
      <c r="C244" s="89"/>
      <c r="D244" s="427"/>
      <c r="E244" s="428"/>
      <c r="F244" s="429"/>
      <c r="G244" s="338"/>
    </row>
    <row r="245" ht="15.75" customHeight="1">
      <c r="C245" s="89"/>
      <c r="D245" s="427"/>
      <c r="E245" s="428"/>
      <c r="F245" s="429"/>
      <c r="G245" s="338"/>
    </row>
    <row r="246" ht="15.75" customHeight="1">
      <c r="C246" s="89"/>
      <c r="D246" s="427"/>
      <c r="E246" s="428"/>
      <c r="F246" s="429"/>
      <c r="G246" s="338"/>
    </row>
    <row r="247" ht="15.75" customHeight="1">
      <c r="C247" s="89"/>
      <c r="D247" s="427"/>
      <c r="E247" s="428"/>
      <c r="F247" s="429"/>
      <c r="G247" s="338"/>
    </row>
    <row r="248" ht="15.75" customHeight="1">
      <c r="C248" s="89"/>
      <c r="D248" s="427"/>
      <c r="E248" s="428"/>
      <c r="F248" s="429"/>
      <c r="G248" s="338"/>
    </row>
    <row r="249" ht="15.75" customHeight="1">
      <c r="C249" s="89"/>
      <c r="D249" s="427"/>
      <c r="E249" s="428"/>
      <c r="F249" s="429"/>
      <c r="G249" s="338"/>
    </row>
    <row r="250" ht="15.75" customHeight="1">
      <c r="E250" s="428"/>
      <c r="F250" s="429"/>
    </row>
    <row r="251" ht="15.75" customHeight="1">
      <c r="E251" s="428"/>
      <c r="F251" s="429"/>
    </row>
    <row r="252" ht="15.75" customHeight="1">
      <c r="E252" s="428"/>
      <c r="F252" s="429"/>
    </row>
    <row r="253" ht="15.75" customHeight="1">
      <c r="E253" s="428"/>
      <c r="F253" s="429"/>
    </row>
    <row r="254" ht="15.75" customHeight="1">
      <c r="E254" s="428"/>
      <c r="F254" s="429"/>
    </row>
    <row r="255" ht="15.75" customHeight="1">
      <c r="E255" s="428"/>
      <c r="F255" s="429"/>
    </row>
    <row r="256" ht="15.75" customHeight="1">
      <c r="E256" s="428"/>
      <c r="F256" s="429"/>
    </row>
    <row r="257" ht="15.75" customHeight="1">
      <c r="E257" s="428"/>
      <c r="F257" s="429"/>
    </row>
    <row r="258" ht="15.75" customHeight="1">
      <c r="E258" s="428"/>
      <c r="F258" s="429"/>
    </row>
    <row r="259" ht="15.75" customHeight="1">
      <c r="E259" s="428"/>
      <c r="F259" s="429"/>
    </row>
    <row r="260" ht="15.75" customHeight="1">
      <c r="E260" s="428"/>
      <c r="F260" s="429"/>
    </row>
    <row r="261" ht="15.75" customHeight="1">
      <c r="E261" s="428"/>
      <c r="F261" s="429"/>
    </row>
    <row r="262" ht="15.75" customHeight="1">
      <c r="E262" s="428"/>
      <c r="F262" s="429"/>
    </row>
    <row r="263" ht="15.75" customHeight="1">
      <c r="E263" s="428"/>
      <c r="F263" s="429"/>
    </row>
    <row r="264" ht="15.75" customHeight="1">
      <c r="E264" s="428"/>
      <c r="F264" s="429"/>
    </row>
    <row r="265" ht="15.75" customHeight="1">
      <c r="E265" s="428"/>
      <c r="F265" s="429"/>
    </row>
    <row r="266" ht="15.75" customHeight="1">
      <c r="E266" s="428"/>
      <c r="F266" s="429"/>
    </row>
    <row r="267" ht="15.75" customHeight="1">
      <c r="E267" s="428"/>
      <c r="F267" s="429"/>
    </row>
    <row r="268" ht="15.75" customHeight="1">
      <c r="E268" s="428"/>
      <c r="F268" s="429"/>
    </row>
    <row r="269" ht="15.75" customHeight="1">
      <c r="E269" s="428"/>
      <c r="F269" s="429"/>
    </row>
    <row r="270" ht="15.75" customHeight="1">
      <c r="E270" s="428"/>
      <c r="F270" s="429"/>
    </row>
    <row r="271" ht="15.75" customHeight="1">
      <c r="E271" s="428"/>
      <c r="F271" s="429"/>
    </row>
    <row r="272" ht="15.75" customHeight="1">
      <c r="E272" s="428"/>
      <c r="F272" s="429"/>
    </row>
    <row r="273" ht="15.75" customHeight="1">
      <c r="E273" s="428"/>
      <c r="F273" s="429"/>
    </row>
    <row r="274" ht="15.75" customHeight="1">
      <c r="E274" s="428"/>
      <c r="F274" s="429"/>
    </row>
    <row r="275" ht="15.75" customHeight="1">
      <c r="E275" s="428"/>
      <c r="F275" s="429"/>
    </row>
    <row r="276" ht="15.75" customHeight="1">
      <c r="E276" s="428"/>
      <c r="F276" s="429"/>
    </row>
    <row r="277" ht="15.75" customHeight="1">
      <c r="E277" s="428"/>
      <c r="F277" s="429"/>
    </row>
    <row r="278" ht="15.75" customHeight="1">
      <c r="E278" s="428"/>
      <c r="F278" s="429"/>
    </row>
    <row r="279" ht="15.75" customHeight="1">
      <c r="E279" s="428"/>
      <c r="F279" s="429"/>
    </row>
    <row r="280" ht="15.75" customHeight="1">
      <c r="E280" s="428"/>
      <c r="F280" s="429"/>
    </row>
    <row r="281" ht="15.75" customHeight="1">
      <c r="E281" s="428"/>
      <c r="F281" s="429"/>
    </row>
    <row r="282" ht="15.75" customHeight="1">
      <c r="E282" s="428"/>
      <c r="F282" s="429"/>
    </row>
    <row r="283" ht="15.75" customHeight="1">
      <c r="E283" s="428"/>
      <c r="F283" s="429"/>
    </row>
    <row r="284" ht="15.75" customHeight="1">
      <c r="E284" s="428"/>
      <c r="F284" s="429"/>
    </row>
    <row r="285" ht="15.75" customHeight="1">
      <c r="E285" s="428"/>
      <c r="F285" s="429"/>
    </row>
    <row r="286" ht="15.75" customHeight="1">
      <c r="E286" s="428"/>
      <c r="F286" s="429"/>
    </row>
    <row r="287" ht="15.75" customHeight="1">
      <c r="E287" s="428"/>
      <c r="F287" s="429"/>
    </row>
    <row r="288" ht="15.75" customHeight="1">
      <c r="E288" s="428"/>
      <c r="F288" s="429"/>
    </row>
    <row r="289" ht="15.75" customHeight="1">
      <c r="E289" s="428"/>
      <c r="F289" s="429"/>
    </row>
    <row r="290" ht="15.75" customHeight="1">
      <c r="E290" s="428"/>
      <c r="F290" s="429"/>
    </row>
    <row r="291" ht="15.75" customHeight="1">
      <c r="E291" s="428"/>
      <c r="F291" s="429"/>
    </row>
    <row r="292" ht="15.75" customHeight="1">
      <c r="E292" s="428"/>
      <c r="F292" s="429"/>
    </row>
    <row r="293" ht="15.75" customHeight="1">
      <c r="E293" s="428"/>
      <c r="F293" s="429"/>
    </row>
    <row r="294" ht="15.75" customHeight="1">
      <c r="E294" s="428"/>
      <c r="F294" s="429"/>
    </row>
    <row r="295" ht="15.75" customHeight="1">
      <c r="E295" s="428"/>
      <c r="F295" s="429"/>
    </row>
    <row r="296" ht="15.75" customHeight="1">
      <c r="E296" s="428"/>
      <c r="F296" s="429"/>
    </row>
    <row r="297" ht="15.75" customHeight="1">
      <c r="E297" s="428"/>
      <c r="F297" s="429"/>
    </row>
    <row r="298" ht="15.75" customHeight="1">
      <c r="E298" s="428"/>
      <c r="F298" s="429"/>
    </row>
    <row r="299" ht="15.75" customHeight="1">
      <c r="E299" s="428"/>
      <c r="F299" s="429"/>
    </row>
    <row r="300" ht="15.75" customHeight="1">
      <c r="E300" s="428"/>
      <c r="F300" s="429"/>
    </row>
    <row r="301" ht="15.75" customHeight="1">
      <c r="E301" s="428"/>
      <c r="F301" s="429"/>
    </row>
    <row r="302" ht="15.75" customHeight="1">
      <c r="E302" s="428"/>
      <c r="F302" s="429"/>
    </row>
    <row r="303" ht="15.75" customHeight="1">
      <c r="E303" s="428"/>
      <c r="F303" s="429"/>
    </row>
    <row r="304" ht="15.75" customHeight="1">
      <c r="E304" s="428"/>
      <c r="F304" s="429"/>
    </row>
    <row r="305" ht="15.75" customHeight="1">
      <c r="E305" s="428"/>
      <c r="F305" s="429"/>
    </row>
    <row r="306" ht="15.75" customHeight="1">
      <c r="E306" s="428"/>
      <c r="F306" s="429"/>
    </row>
    <row r="307" ht="15.75" customHeight="1">
      <c r="E307" s="428"/>
      <c r="F307" s="429"/>
    </row>
    <row r="308" ht="15.75" customHeight="1">
      <c r="E308" s="428"/>
      <c r="F308" s="429"/>
    </row>
    <row r="309" ht="15.75" customHeight="1">
      <c r="E309" s="428"/>
      <c r="F309" s="429"/>
    </row>
    <row r="310" ht="15.75" customHeight="1">
      <c r="E310" s="428"/>
      <c r="F310" s="429"/>
    </row>
    <row r="311" ht="15.75" customHeight="1">
      <c r="E311" s="428"/>
      <c r="F311" s="429"/>
    </row>
    <row r="312" ht="15.75" customHeight="1">
      <c r="E312" s="428"/>
      <c r="F312" s="429"/>
    </row>
    <row r="313" ht="15.75" customHeight="1">
      <c r="E313" s="428"/>
      <c r="F313" s="429"/>
    </row>
    <row r="314" ht="15.75" customHeight="1">
      <c r="E314" s="428"/>
      <c r="F314" s="429"/>
    </row>
    <row r="315" ht="15.75" customHeight="1">
      <c r="E315" s="428"/>
      <c r="F315" s="429"/>
    </row>
    <row r="316" ht="15.75" customHeight="1">
      <c r="E316" s="428"/>
      <c r="F316" s="429"/>
    </row>
    <row r="317" ht="15.75" customHeight="1">
      <c r="E317" s="428"/>
      <c r="F317" s="429"/>
    </row>
    <row r="318" ht="15.75" customHeight="1">
      <c r="E318" s="428"/>
      <c r="F318" s="429"/>
    </row>
    <row r="319" ht="15.75" customHeight="1">
      <c r="E319" s="428"/>
      <c r="F319" s="429"/>
    </row>
    <row r="320" ht="15.75" customHeight="1">
      <c r="E320" s="428"/>
      <c r="F320" s="429"/>
    </row>
    <row r="321" ht="15.75" customHeight="1">
      <c r="E321" s="428"/>
      <c r="F321" s="429"/>
    </row>
    <row r="322" ht="15.75" customHeight="1">
      <c r="E322" s="428"/>
      <c r="F322" s="429"/>
    </row>
    <row r="323" ht="15.75" customHeight="1">
      <c r="E323" s="428"/>
      <c r="F323" s="429"/>
    </row>
    <row r="324" ht="15.75" customHeight="1">
      <c r="E324" s="428"/>
      <c r="F324" s="429"/>
    </row>
    <row r="325" ht="15.75" customHeight="1">
      <c r="E325" s="428"/>
      <c r="F325" s="429"/>
    </row>
    <row r="326" ht="15.75" customHeight="1">
      <c r="E326" s="428"/>
      <c r="F326" s="429"/>
    </row>
    <row r="327" ht="15.75" customHeight="1">
      <c r="E327" s="428"/>
      <c r="F327" s="429"/>
    </row>
    <row r="328" ht="15.75" customHeight="1">
      <c r="E328" s="428"/>
      <c r="F328" s="429"/>
    </row>
    <row r="329" ht="15.75" customHeight="1">
      <c r="E329" s="428"/>
      <c r="F329" s="429"/>
    </row>
    <row r="330" ht="15.75" customHeight="1">
      <c r="E330" s="428"/>
      <c r="F330" s="429"/>
    </row>
    <row r="331" ht="15.75" customHeight="1">
      <c r="E331" s="428"/>
      <c r="F331" s="429"/>
    </row>
    <row r="332" ht="15.75" customHeight="1">
      <c r="E332" s="428"/>
      <c r="F332" s="429"/>
    </row>
    <row r="333" ht="15.75" customHeight="1">
      <c r="E333" s="428"/>
      <c r="F333" s="429"/>
    </row>
    <row r="334" ht="15.75" customHeight="1">
      <c r="E334" s="428"/>
      <c r="F334" s="429"/>
    </row>
    <row r="335" ht="15.75" customHeight="1">
      <c r="E335" s="428"/>
      <c r="F335" s="429"/>
    </row>
    <row r="336" ht="15.75" customHeight="1">
      <c r="E336" s="428"/>
      <c r="F336" s="429"/>
    </row>
    <row r="337" ht="15.75" customHeight="1">
      <c r="E337" s="428"/>
      <c r="F337" s="429"/>
    </row>
    <row r="338" ht="15.75" customHeight="1">
      <c r="E338" s="428"/>
      <c r="F338" s="429"/>
    </row>
    <row r="339" ht="15.75" customHeight="1">
      <c r="E339" s="428"/>
      <c r="F339" s="429"/>
    </row>
    <row r="340" ht="15.75" customHeight="1">
      <c r="E340" s="428"/>
      <c r="F340" s="429"/>
    </row>
    <row r="341" ht="15.75" customHeight="1">
      <c r="E341" s="428"/>
      <c r="F341" s="429"/>
    </row>
    <row r="342" ht="15.75" customHeight="1">
      <c r="E342" s="428"/>
      <c r="F342" s="429"/>
    </row>
    <row r="343" ht="15.75" customHeight="1">
      <c r="E343" s="428"/>
      <c r="F343" s="429"/>
    </row>
    <row r="344" ht="15.75" customHeight="1">
      <c r="E344" s="428"/>
      <c r="F344" s="429"/>
    </row>
    <row r="345" ht="15.75" customHeight="1">
      <c r="E345" s="428"/>
      <c r="F345" s="429"/>
    </row>
    <row r="346" ht="15.75" customHeight="1">
      <c r="E346" s="428"/>
      <c r="F346" s="429"/>
    </row>
    <row r="347" ht="15.75" customHeight="1">
      <c r="E347" s="428"/>
      <c r="F347" s="429"/>
    </row>
    <row r="348" ht="15.75" customHeight="1">
      <c r="E348" s="428"/>
      <c r="F348" s="429"/>
    </row>
    <row r="349" ht="15.75" customHeight="1">
      <c r="E349" s="428"/>
      <c r="F349" s="429"/>
    </row>
    <row r="350" ht="15.75" customHeight="1">
      <c r="E350" s="428"/>
      <c r="F350" s="429"/>
    </row>
    <row r="351" ht="15.75" customHeight="1">
      <c r="E351" s="428"/>
      <c r="F351" s="429"/>
    </row>
    <row r="352" ht="15.75" customHeight="1">
      <c r="E352" s="428"/>
      <c r="F352" s="429"/>
    </row>
    <row r="353" ht="15.75" customHeight="1">
      <c r="E353" s="428"/>
      <c r="F353" s="429"/>
    </row>
    <row r="354" ht="15.75" customHeight="1">
      <c r="E354" s="428"/>
      <c r="F354" s="429"/>
    </row>
    <row r="355" ht="15.75" customHeight="1">
      <c r="E355" s="428"/>
      <c r="F355" s="429"/>
    </row>
    <row r="356" ht="15.75" customHeight="1">
      <c r="E356" s="428"/>
      <c r="F356" s="429"/>
    </row>
    <row r="357" ht="15.75" customHeight="1">
      <c r="E357" s="428"/>
      <c r="F357" s="429"/>
    </row>
    <row r="358" ht="15.75" customHeight="1">
      <c r="E358" s="428"/>
      <c r="F358" s="429"/>
    </row>
    <row r="359" ht="15.75" customHeight="1">
      <c r="E359" s="428"/>
      <c r="F359" s="429"/>
    </row>
    <row r="360" ht="15.75" customHeight="1">
      <c r="E360" s="428"/>
      <c r="F360" s="429"/>
    </row>
    <row r="361" ht="15.75" customHeight="1">
      <c r="E361" s="428"/>
      <c r="F361" s="429"/>
    </row>
    <row r="362" ht="15.75" customHeight="1">
      <c r="E362" s="428"/>
      <c r="F362" s="429"/>
    </row>
    <row r="363" ht="15.75" customHeight="1">
      <c r="E363" s="428"/>
      <c r="F363" s="429"/>
    </row>
    <row r="364" ht="15.75" customHeight="1">
      <c r="E364" s="428"/>
      <c r="F364" s="429"/>
    </row>
    <row r="365" ht="15.75" customHeight="1">
      <c r="E365" s="428"/>
      <c r="F365" s="429"/>
    </row>
    <row r="366" ht="15.75" customHeight="1">
      <c r="E366" s="428"/>
      <c r="F366" s="429"/>
    </row>
    <row r="367" ht="15.75" customHeight="1">
      <c r="E367" s="428"/>
      <c r="F367" s="429"/>
    </row>
    <row r="368" ht="15.75" customHeight="1">
      <c r="E368" s="428"/>
      <c r="F368" s="429"/>
    </row>
    <row r="369" ht="15.75" customHeight="1">
      <c r="E369" s="428"/>
      <c r="F369" s="429"/>
    </row>
    <row r="370" ht="15.75" customHeight="1">
      <c r="E370" s="428"/>
      <c r="F370" s="429"/>
    </row>
    <row r="371" ht="15.75" customHeight="1">
      <c r="E371" s="428"/>
      <c r="F371" s="429"/>
    </row>
    <row r="372" ht="15.75" customHeight="1">
      <c r="E372" s="428"/>
      <c r="F372" s="429"/>
    </row>
    <row r="373" ht="15.75" customHeight="1">
      <c r="E373" s="428"/>
      <c r="F373" s="429"/>
    </row>
    <row r="374" ht="15.75" customHeight="1">
      <c r="E374" s="428"/>
      <c r="F374" s="429"/>
    </row>
    <row r="375" ht="15.75" customHeight="1">
      <c r="E375" s="428"/>
      <c r="F375" s="429"/>
    </row>
    <row r="376" ht="15.75" customHeight="1">
      <c r="E376" s="428"/>
      <c r="F376" s="429"/>
    </row>
    <row r="377" ht="15.75" customHeight="1">
      <c r="E377" s="428"/>
      <c r="F377" s="429"/>
    </row>
    <row r="378" ht="15.75" customHeight="1">
      <c r="E378" s="428"/>
      <c r="F378" s="429"/>
    </row>
    <row r="379" ht="15.75" customHeight="1">
      <c r="E379" s="428"/>
      <c r="F379" s="429"/>
    </row>
    <row r="380" ht="15.75" customHeight="1">
      <c r="E380" s="428"/>
      <c r="F380" s="429"/>
    </row>
    <row r="381" ht="15.75" customHeight="1">
      <c r="E381" s="428"/>
      <c r="F381" s="429"/>
    </row>
    <row r="382" ht="15.75" customHeight="1">
      <c r="E382" s="428"/>
      <c r="F382" s="429"/>
    </row>
    <row r="383" ht="15.75" customHeight="1">
      <c r="E383" s="428"/>
      <c r="F383" s="429"/>
    </row>
    <row r="384" ht="15.75" customHeight="1">
      <c r="E384" s="428"/>
      <c r="F384" s="429"/>
    </row>
    <row r="385" ht="15.75" customHeight="1">
      <c r="E385" s="428"/>
      <c r="F385" s="429"/>
    </row>
    <row r="386" ht="15.75" customHeight="1">
      <c r="E386" s="428"/>
      <c r="F386" s="429"/>
    </row>
    <row r="387" ht="15.75" customHeight="1">
      <c r="E387" s="428"/>
      <c r="F387" s="429"/>
    </row>
    <row r="388" ht="15.75" customHeight="1">
      <c r="E388" s="428"/>
      <c r="F388" s="429"/>
    </row>
    <row r="389" ht="15.75" customHeight="1">
      <c r="E389" s="428"/>
      <c r="F389" s="429"/>
    </row>
    <row r="390" ht="15.75" customHeight="1">
      <c r="E390" s="428"/>
      <c r="F390" s="429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43"/>
    <col customWidth="1" min="2" max="2" width="42.43"/>
    <col customWidth="1" min="3" max="3" width="5.71"/>
    <col customWidth="1" min="4" max="4" width="11.86"/>
    <col customWidth="1" min="5" max="5" width="7.0"/>
    <col customWidth="1" hidden="1" min="6" max="6" width="9.0"/>
    <col customWidth="1" min="7" max="7" width="14.57"/>
    <col customWidth="1" hidden="1" min="8" max="8" width="9.43"/>
    <col customWidth="1" min="9" max="9" width="8.71"/>
  </cols>
  <sheetData>
    <row r="1" ht="14.25" customHeight="1">
      <c r="B1" s="182" t="s">
        <v>599</v>
      </c>
      <c r="C1" s="89"/>
      <c r="D1" s="427"/>
      <c r="E1" s="428"/>
      <c r="F1" s="429"/>
      <c r="G1" s="338"/>
    </row>
    <row r="2" ht="12.75" customHeight="1">
      <c r="B2" s="182" t="s">
        <v>701</v>
      </c>
      <c r="C2" s="89"/>
      <c r="D2" s="427"/>
      <c r="E2" s="428"/>
      <c r="F2" s="429"/>
      <c r="G2" s="338"/>
    </row>
    <row r="3" ht="12.75" customHeight="1">
      <c r="B3" s="182" t="str">
        <f>'RM Rollforward'!B3</f>
        <v>As of June 20, 2025</v>
      </c>
      <c r="C3" s="430"/>
      <c r="D3" s="427"/>
      <c r="E3" s="428"/>
      <c r="F3" s="429"/>
      <c r="G3" s="338"/>
    </row>
    <row r="4" ht="12.75" customHeight="1">
      <c r="A4" s="431" t="s">
        <v>6</v>
      </c>
      <c r="B4" s="431" t="s">
        <v>7</v>
      </c>
      <c r="C4" s="432" t="s">
        <v>9</v>
      </c>
      <c r="D4" s="433" t="s">
        <v>1646</v>
      </c>
      <c r="E4" s="434" t="s">
        <v>727</v>
      </c>
      <c r="F4" s="435"/>
      <c r="G4" s="436" t="s">
        <v>728</v>
      </c>
      <c r="H4" s="436" t="s">
        <v>196</v>
      </c>
    </row>
    <row r="5" ht="12.0" customHeight="1">
      <c r="A5" s="437" t="s">
        <v>2018</v>
      </c>
      <c r="B5" s="437" t="s">
        <v>682</v>
      </c>
      <c r="C5" s="450" t="s">
        <v>1649</v>
      </c>
      <c r="D5" s="439">
        <f>'RM Rollforward'!H122</f>
        <v>348</v>
      </c>
      <c r="E5" s="451">
        <v>5.0</v>
      </c>
      <c r="F5" s="169">
        <v>1.0</v>
      </c>
      <c r="G5" s="441">
        <f t="shared" ref="G5:G303" si="1">D5*E5*F5</f>
        <v>1740</v>
      </c>
      <c r="H5" s="180"/>
    </row>
    <row r="6" ht="12.0" customHeight="1">
      <c r="A6" s="437" t="s">
        <v>2019</v>
      </c>
      <c r="B6" s="437" t="s">
        <v>290</v>
      </c>
      <c r="C6" s="450" t="s">
        <v>1649</v>
      </c>
      <c r="D6" s="439">
        <f>'RM Rollforward'!H123</f>
        <v>82</v>
      </c>
      <c r="E6" s="451">
        <v>5.0</v>
      </c>
      <c r="F6" s="169">
        <v>1.0</v>
      </c>
      <c r="G6" s="441">
        <f t="shared" si="1"/>
        <v>410</v>
      </c>
      <c r="H6" s="180"/>
    </row>
    <row r="7" ht="12.0" customHeight="1">
      <c r="A7" s="437" t="s">
        <v>2020</v>
      </c>
      <c r="B7" s="437" t="s">
        <v>674</v>
      </c>
      <c r="C7" s="450" t="s">
        <v>1649</v>
      </c>
      <c r="D7" s="439">
        <f>'RM Rollforward'!H124</f>
        <v>27</v>
      </c>
      <c r="E7" s="451">
        <v>5.0</v>
      </c>
      <c r="F7" s="169">
        <v>1.0</v>
      </c>
      <c r="G7" s="441">
        <f t="shared" si="1"/>
        <v>135</v>
      </c>
      <c r="H7" s="180"/>
    </row>
    <row r="8" ht="12.0" customHeight="1">
      <c r="A8" s="437" t="s">
        <v>2021</v>
      </c>
      <c r="B8" s="437" t="s">
        <v>392</v>
      </c>
      <c r="C8" s="450" t="s">
        <v>1649</v>
      </c>
      <c r="D8" s="439">
        <f>'RM Rollforward'!H125</f>
        <v>252</v>
      </c>
      <c r="E8" s="451">
        <v>5.0</v>
      </c>
      <c r="F8" s="169">
        <v>1.0</v>
      </c>
      <c r="G8" s="441">
        <f t="shared" si="1"/>
        <v>1260</v>
      </c>
      <c r="H8" s="180"/>
    </row>
    <row r="9" ht="12.0" customHeight="1">
      <c r="A9" s="437" t="s">
        <v>2022</v>
      </c>
      <c r="B9" s="437" t="s">
        <v>867</v>
      </c>
      <c r="C9" s="450" t="s">
        <v>1649</v>
      </c>
      <c r="D9" s="439">
        <f>'RM Rollforward'!H126</f>
        <v>132</v>
      </c>
      <c r="E9" s="451">
        <v>5.0</v>
      </c>
      <c r="F9" s="169">
        <v>1.0</v>
      </c>
      <c r="G9" s="441">
        <f t="shared" si="1"/>
        <v>660</v>
      </c>
      <c r="H9" s="180"/>
    </row>
    <row r="10" ht="12.0" customHeight="1">
      <c r="A10" s="437" t="s">
        <v>2023</v>
      </c>
      <c r="B10" s="437" t="s">
        <v>869</v>
      </c>
      <c r="C10" s="450" t="s">
        <v>1649</v>
      </c>
      <c r="D10" s="439">
        <f>'RM Rollforward'!H127</f>
        <v>0</v>
      </c>
      <c r="E10" s="451">
        <v>5.0</v>
      </c>
      <c r="F10" s="169">
        <v>1.0</v>
      </c>
      <c r="G10" s="441">
        <f t="shared" si="1"/>
        <v>0</v>
      </c>
      <c r="H10" s="180"/>
    </row>
    <row r="11" ht="12.0" customHeight="1">
      <c r="A11" s="437" t="s">
        <v>2024</v>
      </c>
      <c r="B11" s="437" t="s">
        <v>871</v>
      </c>
      <c r="C11" s="450" t="s">
        <v>1649</v>
      </c>
      <c r="D11" s="439">
        <f>'RM Rollforward'!H128</f>
        <v>56</v>
      </c>
      <c r="E11" s="451">
        <v>5.0</v>
      </c>
      <c r="F11" s="169">
        <v>1.0</v>
      </c>
      <c r="G11" s="441">
        <f t="shared" si="1"/>
        <v>280</v>
      </c>
      <c r="H11" s="180"/>
    </row>
    <row r="12" ht="12.0" customHeight="1">
      <c r="A12" s="437" t="s">
        <v>2025</v>
      </c>
      <c r="B12" s="437" t="s">
        <v>873</v>
      </c>
      <c r="C12" s="450" t="s">
        <v>1649</v>
      </c>
      <c r="D12" s="439">
        <f>'RM Rollforward'!H129</f>
        <v>0</v>
      </c>
      <c r="E12" s="451">
        <v>5.0</v>
      </c>
      <c r="F12" s="169">
        <v>1.0</v>
      </c>
      <c r="G12" s="441">
        <f t="shared" si="1"/>
        <v>0</v>
      </c>
      <c r="H12" s="180"/>
    </row>
    <row r="13" ht="12.0" customHeight="1">
      <c r="A13" s="437" t="s">
        <v>2026</v>
      </c>
      <c r="B13" s="437" t="s">
        <v>875</v>
      </c>
      <c r="C13" s="450" t="s">
        <v>1649</v>
      </c>
      <c r="D13" s="439">
        <f>'RM Rollforward'!H130</f>
        <v>0</v>
      </c>
      <c r="E13" s="451">
        <v>5.0</v>
      </c>
      <c r="F13" s="169">
        <v>1.0</v>
      </c>
      <c r="G13" s="441">
        <f t="shared" si="1"/>
        <v>0</v>
      </c>
      <c r="H13" s="180"/>
    </row>
    <row r="14" ht="12.0" customHeight="1">
      <c r="A14" s="437" t="s">
        <v>2027</v>
      </c>
      <c r="B14" s="437" t="s">
        <v>877</v>
      </c>
      <c r="C14" s="450" t="s">
        <v>1649</v>
      </c>
      <c r="D14" s="439">
        <f>'RM Rollforward'!H131</f>
        <v>0</v>
      </c>
      <c r="E14" s="451">
        <v>5.0</v>
      </c>
      <c r="F14" s="169">
        <v>1.0</v>
      </c>
      <c r="G14" s="441">
        <f t="shared" si="1"/>
        <v>0</v>
      </c>
      <c r="H14" s="180"/>
    </row>
    <row r="15" ht="12.0" customHeight="1">
      <c r="A15" s="437" t="s">
        <v>2028</v>
      </c>
      <c r="B15" s="437" t="s">
        <v>879</v>
      </c>
      <c r="C15" s="450" t="s">
        <v>1649</v>
      </c>
      <c r="D15" s="439">
        <f>'RM Rollforward'!H132</f>
        <v>178</v>
      </c>
      <c r="E15" s="451">
        <v>5.0</v>
      </c>
      <c r="F15" s="169">
        <v>1.0</v>
      </c>
      <c r="G15" s="441">
        <f t="shared" si="1"/>
        <v>890</v>
      </c>
      <c r="H15" s="180"/>
    </row>
    <row r="16" ht="12.0" customHeight="1">
      <c r="A16" s="437" t="s">
        <v>2029</v>
      </c>
      <c r="B16" s="437" t="s">
        <v>881</v>
      </c>
      <c r="C16" s="450" t="s">
        <v>1649</v>
      </c>
      <c r="D16" s="439">
        <f>'RM Rollforward'!H133</f>
        <v>0</v>
      </c>
      <c r="E16" s="451">
        <v>5.0</v>
      </c>
      <c r="F16" s="169">
        <v>1.0</v>
      </c>
      <c r="G16" s="441">
        <f t="shared" si="1"/>
        <v>0</v>
      </c>
      <c r="H16" s="180"/>
    </row>
    <row r="17" ht="12.0" customHeight="1">
      <c r="A17" s="437" t="s">
        <v>2030</v>
      </c>
      <c r="B17" s="437" t="s">
        <v>883</v>
      </c>
      <c r="C17" s="450" t="s">
        <v>1649</v>
      </c>
      <c r="D17" s="439">
        <f>'RM Rollforward'!H134</f>
        <v>0</v>
      </c>
      <c r="E17" s="451">
        <v>5.0</v>
      </c>
      <c r="F17" s="169">
        <v>1.0</v>
      </c>
      <c r="G17" s="441">
        <f t="shared" si="1"/>
        <v>0</v>
      </c>
      <c r="H17" s="180"/>
    </row>
    <row r="18" ht="12.0" customHeight="1">
      <c r="A18" s="437" t="s">
        <v>2031</v>
      </c>
      <c r="B18" s="437" t="s">
        <v>885</v>
      </c>
      <c r="C18" s="450" t="s">
        <v>1649</v>
      </c>
      <c r="D18" s="439">
        <f>'RM Rollforward'!H135</f>
        <v>0</v>
      </c>
      <c r="E18" s="451">
        <v>5.0</v>
      </c>
      <c r="F18" s="169">
        <v>1.0</v>
      </c>
      <c r="G18" s="441">
        <f t="shared" si="1"/>
        <v>0</v>
      </c>
      <c r="H18" s="180"/>
    </row>
    <row r="19" ht="12.0" customHeight="1">
      <c r="A19" s="437" t="s">
        <v>2032</v>
      </c>
      <c r="B19" s="437" t="s">
        <v>887</v>
      </c>
      <c r="C19" s="450" t="s">
        <v>1649</v>
      </c>
      <c r="D19" s="439">
        <f>'RM Rollforward'!H136</f>
        <v>77</v>
      </c>
      <c r="E19" s="451">
        <v>5.0</v>
      </c>
      <c r="F19" s="169">
        <v>1.0</v>
      </c>
      <c r="G19" s="441">
        <f t="shared" si="1"/>
        <v>385</v>
      </c>
      <c r="H19" s="180"/>
    </row>
    <row r="20" ht="12.0" customHeight="1">
      <c r="A20" s="437" t="s">
        <v>2033</v>
      </c>
      <c r="B20" s="437" t="s">
        <v>889</v>
      </c>
      <c r="C20" s="450" t="s">
        <v>1649</v>
      </c>
      <c r="D20" s="439">
        <f>'RM Rollforward'!H137</f>
        <v>0</v>
      </c>
      <c r="E20" s="451">
        <v>5.0</v>
      </c>
      <c r="F20" s="169">
        <v>1.0</v>
      </c>
      <c r="G20" s="441">
        <f t="shared" si="1"/>
        <v>0</v>
      </c>
      <c r="H20" s="180"/>
    </row>
    <row r="21" ht="12.0" customHeight="1">
      <c r="A21" s="437" t="s">
        <v>2034</v>
      </c>
      <c r="B21" s="437" t="s">
        <v>316</v>
      </c>
      <c r="C21" s="450" t="s">
        <v>1649</v>
      </c>
      <c r="D21" s="439">
        <f>'RM Rollforward'!H138</f>
        <v>0</v>
      </c>
      <c r="E21" s="451">
        <v>5.0</v>
      </c>
      <c r="F21" s="169">
        <v>1.0</v>
      </c>
      <c r="G21" s="441">
        <f t="shared" si="1"/>
        <v>0</v>
      </c>
      <c r="H21" s="180"/>
    </row>
    <row r="22" ht="12.0" customHeight="1">
      <c r="A22" s="437" t="s">
        <v>2035</v>
      </c>
      <c r="B22" s="437" t="s">
        <v>412</v>
      </c>
      <c r="C22" s="450" t="s">
        <v>1649</v>
      </c>
      <c r="D22" s="439">
        <f>'RM Rollforward'!H139</f>
        <v>0</v>
      </c>
      <c r="E22" s="451">
        <v>5.0</v>
      </c>
      <c r="F22" s="169">
        <v>1.0</v>
      </c>
      <c r="G22" s="441">
        <f t="shared" si="1"/>
        <v>0</v>
      </c>
      <c r="H22" s="180"/>
    </row>
    <row r="23" ht="12.0" customHeight="1">
      <c r="A23" s="437" t="s">
        <v>2036</v>
      </c>
      <c r="B23" s="437" t="s">
        <v>668</v>
      </c>
      <c r="C23" s="450" t="s">
        <v>1649</v>
      </c>
      <c r="D23" s="439">
        <f>'RM Rollforward'!H140</f>
        <v>0</v>
      </c>
      <c r="E23" s="451">
        <v>5.0</v>
      </c>
      <c r="F23" s="169">
        <v>1.0</v>
      </c>
      <c r="G23" s="441">
        <f t="shared" si="1"/>
        <v>0</v>
      </c>
      <c r="H23" s="180"/>
    </row>
    <row r="24" ht="12.0" customHeight="1">
      <c r="A24" s="437" t="s">
        <v>2037</v>
      </c>
      <c r="B24" s="437" t="s">
        <v>891</v>
      </c>
      <c r="C24" s="450" t="s">
        <v>1649</v>
      </c>
      <c r="D24" s="439">
        <f>'RM Rollforward'!H141</f>
        <v>0</v>
      </c>
      <c r="E24" s="451">
        <v>5.0</v>
      </c>
      <c r="F24" s="169">
        <v>1.0</v>
      </c>
      <c r="G24" s="441">
        <f t="shared" si="1"/>
        <v>0</v>
      </c>
      <c r="H24" s="180"/>
    </row>
    <row r="25" ht="12.0" customHeight="1">
      <c r="A25" s="437" t="s">
        <v>2038</v>
      </c>
      <c r="B25" s="437" t="s">
        <v>895</v>
      </c>
      <c r="C25" s="450" t="s">
        <v>1649</v>
      </c>
      <c r="D25" s="439">
        <f>'RM Rollforward'!H142</f>
        <v>0</v>
      </c>
      <c r="E25" s="451">
        <v>5.0</v>
      </c>
      <c r="F25" s="169">
        <v>1.0</v>
      </c>
      <c r="G25" s="441">
        <f t="shared" si="1"/>
        <v>0</v>
      </c>
      <c r="H25" s="180"/>
    </row>
    <row r="26" ht="12.0" customHeight="1">
      <c r="A26" s="437" t="s">
        <v>2039</v>
      </c>
      <c r="B26" s="437" t="s">
        <v>897</v>
      </c>
      <c r="C26" s="450" t="s">
        <v>1649</v>
      </c>
      <c r="D26" s="439">
        <f>'RM Rollforward'!H143</f>
        <v>0</v>
      </c>
      <c r="E26" s="451">
        <v>5.0</v>
      </c>
      <c r="F26" s="169">
        <v>1.0</v>
      </c>
      <c r="G26" s="441">
        <f t="shared" si="1"/>
        <v>0</v>
      </c>
      <c r="H26" s="180"/>
    </row>
    <row r="27" ht="12.0" customHeight="1">
      <c r="A27" s="437" t="s">
        <v>2040</v>
      </c>
      <c r="B27" s="437" t="s">
        <v>899</v>
      </c>
      <c r="C27" s="450" t="s">
        <v>1649</v>
      </c>
      <c r="D27" s="439">
        <f>'RM Rollforward'!H144</f>
        <v>0</v>
      </c>
      <c r="E27" s="451">
        <v>5.0</v>
      </c>
      <c r="F27" s="169">
        <v>1.0</v>
      </c>
      <c r="G27" s="441">
        <f t="shared" si="1"/>
        <v>0</v>
      </c>
      <c r="H27" s="180"/>
    </row>
    <row r="28" ht="12.0" customHeight="1">
      <c r="A28" s="437" t="s">
        <v>2041</v>
      </c>
      <c r="B28" s="437" t="s">
        <v>901</v>
      </c>
      <c r="C28" s="450" t="s">
        <v>1649</v>
      </c>
      <c r="D28" s="439">
        <f>'RM Rollforward'!H145</f>
        <v>0</v>
      </c>
      <c r="E28" s="451">
        <v>5.0</v>
      </c>
      <c r="F28" s="169">
        <v>1.0</v>
      </c>
      <c r="G28" s="441">
        <f t="shared" si="1"/>
        <v>0</v>
      </c>
      <c r="H28" s="180"/>
    </row>
    <row r="29" ht="12.0" customHeight="1">
      <c r="A29" s="437" t="s">
        <v>2042</v>
      </c>
      <c r="B29" s="437" t="s">
        <v>2043</v>
      </c>
      <c r="C29" s="450" t="s">
        <v>1649</v>
      </c>
      <c r="D29" s="439">
        <f>'RM Rollforward'!H146</f>
        <v>0</v>
      </c>
      <c r="E29" s="451">
        <v>5.0</v>
      </c>
      <c r="F29" s="169">
        <v>1.0</v>
      </c>
      <c r="G29" s="441">
        <f t="shared" si="1"/>
        <v>0</v>
      </c>
      <c r="H29" s="180"/>
    </row>
    <row r="30" ht="12.0" customHeight="1">
      <c r="A30" s="437" t="s">
        <v>2044</v>
      </c>
      <c r="B30" s="437" t="s">
        <v>2045</v>
      </c>
      <c r="C30" s="450" t="s">
        <v>1649</v>
      </c>
      <c r="D30" s="439">
        <f>'RM Rollforward'!H147</f>
        <v>0</v>
      </c>
      <c r="E30" s="451">
        <v>5.0</v>
      </c>
      <c r="F30" s="169">
        <v>1.0</v>
      </c>
      <c r="G30" s="441">
        <f t="shared" si="1"/>
        <v>0</v>
      </c>
      <c r="H30" s="180"/>
    </row>
    <row r="31" ht="12.0" customHeight="1">
      <c r="A31" s="437" t="s">
        <v>2046</v>
      </c>
      <c r="B31" s="437" t="s">
        <v>2047</v>
      </c>
      <c r="C31" s="450" t="s">
        <v>1649</v>
      </c>
      <c r="D31" s="439">
        <f>'RM Rollforward'!H148</f>
        <v>104</v>
      </c>
      <c r="E31" s="451">
        <v>5.0</v>
      </c>
      <c r="F31" s="169">
        <v>1.0</v>
      </c>
      <c r="G31" s="441">
        <f t="shared" si="1"/>
        <v>520</v>
      </c>
      <c r="H31" s="180"/>
    </row>
    <row r="32" ht="12.0" customHeight="1">
      <c r="A32" s="437" t="s">
        <v>2048</v>
      </c>
      <c r="B32" s="437" t="s">
        <v>2049</v>
      </c>
      <c r="C32" s="450" t="s">
        <v>1649</v>
      </c>
      <c r="D32" s="439">
        <f>'RM Rollforward'!H149</f>
        <v>310</v>
      </c>
      <c r="E32" s="451">
        <v>5.0</v>
      </c>
      <c r="F32" s="169">
        <v>1.0</v>
      </c>
      <c r="G32" s="441">
        <f t="shared" si="1"/>
        <v>1550</v>
      </c>
      <c r="H32" s="180"/>
    </row>
    <row r="33" ht="12.0" customHeight="1">
      <c r="A33" s="437" t="s">
        <v>2050</v>
      </c>
      <c r="B33" s="437" t="s">
        <v>913</v>
      </c>
      <c r="C33" s="450" t="s">
        <v>1649</v>
      </c>
      <c r="D33" s="439">
        <f>'RM Rollforward'!H150</f>
        <v>67</v>
      </c>
      <c r="E33" s="451">
        <v>5.0</v>
      </c>
      <c r="F33" s="169">
        <v>1.0</v>
      </c>
      <c r="G33" s="441">
        <f t="shared" si="1"/>
        <v>335</v>
      </c>
      <c r="H33" s="180"/>
    </row>
    <row r="34" ht="12.0" customHeight="1">
      <c r="A34" s="437" t="s">
        <v>2051</v>
      </c>
      <c r="B34" s="437" t="s">
        <v>915</v>
      </c>
      <c r="C34" s="450" t="s">
        <v>1649</v>
      </c>
      <c r="D34" s="439">
        <f>'RM Rollforward'!H151</f>
        <v>111</v>
      </c>
      <c r="E34" s="451">
        <v>5.0</v>
      </c>
      <c r="F34" s="169">
        <v>1.0</v>
      </c>
      <c r="G34" s="441">
        <f t="shared" si="1"/>
        <v>555</v>
      </c>
      <c r="H34" s="180"/>
    </row>
    <row r="35" ht="12.0" customHeight="1">
      <c r="A35" s="437" t="s">
        <v>2052</v>
      </c>
      <c r="B35" s="437" t="s">
        <v>917</v>
      </c>
      <c r="C35" s="450" t="s">
        <v>1649</v>
      </c>
      <c r="D35" s="439">
        <f>'RM Rollforward'!H152</f>
        <v>32</v>
      </c>
      <c r="E35" s="451">
        <v>5.0</v>
      </c>
      <c r="F35" s="169">
        <v>1.0</v>
      </c>
      <c r="G35" s="441">
        <f t="shared" si="1"/>
        <v>160</v>
      </c>
      <c r="H35" s="180"/>
    </row>
    <row r="36" ht="12.0" customHeight="1">
      <c r="A36" s="437" t="s">
        <v>2053</v>
      </c>
      <c r="B36" s="437" t="s">
        <v>919</v>
      </c>
      <c r="C36" s="450" t="s">
        <v>1649</v>
      </c>
      <c r="D36" s="439">
        <f>'RM Rollforward'!H153</f>
        <v>0</v>
      </c>
      <c r="E36" s="451">
        <v>5.0</v>
      </c>
      <c r="F36" s="169">
        <v>1.0</v>
      </c>
      <c r="G36" s="441">
        <f t="shared" si="1"/>
        <v>0</v>
      </c>
      <c r="H36" s="180"/>
    </row>
    <row r="37" ht="12.0" customHeight="1">
      <c r="A37" s="437" t="s">
        <v>2054</v>
      </c>
      <c r="B37" s="437" t="s">
        <v>2055</v>
      </c>
      <c r="C37" s="450" t="s">
        <v>1649</v>
      </c>
      <c r="D37" s="439">
        <f>'RM Rollforward'!H154</f>
        <v>0</v>
      </c>
      <c r="E37" s="451">
        <v>5.0</v>
      </c>
      <c r="F37" s="169">
        <v>1.0</v>
      </c>
      <c r="G37" s="441">
        <f t="shared" si="1"/>
        <v>0</v>
      </c>
      <c r="H37" s="180"/>
    </row>
    <row r="38" ht="12.0" customHeight="1">
      <c r="A38" s="437" t="s">
        <v>2056</v>
      </c>
      <c r="B38" s="437" t="s">
        <v>2057</v>
      </c>
      <c r="C38" s="450" t="s">
        <v>1649</v>
      </c>
      <c r="D38" s="439">
        <f>'RM Rollforward'!H155</f>
        <v>38</v>
      </c>
      <c r="E38" s="451">
        <v>5.0</v>
      </c>
      <c r="F38" s="169">
        <v>1.0</v>
      </c>
      <c r="G38" s="441">
        <f t="shared" si="1"/>
        <v>190</v>
      </c>
      <c r="H38" s="180"/>
    </row>
    <row r="39" ht="12.0" customHeight="1">
      <c r="A39" s="437" t="s">
        <v>2058</v>
      </c>
      <c r="B39" s="437" t="s">
        <v>2059</v>
      </c>
      <c r="C39" s="450" t="s">
        <v>1649</v>
      </c>
      <c r="D39" s="439">
        <f>'RM Rollforward'!H156</f>
        <v>0</v>
      </c>
      <c r="E39" s="451">
        <v>5.0</v>
      </c>
      <c r="F39" s="169">
        <v>1.0</v>
      </c>
      <c r="G39" s="441">
        <f t="shared" si="1"/>
        <v>0</v>
      </c>
      <c r="H39" s="180"/>
    </row>
    <row r="40" ht="12.0" customHeight="1">
      <c r="A40" s="437" t="s">
        <v>2060</v>
      </c>
      <c r="B40" s="437" t="s">
        <v>2061</v>
      </c>
      <c r="C40" s="450" t="s">
        <v>1649</v>
      </c>
      <c r="D40" s="439">
        <f>'RM Rollforward'!H157</f>
        <v>0</v>
      </c>
      <c r="E40" s="451">
        <v>5.0</v>
      </c>
      <c r="F40" s="169">
        <v>1.0</v>
      </c>
      <c r="G40" s="441">
        <f t="shared" si="1"/>
        <v>0</v>
      </c>
      <c r="H40" s="180"/>
    </row>
    <row r="41" ht="12.0" customHeight="1">
      <c r="A41" s="437" t="s">
        <v>2062</v>
      </c>
      <c r="B41" s="437" t="s">
        <v>318</v>
      </c>
      <c r="C41" s="450" t="s">
        <v>1649</v>
      </c>
      <c r="D41" s="439">
        <f>'RM Rollforward'!H158</f>
        <v>0</v>
      </c>
      <c r="E41" s="451">
        <v>5.0</v>
      </c>
      <c r="F41" s="169">
        <v>1.0</v>
      </c>
      <c r="G41" s="441">
        <f t="shared" si="1"/>
        <v>0</v>
      </c>
      <c r="H41" s="180"/>
    </row>
    <row r="42" ht="12.0" customHeight="1">
      <c r="A42" s="437" t="s">
        <v>2063</v>
      </c>
      <c r="B42" s="437" t="s">
        <v>929</v>
      </c>
      <c r="C42" s="450" t="s">
        <v>1649</v>
      </c>
      <c r="D42" s="439">
        <f>'RM Rollforward'!H159</f>
        <v>0</v>
      </c>
      <c r="E42" s="451">
        <v>5.0</v>
      </c>
      <c r="F42" s="169">
        <v>1.0</v>
      </c>
      <c r="G42" s="441">
        <f t="shared" si="1"/>
        <v>0</v>
      </c>
      <c r="H42" s="180"/>
    </row>
    <row r="43" ht="12.0" customHeight="1">
      <c r="A43" s="437" t="s">
        <v>2064</v>
      </c>
      <c r="B43" s="437" t="s">
        <v>414</v>
      </c>
      <c r="C43" s="450" t="s">
        <v>1649</v>
      </c>
      <c r="D43" s="439">
        <f>'RM Rollforward'!H160</f>
        <v>239</v>
      </c>
      <c r="E43" s="451">
        <v>5.0</v>
      </c>
      <c r="F43" s="169">
        <v>1.0</v>
      </c>
      <c r="G43" s="441">
        <f t="shared" si="1"/>
        <v>1195</v>
      </c>
      <c r="H43" s="180"/>
    </row>
    <row r="44" ht="12.0" customHeight="1">
      <c r="A44" s="437" t="s">
        <v>2065</v>
      </c>
      <c r="B44" s="437" t="s">
        <v>931</v>
      </c>
      <c r="C44" s="450" t="s">
        <v>1649</v>
      </c>
      <c r="D44" s="439">
        <f>'RM Rollforward'!H161</f>
        <v>0</v>
      </c>
      <c r="E44" s="451">
        <v>5.0</v>
      </c>
      <c r="F44" s="169">
        <v>1.0</v>
      </c>
      <c r="G44" s="441">
        <f t="shared" si="1"/>
        <v>0</v>
      </c>
      <c r="H44" s="180"/>
    </row>
    <row r="45" ht="12.0" customHeight="1">
      <c r="A45" s="437" t="s">
        <v>2066</v>
      </c>
      <c r="B45" s="437" t="s">
        <v>2067</v>
      </c>
      <c r="C45" s="450" t="s">
        <v>1649</v>
      </c>
      <c r="D45" s="439">
        <f>'RM Rollforward'!H162</f>
        <v>0</v>
      </c>
      <c r="E45" s="451">
        <v>5.0</v>
      </c>
      <c r="F45" s="169">
        <v>1.0</v>
      </c>
      <c r="G45" s="441">
        <f t="shared" si="1"/>
        <v>0</v>
      </c>
      <c r="H45" s="180"/>
    </row>
    <row r="46" ht="12.0" customHeight="1">
      <c r="A46" s="437" t="s">
        <v>2068</v>
      </c>
      <c r="B46" s="437" t="s">
        <v>2069</v>
      </c>
      <c r="C46" s="450" t="s">
        <v>1649</v>
      </c>
      <c r="D46" s="439">
        <f>'RM Rollforward'!H163</f>
        <v>0</v>
      </c>
      <c r="E46" s="451">
        <v>5.0</v>
      </c>
      <c r="F46" s="169">
        <v>1.0</v>
      </c>
      <c r="G46" s="441">
        <f t="shared" si="1"/>
        <v>0</v>
      </c>
      <c r="H46" s="180"/>
    </row>
    <row r="47" ht="12.0" customHeight="1">
      <c r="A47" s="437" t="s">
        <v>2070</v>
      </c>
      <c r="B47" s="437" t="s">
        <v>2071</v>
      </c>
      <c r="C47" s="450" t="s">
        <v>1649</v>
      </c>
      <c r="D47" s="439">
        <f>'RM Rollforward'!H164</f>
        <v>0</v>
      </c>
      <c r="E47" s="451">
        <v>5.0</v>
      </c>
      <c r="F47" s="169">
        <v>1.0</v>
      </c>
      <c r="G47" s="441">
        <f t="shared" si="1"/>
        <v>0</v>
      </c>
      <c r="H47" s="180"/>
    </row>
    <row r="48" ht="12.0" customHeight="1">
      <c r="A48" s="437" t="s">
        <v>2072</v>
      </c>
      <c r="B48" s="437" t="s">
        <v>2073</v>
      </c>
      <c r="C48" s="450" t="s">
        <v>1649</v>
      </c>
      <c r="D48" s="439">
        <f>'RM Rollforward'!H165</f>
        <v>0</v>
      </c>
      <c r="E48" s="451">
        <v>5.0</v>
      </c>
      <c r="F48" s="169">
        <v>1.0</v>
      </c>
      <c r="G48" s="441">
        <f t="shared" si="1"/>
        <v>0</v>
      </c>
      <c r="H48" s="180"/>
    </row>
    <row r="49" ht="12.0" customHeight="1">
      <c r="A49" s="437" t="s">
        <v>2074</v>
      </c>
      <c r="B49" s="437" t="s">
        <v>344</v>
      </c>
      <c r="C49" s="450" t="s">
        <v>1649</v>
      </c>
      <c r="D49" s="439">
        <f>'RM Rollforward'!H166</f>
        <v>0</v>
      </c>
      <c r="E49" s="451">
        <v>5.0</v>
      </c>
      <c r="F49" s="169">
        <v>1.0</v>
      </c>
      <c r="G49" s="441">
        <f t="shared" si="1"/>
        <v>0</v>
      </c>
      <c r="H49" s="180"/>
    </row>
    <row r="50" ht="12.0" customHeight="1">
      <c r="A50" s="437" t="s">
        <v>2075</v>
      </c>
      <c r="B50" s="437" t="s">
        <v>292</v>
      </c>
      <c r="C50" s="450" t="s">
        <v>1649</v>
      </c>
      <c r="D50" s="439">
        <f>'RM Rollforward'!H167</f>
        <v>0</v>
      </c>
      <c r="E50" s="451">
        <v>5.0</v>
      </c>
      <c r="F50" s="169">
        <v>1.0</v>
      </c>
      <c r="G50" s="441">
        <f t="shared" si="1"/>
        <v>0</v>
      </c>
      <c r="H50" s="180"/>
    </row>
    <row r="51" ht="12.0" customHeight="1">
      <c r="A51" s="437" t="s">
        <v>2076</v>
      </c>
      <c r="B51" s="437" t="s">
        <v>364</v>
      </c>
      <c r="C51" s="450" t="s">
        <v>1649</v>
      </c>
      <c r="D51" s="439">
        <f>'RM Rollforward'!H168</f>
        <v>0</v>
      </c>
      <c r="E51" s="451">
        <v>5.0</v>
      </c>
      <c r="F51" s="169">
        <v>1.0</v>
      </c>
      <c r="G51" s="441">
        <f t="shared" si="1"/>
        <v>0</v>
      </c>
      <c r="H51" s="180"/>
    </row>
    <row r="52" ht="12.0" customHeight="1">
      <c r="A52" s="437" t="s">
        <v>2077</v>
      </c>
      <c r="B52" s="437" t="s">
        <v>382</v>
      </c>
      <c r="C52" s="450" t="s">
        <v>1649</v>
      </c>
      <c r="D52" s="439">
        <f>'RM Rollforward'!H169</f>
        <v>0</v>
      </c>
      <c r="E52" s="451">
        <v>5.0</v>
      </c>
      <c r="F52" s="169">
        <v>1.0</v>
      </c>
      <c r="G52" s="441">
        <f t="shared" si="1"/>
        <v>0</v>
      </c>
      <c r="H52" s="180"/>
    </row>
    <row r="53" ht="12.0" customHeight="1">
      <c r="A53" s="437" t="s">
        <v>2078</v>
      </c>
      <c r="B53" s="437" t="s">
        <v>354</v>
      </c>
      <c r="C53" s="450" t="s">
        <v>1649</v>
      </c>
      <c r="D53" s="439">
        <f>'RM Rollforward'!H170</f>
        <v>0</v>
      </c>
      <c r="E53" s="451">
        <v>5.0</v>
      </c>
      <c r="F53" s="169">
        <v>1.0</v>
      </c>
      <c r="G53" s="441">
        <f t="shared" si="1"/>
        <v>0</v>
      </c>
      <c r="H53" s="180"/>
    </row>
    <row r="54" ht="12.0" customHeight="1">
      <c r="A54" s="437" t="s">
        <v>2079</v>
      </c>
      <c r="B54" s="437" t="s">
        <v>356</v>
      </c>
      <c r="C54" s="450" t="s">
        <v>1649</v>
      </c>
      <c r="D54" s="439">
        <f>'RM Rollforward'!H171</f>
        <v>33</v>
      </c>
      <c r="E54" s="451">
        <v>5.0</v>
      </c>
      <c r="F54" s="169">
        <v>1.0</v>
      </c>
      <c r="G54" s="441">
        <f t="shared" si="1"/>
        <v>165</v>
      </c>
      <c r="H54" s="180"/>
    </row>
    <row r="55" ht="12.0" customHeight="1">
      <c r="A55" s="437" t="s">
        <v>2080</v>
      </c>
      <c r="B55" s="437" t="s">
        <v>947</v>
      </c>
      <c r="C55" s="450" t="s">
        <v>1649</v>
      </c>
      <c r="D55" s="439">
        <f>'RM Rollforward'!H172</f>
        <v>0</v>
      </c>
      <c r="E55" s="451">
        <v>5.0</v>
      </c>
      <c r="F55" s="169">
        <v>1.0</v>
      </c>
      <c r="G55" s="441">
        <f t="shared" si="1"/>
        <v>0</v>
      </c>
      <c r="H55" s="180"/>
    </row>
    <row r="56" ht="12.0" customHeight="1">
      <c r="A56" s="437" t="s">
        <v>2081</v>
      </c>
      <c r="B56" s="437" t="s">
        <v>949</v>
      </c>
      <c r="C56" s="450" t="s">
        <v>1649</v>
      </c>
      <c r="D56" s="439">
        <f>'RM Rollforward'!H173</f>
        <v>57</v>
      </c>
      <c r="E56" s="451">
        <v>5.0</v>
      </c>
      <c r="F56" s="169">
        <v>1.0</v>
      </c>
      <c r="G56" s="441">
        <f t="shared" si="1"/>
        <v>285</v>
      </c>
      <c r="H56" s="180"/>
    </row>
    <row r="57" ht="12.0" customHeight="1">
      <c r="A57" s="437" t="s">
        <v>2082</v>
      </c>
      <c r="B57" s="437" t="s">
        <v>939</v>
      </c>
      <c r="C57" s="450" t="s">
        <v>1649</v>
      </c>
      <c r="D57" s="439">
        <f>'RM Rollforward'!H174</f>
        <v>0</v>
      </c>
      <c r="E57" s="451">
        <v>5.0</v>
      </c>
      <c r="F57" s="169">
        <v>1.0</v>
      </c>
      <c r="G57" s="441">
        <f t="shared" si="1"/>
        <v>0</v>
      </c>
      <c r="H57" s="180"/>
    </row>
    <row r="58" ht="12.0" customHeight="1">
      <c r="A58" s="437" t="s">
        <v>2083</v>
      </c>
      <c r="B58" s="437" t="s">
        <v>941</v>
      </c>
      <c r="C58" s="450" t="s">
        <v>1649</v>
      </c>
      <c r="D58" s="439">
        <f>'RM Rollforward'!H175</f>
        <v>0</v>
      </c>
      <c r="E58" s="451">
        <v>5.0</v>
      </c>
      <c r="F58" s="169">
        <v>1.0</v>
      </c>
      <c r="G58" s="441">
        <f t="shared" si="1"/>
        <v>0</v>
      </c>
      <c r="H58" s="180"/>
    </row>
    <row r="59" ht="12.0" customHeight="1">
      <c r="A59" s="437" t="s">
        <v>2084</v>
      </c>
      <c r="B59" s="437" t="s">
        <v>943</v>
      </c>
      <c r="C59" s="450" t="s">
        <v>1649</v>
      </c>
      <c r="D59" s="439">
        <f>'RM Rollforward'!H176</f>
        <v>39</v>
      </c>
      <c r="E59" s="451">
        <v>5.0</v>
      </c>
      <c r="F59" s="169">
        <v>1.0</v>
      </c>
      <c r="G59" s="441">
        <f t="shared" si="1"/>
        <v>195</v>
      </c>
      <c r="H59" s="180"/>
    </row>
    <row r="60" ht="12.0" customHeight="1">
      <c r="A60" s="437" t="s">
        <v>2085</v>
      </c>
      <c r="B60" s="437" t="s">
        <v>945</v>
      </c>
      <c r="C60" s="450" t="s">
        <v>1649</v>
      </c>
      <c r="D60" s="439">
        <f>'RM Rollforward'!H177</f>
        <v>0</v>
      </c>
      <c r="E60" s="451">
        <v>5.0</v>
      </c>
      <c r="F60" s="169">
        <v>1.0</v>
      </c>
      <c r="G60" s="441">
        <f t="shared" si="1"/>
        <v>0</v>
      </c>
      <c r="H60" s="180"/>
    </row>
    <row r="61" ht="12.0" customHeight="1">
      <c r="A61" s="437" t="s">
        <v>2086</v>
      </c>
      <c r="B61" s="437" t="s">
        <v>951</v>
      </c>
      <c r="C61" s="450" t="s">
        <v>1649</v>
      </c>
      <c r="D61" s="439">
        <f>'RM Rollforward'!H178</f>
        <v>0</v>
      </c>
      <c r="E61" s="451">
        <v>5.0</v>
      </c>
      <c r="F61" s="169">
        <v>1.0</v>
      </c>
      <c r="G61" s="441">
        <f t="shared" si="1"/>
        <v>0</v>
      </c>
      <c r="H61" s="180"/>
    </row>
    <row r="62" ht="12.0" customHeight="1">
      <c r="A62" s="437" t="s">
        <v>2087</v>
      </c>
      <c r="B62" s="437" t="s">
        <v>953</v>
      </c>
      <c r="C62" s="450" t="s">
        <v>1649</v>
      </c>
      <c r="D62" s="439">
        <f>'RM Rollforward'!H179</f>
        <v>0</v>
      </c>
      <c r="E62" s="451">
        <v>5.0</v>
      </c>
      <c r="F62" s="169">
        <v>1.0</v>
      </c>
      <c r="G62" s="441">
        <f t="shared" si="1"/>
        <v>0</v>
      </c>
      <c r="H62" s="180"/>
    </row>
    <row r="63" ht="12.0" customHeight="1">
      <c r="A63" s="437" t="s">
        <v>2088</v>
      </c>
      <c r="B63" s="437" t="s">
        <v>955</v>
      </c>
      <c r="C63" s="450" t="s">
        <v>1649</v>
      </c>
      <c r="D63" s="439">
        <f>'RM Rollforward'!H180</f>
        <v>0</v>
      </c>
      <c r="E63" s="451">
        <v>5.0</v>
      </c>
      <c r="F63" s="169">
        <v>1.0</v>
      </c>
      <c r="G63" s="441">
        <f t="shared" si="1"/>
        <v>0</v>
      </c>
      <c r="H63" s="180"/>
    </row>
    <row r="64" ht="12.0" customHeight="1">
      <c r="A64" s="437" t="s">
        <v>2089</v>
      </c>
      <c r="B64" s="437" t="s">
        <v>957</v>
      </c>
      <c r="C64" s="450" t="s">
        <v>1649</v>
      </c>
      <c r="D64" s="439">
        <f>'RM Rollforward'!H181</f>
        <v>0</v>
      </c>
      <c r="E64" s="451">
        <v>5.0</v>
      </c>
      <c r="F64" s="169">
        <v>1.0</v>
      </c>
      <c r="G64" s="441">
        <f t="shared" si="1"/>
        <v>0</v>
      </c>
      <c r="H64" s="180"/>
    </row>
    <row r="65" ht="12.0" customHeight="1">
      <c r="A65" s="437" t="s">
        <v>2090</v>
      </c>
      <c r="B65" s="437" t="s">
        <v>2091</v>
      </c>
      <c r="C65" s="450" t="s">
        <v>1649</v>
      </c>
      <c r="D65" s="439">
        <f>'RM Rollforward'!H182</f>
        <v>41</v>
      </c>
      <c r="E65" s="451">
        <v>5.0</v>
      </c>
      <c r="F65" s="169">
        <v>1.0</v>
      </c>
      <c r="G65" s="441">
        <f t="shared" si="1"/>
        <v>205</v>
      </c>
      <c r="H65" s="180"/>
    </row>
    <row r="66" ht="12.0" customHeight="1">
      <c r="A66" s="437" t="s">
        <v>2092</v>
      </c>
      <c r="B66" s="437" t="s">
        <v>2093</v>
      </c>
      <c r="C66" s="450" t="s">
        <v>1649</v>
      </c>
      <c r="D66" s="439">
        <f>'RM Rollforward'!H183</f>
        <v>0</v>
      </c>
      <c r="E66" s="451">
        <v>5.0</v>
      </c>
      <c r="F66" s="169">
        <v>1.0</v>
      </c>
      <c r="G66" s="441">
        <f t="shared" si="1"/>
        <v>0</v>
      </c>
      <c r="H66" s="180"/>
    </row>
    <row r="67" ht="12.0" customHeight="1">
      <c r="A67" s="437" t="s">
        <v>2094</v>
      </c>
      <c r="B67" s="437" t="s">
        <v>2095</v>
      </c>
      <c r="C67" s="450" t="s">
        <v>1649</v>
      </c>
      <c r="D67" s="439">
        <f>'RM Rollforward'!H184</f>
        <v>0</v>
      </c>
      <c r="E67" s="451">
        <v>5.0</v>
      </c>
      <c r="F67" s="169">
        <v>1.0</v>
      </c>
      <c r="G67" s="441">
        <f t="shared" si="1"/>
        <v>0</v>
      </c>
      <c r="H67" s="180"/>
    </row>
    <row r="68" ht="12.0" customHeight="1">
      <c r="A68" s="437" t="s">
        <v>2096</v>
      </c>
      <c r="B68" s="437" t="s">
        <v>2097</v>
      </c>
      <c r="C68" s="450" t="s">
        <v>1649</v>
      </c>
      <c r="D68" s="439">
        <f>'RM Rollforward'!H185</f>
        <v>0</v>
      </c>
      <c r="E68" s="451">
        <v>5.0</v>
      </c>
      <c r="F68" s="169">
        <v>1.0</v>
      </c>
      <c r="G68" s="441">
        <f t="shared" si="1"/>
        <v>0</v>
      </c>
      <c r="H68" s="180"/>
    </row>
    <row r="69" ht="12.0" customHeight="1">
      <c r="A69" s="437" t="s">
        <v>2098</v>
      </c>
      <c r="B69" s="437" t="s">
        <v>2099</v>
      </c>
      <c r="C69" s="450" t="s">
        <v>1649</v>
      </c>
      <c r="D69" s="439">
        <f>'RM Rollforward'!H186</f>
        <v>0</v>
      </c>
      <c r="E69" s="451">
        <v>5.0</v>
      </c>
      <c r="F69" s="169">
        <v>1.0</v>
      </c>
      <c r="G69" s="441">
        <f t="shared" si="1"/>
        <v>0</v>
      </c>
      <c r="H69" s="180"/>
    </row>
    <row r="70" ht="12.0" customHeight="1">
      <c r="A70" s="437" t="s">
        <v>2100</v>
      </c>
      <c r="B70" s="437" t="s">
        <v>2101</v>
      </c>
      <c r="C70" s="450" t="s">
        <v>1649</v>
      </c>
      <c r="D70" s="439">
        <f>'RM Rollforward'!H187</f>
        <v>42</v>
      </c>
      <c r="E70" s="451">
        <v>5.0</v>
      </c>
      <c r="F70" s="169">
        <v>1.0</v>
      </c>
      <c r="G70" s="441">
        <f t="shared" si="1"/>
        <v>210</v>
      </c>
      <c r="H70" s="180"/>
    </row>
    <row r="71" ht="12.0" customHeight="1">
      <c r="A71" s="437" t="s">
        <v>2102</v>
      </c>
      <c r="B71" s="437" t="s">
        <v>2103</v>
      </c>
      <c r="C71" s="450" t="s">
        <v>1649</v>
      </c>
      <c r="D71" s="439">
        <f>'RM Rollforward'!H188</f>
        <v>0</v>
      </c>
      <c r="E71" s="451">
        <v>5.0</v>
      </c>
      <c r="F71" s="169">
        <v>1.0</v>
      </c>
      <c r="G71" s="441">
        <f t="shared" si="1"/>
        <v>0</v>
      </c>
      <c r="H71" s="180"/>
    </row>
    <row r="72" ht="12.0" customHeight="1">
      <c r="A72" s="437" t="s">
        <v>2104</v>
      </c>
      <c r="B72" s="437" t="s">
        <v>2105</v>
      </c>
      <c r="C72" s="450" t="s">
        <v>1649</v>
      </c>
      <c r="D72" s="439">
        <f>'RM Rollforward'!H189</f>
        <v>82</v>
      </c>
      <c r="E72" s="451">
        <v>5.0</v>
      </c>
      <c r="F72" s="169">
        <v>1.0</v>
      </c>
      <c r="G72" s="441">
        <f t="shared" si="1"/>
        <v>410</v>
      </c>
      <c r="H72" s="180"/>
    </row>
    <row r="73" ht="12.0" customHeight="1">
      <c r="A73" s="437" t="s">
        <v>2106</v>
      </c>
      <c r="B73" s="437" t="s">
        <v>972</v>
      </c>
      <c r="C73" s="450" t="s">
        <v>1649</v>
      </c>
      <c r="D73" s="439">
        <f>'RM Rollforward'!H190</f>
        <v>273</v>
      </c>
      <c r="E73" s="451">
        <v>5.0</v>
      </c>
      <c r="F73" s="169">
        <v>1.0</v>
      </c>
      <c r="G73" s="441">
        <f t="shared" si="1"/>
        <v>1365</v>
      </c>
      <c r="H73" s="180"/>
    </row>
    <row r="74" ht="12.0" customHeight="1">
      <c r="A74" s="437" t="s">
        <v>2107</v>
      </c>
      <c r="B74" s="437" t="s">
        <v>974</v>
      </c>
      <c r="C74" s="450" t="s">
        <v>1649</v>
      </c>
      <c r="D74" s="439">
        <f>'RM Rollforward'!H191</f>
        <v>96</v>
      </c>
      <c r="E74" s="451">
        <v>5.0</v>
      </c>
      <c r="F74" s="169">
        <v>1.0</v>
      </c>
      <c r="G74" s="441">
        <f t="shared" si="1"/>
        <v>480</v>
      </c>
      <c r="H74" s="180"/>
    </row>
    <row r="75" ht="12.0" customHeight="1">
      <c r="A75" s="437" t="s">
        <v>2108</v>
      </c>
      <c r="B75" s="437" t="s">
        <v>976</v>
      </c>
      <c r="C75" s="450" t="s">
        <v>1649</v>
      </c>
      <c r="D75" s="439">
        <f>'RM Rollforward'!H192</f>
        <v>0</v>
      </c>
      <c r="E75" s="451">
        <v>5.0</v>
      </c>
      <c r="F75" s="169">
        <v>1.0</v>
      </c>
      <c r="G75" s="441">
        <f t="shared" si="1"/>
        <v>0</v>
      </c>
      <c r="H75" s="180"/>
    </row>
    <row r="76" ht="12.0" customHeight="1">
      <c r="A76" s="437" t="s">
        <v>2109</v>
      </c>
      <c r="B76" s="437" t="s">
        <v>978</v>
      </c>
      <c r="C76" s="450" t="s">
        <v>1649</v>
      </c>
      <c r="D76" s="439">
        <f>'RM Rollforward'!H193</f>
        <v>46</v>
      </c>
      <c r="E76" s="451">
        <v>5.0</v>
      </c>
      <c r="F76" s="169">
        <v>1.0</v>
      </c>
      <c r="G76" s="441">
        <f t="shared" si="1"/>
        <v>230</v>
      </c>
      <c r="H76" s="180"/>
    </row>
    <row r="77" ht="12.0" customHeight="1">
      <c r="A77" s="437" t="s">
        <v>2110</v>
      </c>
      <c r="B77" s="437" t="s">
        <v>2111</v>
      </c>
      <c r="C77" s="450" t="s">
        <v>1649</v>
      </c>
      <c r="D77" s="439">
        <f>'RM Rollforward'!H194</f>
        <v>0</v>
      </c>
      <c r="E77" s="451">
        <v>5.0</v>
      </c>
      <c r="F77" s="169">
        <v>1.0</v>
      </c>
      <c r="G77" s="441">
        <f t="shared" si="1"/>
        <v>0</v>
      </c>
      <c r="H77" s="180"/>
    </row>
    <row r="78" ht="12.0" customHeight="1">
      <c r="A78" s="437" t="s">
        <v>2112</v>
      </c>
      <c r="B78" s="437" t="s">
        <v>2113</v>
      </c>
      <c r="C78" s="450" t="s">
        <v>1649</v>
      </c>
      <c r="D78" s="439">
        <f>'RM Rollforward'!H195</f>
        <v>21</v>
      </c>
      <c r="E78" s="451">
        <v>5.0</v>
      </c>
      <c r="F78" s="169">
        <v>1.0</v>
      </c>
      <c r="G78" s="441">
        <f t="shared" si="1"/>
        <v>105</v>
      </c>
      <c r="H78" s="180"/>
    </row>
    <row r="79" ht="12.0" customHeight="1">
      <c r="A79" s="437" t="s">
        <v>2114</v>
      </c>
      <c r="B79" s="437" t="s">
        <v>2115</v>
      </c>
      <c r="C79" s="450" t="s">
        <v>1649</v>
      </c>
      <c r="D79" s="439">
        <f>'RM Rollforward'!H196</f>
        <v>0</v>
      </c>
      <c r="E79" s="451">
        <v>5.0</v>
      </c>
      <c r="F79" s="169">
        <v>1.0</v>
      </c>
      <c r="G79" s="441">
        <f t="shared" si="1"/>
        <v>0</v>
      </c>
      <c r="H79" s="180"/>
    </row>
    <row r="80" ht="12.0" customHeight="1">
      <c r="A80" s="437" t="s">
        <v>2116</v>
      </c>
      <c r="B80" s="437" t="s">
        <v>2117</v>
      </c>
      <c r="C80" s="450" t="s">
        <v>1649</v>
      </c>
      <c r="D80" s="439">
        <f>'RM Rollforward'!H197</f>
        <v>0</v>
      </c>
      <c r="E80" s="451">
        <v>5.0</v>
      </c>
      <c r="F80" s="169">
        <v>1.0</v>
      </c>
      <c r="G80" s="441">
        <f t="shared" si="1"/>
        <v>0</v>
      </c>
      <c r="H80" s="180"/>
    </row>
    <row r="81" ht="12.0" customHeight="1">
      <c r="A81" s="437" t="s">
        <v>2118</v>
      </c>
      <c r="B81" s="437" t="s">
        <v>2119</v>
      </c>
      <c r="C81" s="450" t="s">
        <v>1649</v>
      </c>
      <c r="D81" s="439">
        <f>'RM Rollforward'!H198</f>
        <v>105</v>
      </c>
      <c r="E81" s="451">
        <v>5.0</v>
      </c>
      <c r="F81" s="169">
        <v>1.0</v>
      </c>
      <c r="G81" s="441">
        <f t="shared" si="1"/>
        <v>525</v>
      </c>
      <c r="H81" s="180"/>
    </row>
    <row r="82" ht="12.0" customHeight="1">
      <c r="A82" s="437" t="s">
        <v>2120</v>
      </c>
      <c r="B82" s="437" t="s">
        <v>2121</v>
      </c>
      <c r="C82" s="450" t="s">
        <v>1649</v>
      </c>
      <c r="D82" s="439">
        <f>'RM Rollforward'!H199</f>
        <v>88</v>
      </c>
      <c r="E82" s="451">
        <v>5.0</v>
      </c>
      <c r="F82" s="169">
        <v>1.0</v>
      </c>
      <c r="G82" s="441">
        <f t="shared" si="1"/>
        <v>440</v>
      </c>
      <c r="H82" s="180"/>
    </row>
    <row r="83" ht="12.0" customHeight="1">
      <c r="A83" s="437" t="s">
        <v>2122</v>
      </c>
      <c r="B83" s="437" t="s">
        <v>2123</v>
      </c>
      <c r="C83" s="450" t="s">
        <v>1649</v>
      </c>
      <c r="D83" s="439">
        <f>'RM Rollforward'!H200</f>
        <v>128</v>
      </c>
      <c r="E83" s="451">
        <v>5.0</v>
      </c>
      <c r="F83" s="169">
        <v>1.0</v>
      </c>
      <c r="G83" s="441">
        <f t="shared" si="1"/>
        <v>640</v>
      </c>
      <c r="H83" s="180"/>
    </row>
    <row r="84" ht="12.0" customHeight="1">
      <c r="A84" s="437" t="s">
        <v>2124</v>
      </c>
      <c r="B84" s="437" t="s">
        <v>2125</v>
      </c>
      <c r="C84" s="450" t="s">
        <v>1649</v>
      </c>
      <c r="D84" s="439">
        <f>'RM Rollforward'!H201</f>
        <v>71</v>
      </c>
      <c r="E84" s="451">
        <v>5.0</v>
      </c>
      <c r="F84" s="169">
        <v>1.0</v>
      </c>
      <c r="G84" s="441">
        <f t="shared" si="1"/>
        <v>355</v>
      </c>
      <c r="H84" s="180"/>
    </row>
    <row r="85" ht="12.0" customHeight="1">
      <c r="A85" s="437" t="s">
        <v>2126</v>
      </c>
      <c r="B85" s="437" t="s">
        <v>2127</v>
      </c>
      <c r="C85" s="450" t="s">
        <v>1649</v>
      </c>
      <c r="D85" s="439">
        <f>'RM Rollforward'!H202</f>
        <v>242</v>
      </c>
      <c r="E85" s="451">
        <v>5.0</v>
      </c>
      <c r="F85" s="169">
        <v>1.0</v>
      </c>
      <c r="G85" s="441">
        <f t="shared" si="1"/>
        <v>1210</v>
      </c>
      <c r="H85" s="180"/>
    </row>
    <row r="86" ht="12.0" customHeight="1">
      <c r="A86" s="437" t="s">
        <v>2128</v>
      </c>
      <c r="B86" s="437" t="s">
        <v>2129</v>
      </c>
      <c r="C86" s="450" t="s">
        <v>1649</v>
      </c>
      <c r="D86" s="439">
        <f>'RM Rollforward'!H203</f>
        <v>218</v>
      </c>
      <c r="E86" s="451">
        <v>5.0</v>
      </c>
      <c r="F86" s="169">
        <v>1.0</v>
      </c>
      <c r="G86" s="441">
        <f t="shared" si="1"/>
        <v>1090</v>
      </c>
      <c r="H86" s="180"/>
    </row>
    <row r="87" ht="12.0" customHeight="1">
      <c r="A87" s="437" t="s">
        <v>2130</v>
      </c>
      <c r="B87" s="437" t="s">
        <v>2131</v>
      </c>
      <c r="C87" s="450" t="s">
        <v>1649</v>
      </c>
      <c r="D87" s="439">
        <f>'RM Rollforward'!H204</f>
        <v>46</v>
      </c>
      <c r="E87" s="451">
        <v>5.0</v>
      </c>
      <c r="F87" s="169">
        <v>1.0</v>
      </c>
      <c r="G87" s="441">
        <f t="shared" si="1"/>
        <v>230</v>
      </c>
      <c r="H87" s="180"/>
    </row>
    <row r="88" ht="12.0" customHeight="1">
      <c r="A88" s="437" t="s">
        <v>2132</v>
      </c>
      <c r="B88" s="437" t="s">
        <v>2133</v>
      </c>
      <c r="C88" s="450" t="s">
        <v>1649</v>
      </c>
      <c r="D88" s="439">
        <f>'RM Rollforward'!H205</f>
        <v>0</v>
      </c>
      <c r="E88" s="451">
        <v>5.0</v>
      </c>
      <c r="F88" s="169">
        <v>1.0</v>
      </c>
      <c r="G88" s="441">
        <f t="shared" si="1"/>
        <v>0</v>
      </c>
      <c r="H88" s="180"/>
    </row>
    <row r="89" ht="12.0" customHeight="1">
      <c r="A89" s="437" t="s">
        <v>2134</v>
      </c>
      <c r="B89" s="437" t="s">
        <v>2135</v>
      </c>
      <c r="C89" s="450" t="s">
        <v>1649</v>
      </c>
      <c r="D89" s="439">
        <f>'RM Rollforward'!H206</f>
        <v>0</v>
      </c>
      <c r="E89" s="451">
        <v>5.0</v>
      </c>
      <c r="F89" s="169">
        <v>1.0</v>
      </c>
      <c r="G89" s="441">
        <f t="shared" si="1"/>
        <v>0</v>
      </c>
      <c r="H89" s="180"/>
    </row>
    <row r="90" ht="12.0" customHeight="1">
      <c r="A90" s="437" t="s">
        <v>2136</v>
      </c>
      <c r="B90" s="437" t="s">
        <v>903</v>
      </c>
      <c r="C90" s="450" t="s">
        <v>1649</v>
      </c>
      <c r="D90" s="439">
        <f>'RM Rollforward'!H207</f>
        <v>0</v>
      </c>
      <c r="E90" s="451">
        <v>5.0</v>
      </c>
      <c r="F90" s="169">
        <v>1.0</v>
      </c>
      <c r="G90" s="441">
        <f t="shared" si="1"/>
        <v>0</v>
      </c>
      <c r="H90" s="180"/>
    </row>
    <row r="91" ht="12.0" customHeight="1">
      <c r="A91" s="437" t="s">
        <v>2137</v>
      </c>
      <c r="B91" s="437" t="s">
        <v>905</v>
      </c>
      <c r="C91" s="450" t="s">
        <v>1649</v>
      </c>
      <c r="D91" s="439">
        <f>'RM Rollforward'!H208</f>
        <v>0</v>
      </c>
      <c r="E91" s="451">
        <v>5.0</v>
      </c>
      <c r="F91" s="169">
        <v>1.0</v>
      </c>
      <c r="G91" s="441">
        <f t="shared" si="1"/>
        <v>0</v>
      </c>
      <c r="H91" s="180"/>
    </row>
    <row r="92" ht="12.0" customHeight="1">
      <c r="A92" s="437" t="s">
        <v>2138</v>
      </c>
      <c r="B92" s="437" t="s">
        <v>907</v>
      </c>
      <c r="C92" s="450" t="s">
        <v>1649</v>
      </c>
      <c r="D92" s="439">
        <f>'RM Rollforward'!H209</f>
        <v>63</v>
      </c>
      <c r="E92" s="451">
        <v>5.0</v>
      </c>
      <c r="F92" s="169">
        <v>1.0</v>
      </c>
      <c r="G92" s="441">
        <f t="shared" si="1"/>
        <v>315</v>
      </c>
      <c r="H92" s="180"/>
    </row>
    <row r="93" ht="12.0" customHeight="1">
      <c r="A93" s="437" t="s">
        <v>2139</v>
      </c>
      <c r="B93" s="452" t="s">
        <v>909</v>
      </c>
      <c r="C93" s="450" t="s">
        <v>1649</v>
      </c>
      <c r="D93" s="439">
        <f>'RM Rollforward'!H210</f>
        <v>125</v>
      </c>
      <c r="E93" s="451">
        <v>5.0</v>
      </c>
      <c r="F93" s="169">
        <v>1.0</v>
      </c>
      <c r="G93" s="441">
        <f t="shared" si="1"/>
        <v>625</v>
      </c>
      <c r="H93" s="180"/>
    </row>
    <row r="94" ht="12.0" customHeight="1">
      <c r="A94" s="437" t="s">
        <v>2140</v>
      </c>
      <c r="B94" s="452" t="s">
        <v>2141</v>
      </c>
      <c r="C94" s="450" t="s">
        <v>1649</v>
      </c>
      <c r="D94" s="439">
        <f>'RM Rollforward'!H211</f>
        <v>0</v>
      </c>
      <c r="E94" s="451">
        <v>5.0</v>
      </c>
      <c r="F94" s="169">
        <v>1.0</v>
      </c>
      <c r="G94" s="441">
        <f t="shared" si="1"/>
        <v>0</v>
      </c>
      <c r="H94" s="180"/>
    </row>
    <row r="95" ht="12.0" customHeight="1">
      <c r="A95" s="437" t="s">
        <v>2142</v>
      </c>
      <c r="B95" s="452" t="s">
        <v>2143</v>
      </c>
      <c r="C95" s="450" t="s">
        <v>1649</v>
      </c>
      <c r="D95" s="439">
        <f>'RM Rollforward'!H212</f>
        <v>0</v>
      </c>
      <c r="E95" s="451">
        <v>5.0</v>
      </c>
      <c r="F95" s="169">
        <v>1.0</v>
      </c>
      <c r="G95" s="441">
        <f t="shared" si="1"/>
        <v>0</v>
      </c>
      <c r="H95" s="180"/>
    </row>
    <row r="96" ht="12.0" customHeight="1">
      <c r="A96" s="437" t="s">
        <v>2144</v>
      </c>
      <c r="B96" s="452" t="s">
        <v>2145</v>
      </c>
      <c r="C96" s="450" t="s">
        <v>1649</v>
      </c>
      <c r="D96" s="439">
        <f>'RM Rollforward'!H213</f>
        <v>0</v>
      </c>
      <c r="E96" s="451">
        <v>5.0</v>
      </c>
      <c r="F96" s="169">
        <v>1.0</v>
      </c>
      <c r="G96" s="441">
        <f t="shared" si="1"/>
        <v>0</v>
      </c>
      <c r="H96" s="180"/>
    </row>
    <row r="97" ht="12.0" customHeight="1">
      <c r="A97" s="437" t="s">
        <v>2146</v>
      </c>
      <c r="B97" s="452" t="s">
        <v>2147</v>
      </c>
      <c r="C97" s="450" t="s">
        <v>1649</v>
      </c>
      <c r="D97" s="439">
        <f>'RM Rollforward'!H214</f>
        <v>0</v>
      </c>
      <c r="E97" s="451">
        <v>5.0</v>
      </c>
      <c r="F97" s="169">
        <v>1.0</v>
      </c>
      <c r="G97" s="441">
        <f t="shared" si="1"/>
        <v>0</v>
      </c>
      <c r="H97" s="180"/>
    </row>
    <row r="98" ht="12.0" customHeight="1">
      <c r="A98" s="437" t="s">
        <v>2148</v>
      </c>
      <c r="B98" s="452" t="s">
        <v>959</v>
      </c>
      <c r="C98" s="450" t="s">
        <v>1649</v>
      </c>
      <c r="D98" s="439">
        <f>'RM Rollforward'!H215</f>
        <v>0</v>
      </c>
      <c r="E98" s="451">
        <v>5.0</v>
      </c>
      <c r="F98" s="169">
        <v>1.0</v>
      </c>
      <c r="G98" s="441">
        <f t="shared" si="1"/>
        <v>0</v>
      </c>
      <c r="H98" s="180"/>
    </row>
    <row r="99" ht="12.0" customHeight="1">
      <c r="A99" s="437" t="s">
        <v>2149</v>
      </c>
      <c r="B99" s="452" t="s">
        <v>686</v>
      </c>
      <c r="C99" s="450" t="s">
        <v>1649</v>
      </c>
      <c r="D99" s="439">
        <f>'RM Rollforward'!H216</f>
        <v>0</v>
      </c>
      <c r="E99" s="451">
        <v>5.0</v>
      </c>
      <c r="F99" s="169">
        <v>1.0</v>
      </c>
      <c r="G99" s="441">
        <f t="shared" si="1"/>
        <v>0</v>
      </c>
      <c r="H99" s="180"/>
    </row>
    <row r="100" ht="12.0" customHeight="1">
      <c r="A100" s="437" t="s">
        <v>2150</v>
      </c>
      <c r="B100" s="452" t="s">
        <v>672</v>
      </c>
      <c r="C100" s="450" t="s">
        <v>1649</v>
      </c>
      <c r="D100" s="439">
        <f>'RM Rollforward'!H217</f>
        <v>55</v>
      </c>
      <c r="E100" s="451">
        <v>5.0</v>
      </c>
      <c r="F100" s="169">
        <v>1.0</v>
      </c>
      <c r="G100" s="441">
        <f t="shared" si="1"/>
        <v>275</v>
      </c>
      <c r="H100" s="180"/>
    </row>
    <row r="101" ht="12.0" customHeight="1">
      <c r="A101" s="437" t="s">
        <v>2151</v>
      </c>
      <c r="B101" s="452" t="s">
        <v>961</v>
      </c>
      <c r="C101" s="450" t="s">
        <v>1649</v>
      </c>
      <c r="D101" s="439">
        <f>'RM Rollforward'!H218</f>
        <v>0</v>
      </c>
      <c r="E101" s="451">
        <v>5.0</v>
      </c>
      <c r="F101" s="169">
        <v>1.0</v>
      </c>
      <c r="G101" s="441">
        <f t="shared" si="1"/>
        <v>0</v>
      </c>
      <c r="H101" s="180"/>
    </row>
    <row r="102" ht="12.0" customHeight="1">
      <c r="A102" s="437" t="s">
        <v>2152</v>
      </c>
      <c r="B102" s="452" t="s">
        <v>2153</v>
      </c>
      <c r="C102" s="450" t="s">
        <v>1649</v>
      </c>
      <c r="D102" s="439">
        <f>'RM Rollforward'!H219</f>
        <v>140</v>
      </c>
      <c r="E102" s="451">
        <v>5.0</v>
      </c>
      <c r="F102" s="169">
        <v>1.0</v>
      </c>
      <c r="G102" s="441">
        <f t="shared" si="1"/>
        <v>700</v>
      </c>
      <c r="H102" s="180"/>
    </row>
    <row r="103" ht="12.0" customHeight="1">
      <c r="A103" s="437" t="s">
        <v>2154</v>
      </c>
      <c r="B103" s="452" t="s">
        <v>2155</v>
      </c>
      <c r="C103" s="450" t="s">
        <v>1649</v>
      </c>
      <c r="D103" s="439">
        <f>'RM Rollforward'!H220</f>
        <v>95</v>
      </c>
      <c r="E103" s="451">
        <v>5.0</v>
      </c>
      <c r="F103" s="169">
        <v>1.0</v>
      </c>
      <c r="G103" s="441">
        <f t="shared" si="1"/>
        <v>475</v>
      </c>
      <c r="H103" s="180"/>
    </row>
    <row r="104" ht="12.0" customHeight="1">
      <c r="A104" s="437" t="s">
        <v>2156</v>
      </c>
      <c r="B104" s="452" t="s">
        <v>2157</v>
      </c>
      <c r="C104" s="450" t="s">
        <v>1649</v>
      </c>
      <c r="D104" s="439">
        <f>'RM Rollforward'!H221</f>
        <v>51</v>
      </c>
      <c r="E104" s="451">
        <v>5.0</v>
      </c>
      <c r="F104" s="169">
        <v>1.0</v>
      </c>
      <c r="G104" s="441">
        <f t="shared" si="1"/>
        <v>255</v>
      </c>
      <c r="H104" s="180"/>
    </row>
    <row r="105" ht="12.0" customHeight="1">
      <c r="A105" s="437" t="s">
        <v>2158</v>
      </c>
      <c r="B105" s="452" t="s">
        <v>2159</v>
      </c>
      <c r="C105" s="450" t="s">
        <v>1649</v>
      </c>
      <c r="D105" s="439">
        <f>'RM Rollforward'!H222</f>
        <v>51</v>
      </c>
      <c r="E105" s="451">
        <v>5.0</v>
      </c>
      <c r="F105" s="169">
        <v>1.0</v>
      </c>
      <c r="G105" s="441">
        <f t="shared" si="1"/>
        <v>255</v>
      </c>
      <c r="H105" s="180"/>
    </row>
    <row r="106" ht="12.0" customHeight="1">
      <c r="A106" s="437" t="s">
        <v>2160</v>
      </c>
      <c r="B106" s="452" t="s">
        <v>2161</v>
      </c>
      <c r="C106" s="450" t="s">
        <v>1649</v>
      </c>
      <c r="D106" s="439">
        <f>'RM Rollforward'!H223</f>
        <v>199</v>
      </c>
      <c r="E106" s="451">
        <v>5.0</v>
      </c>
      <c r="F106" s="169">
        <v>1.0</v>
      </c>
      <c r="G106" s="441">
        <f t="shared" si="1"/>
        <v>995</v>
      </c>
      <c r="H106" s="180"/>
    </row>
    <row r="107" ht="12.0" customHeight="1">
      <c r="A107" s="437" t="s">
        <v>2162</v>
      </c>
      <c r="B107" s="452" t="s">
        <v>374</v>
      </c>
      <c r="C107" s="450" t="s">
        <v>1649</v>
      </c>
      <c r="D107" s="439">
        <f>'RM Rollforward'!H224</f>
        <v>39</v>
      </c>
      <c r="E107" s="451">
        <v>5.0</v>
      </c>
      <c r="F107" s="169">
        <v>1.0</v>
      </c>
      <c r="G107" s="441">
        <f t="shared" si="1"/>
        <v>195</v>
      </c>
      <c r="H107" s="180"/>
    </row>
    <row r="108" ht="12.0" customHeight="1">
      <c r="A108" s="437" t="s">
        <v>2163</v>
      </c>
      <c r="B108" s="452" t="s">
        <v>400</v>
      </c>
      <c r="C108" s="450" t="s">
        <v>1649</v>
      </c>
      <c r="D108" s="439">
        <f>'RM Rollforward'!H225</f>
        <v>271</v>
      </c>
      <c r="E108" s="451">
        <v>5.0</v>
      </c>
      <c r="F108" s="169">
        <v>1.0</v>
      </c>
      <c r="G108" s="441">
        <f t="shared" si="1"/>
        <v>1355</v>
      </c>
      <c r="H108" s="180"/>
    </row>
    <row r="109" ht="12.0" customHeight="1">
      <c r="A109" s="437" t="s">
        <v>2164</v>
      </c>
      <c r="B109" s="452" t="s">
        <v>968</v>
      </c>
      <c r="C109" s="450" t="s">
        <v>1649</v>
      </c>
      <c r="D109" s="439">
        <f>'RM Rollforward'!H226</f>
        <v>0</v>
      </c>
      <c r="E109" s="451">
        <v>5.0</v>
      </c>
      <c r="F109" s="169">
        <v>1.0</v>
      </c>
      <c r="G109" s="441">
        <f t="shared" si="1"/>
        <v>0</v>
      </c>
      <c r="H109" s="180"/>
    </row>
    <row r="110" ht="12.0" customHeight="1">
      <c r="A110" s="437" t="s">
        <v>2165</v>
      </c>
      <c r="B110" s="452" t="s">
        <v>970</v>
      </c>
      <c r="C110" s="450" t="s">
        <v>1649</v>
      </c>
      <c r="D110" s="439">
        <f>'RM Rollforward'!H227</f>
        <v>0</v>
      </c>
      <c r="E110" s="451">
        <v>5.0</v>
      </c>
      <c r="F110" s="169">
        <v>1.0</v>
      </c>
      <c r="G110" s="441">
        <f t="shared" si="1"/>
        <v>0</v>
      </c>
      <c r="H110" s="180"/>
    </row>
    <row r="111" ht="12.0" customHeight="1">
      <c r="A111" s="437" t="s">
        <v>2166</v>
      </c>
      <c r="B111" s="452" t="s">
        <v>2167</v>
      </c>
      <c r="C111" s="450" t="s">
        <v>1649</v>
      </c>
      <c r="D111" s="439">
        <f>'RM Rollforward'!H228</f>
        <v>66</v>
      </c>
      <c r="E111" s="451">
        <v>5.0</v>
      </c>
      <c r="F111" s="169">
        <v>1.0</v>
      </c>
      <c r="G111" s="441">
        <f t="shared" si="1"/>
        <v>330</v>
      </c>
      <c r="H111" s="180"/>
    </row>
    <row r="112" ht="12.0" customHeight="1">
      <c r="A112" s="437" t="s">
        <v>2168</v>
      </c>
      <c r="B112" s="452" t="s">
        <v>2169</v>
      </c>
      <c r="C112" s="450" t="s">
        <v>1649</v>
      </c>
      <c r="D112" s="439">
        <f>'RM Rollforward'!H229</f>
        <v>30</v>
      </c>
      <c r="E112" s="451">
        <v>5.0</v>
      </c>
      <c r="F112" s="169">
        <v>1.0</v>
      </c>
      <c r="G112" s="441">
        <f t="shared" si="1"/>
        <v>150</v>
      </c>
      <c r="H112" s="180"/>
    </row>
    <row r="113" ht="12.0" customHeight="1">
      <c r="A113" s="437" t="s">
        <v>2170</v>
      </c>
      <c r="B113" s="452" t="s">
        <v>2171</v>
      </c>
      <c r="C113" s="450" t="s">
        <v>1649</v>
      </c>
      <c r="D113" s="439">
        <f>'RM Rollforward'!H230</f>
        <v>12</v>
      </c>
      <c r="E113" s="451">
        <v>5.0</v>
      </c>
      <c r="F113" s="169">
        <v>1.0</v>
      </c>
      <c r="G113" s="441">
        <f t="shared" si="1"/>
        <v>60</v>
      </c>
      <c r="H113" s="180"/>
    </row>
    <row r="114" ht="12.0" customHeight="1">
      <c r="A114" s="437" t="s">
        <v>2172</v>
      </c>
      <c r="B114" s="452" t="s">
        <v>2173</v>
      </c>
      <c r="C114" s="450" t="s">
        <v>1649</v>
      </c>
      <c r="D114" s="439">
        <f>'RM Rollforward'!H231</f>
        <v>198</v>
      </c>
      <c r="E114" s="451">
        <v>5.0</v>
      </c>
      <c r="F114" s="169">
        <v>1.0</v>
      </c>
      <c r="G114" s="441">
        <f t="shared" si="1"/>
        <v>990</v>
      </c>
      <c r="H114" s="180"/>
    </row>
    <row r="115" ht="12.0" customHeight="1">
      <c r="A115" s="437" t="s">
        <v>2174</v>
      </c>
      <c r="B115" s="452" t="s">
        <v>2175</v>
      </c>
      <c r="C115" s="450" t="s">
        <v>1649</v>
      </c>
      <c r="D115" s="439">
        <f>'RM Rollforward'!H232</f>
        <v>0</v>
      </c>
      <c r="E115" s="451">
        <v>5.0</v>
      </c>
      <c r="F115" s="169">
        <v>1.0</v>
      </c>
      <c r="G115" s="441">
        <f t="shared" si="1"/>
        <v>0</v>
      </c>
      <c r="H115" s="180"/>
    </row>
    <row r="116" ht="12.0" customHeight="1">
      <c r="A116" s="437" t="s">
        <v>2176</v>
      </c>
      <c r="B116" s="452" t="s">
        <v>2177</v>
      </c>
      <c r="C116" s="450" t="s">
        <v>1649</v>
      </c>
      <c r="D116" s="439">
        <f>'RM Rollforward'!H233</f>
        <v>0</v>
      </c>
      <c r="E116" s="451">
        <v>5.0</v>
      </c>
      <c r="F116" s="169">
        <v>1.0</v>
      </c>
      <c r="G116" s="441">
        <f t="shared" si="1"/>
        <v>0</v>
      </c>
      <c r="H116" s="180"/>
    </row>
    <row r="117" ht="12.0" customHeight="1">
      <c r="A117" s="437" t="s">
        <v>2178</v>
      </c>
      <c r="B117" s="452" t="s">
        <v>2179</v>
      </c>
      <c r="C117" s="450" t="s">
        <v>1649</v>
      </c>
      <c r="D117" s="439">
        <f>'RM Rollforward'!H234</f>
        <v>0</v>
      </c>
      <c r="E117" s="451">
        <v>5.0</v>
      </c>
      <c r="F117" s="169">
        <v>1.0</v>
      </c>
      <c r="G117" s="441">
        <f t="shared" si="1"/>
        <v>0</v>
      </c>
      <c r="H117" s="180"/>
    </row>
    <row r="118" ht="12.0" customHeight="1">
      <c r="A118" s="437" t="s">
        <v>2180</v>
      </c>
      <c r="B118" s="452" t="s">
        <v>2181</v>
      </c>
      <c r="C118" s="450" t="s">
        <v>1649</v>
      </c>
      <c r="D118" s="439">
        <f>'RM Rollforward'!H235</f>
        <v>36</v>
      </c>
      <c r="E118" s="451">
        <v>5.0</v>
      </c>
      <c r="F118" s="169">
        <v>1.0</v>
      </c>
      <c r="G118" s="441">
        <f t="shared" si="1"/>
        <v>180</v>
      </c>
      <c r="H118" s="180"/>
    </row>
    <row r="119" ht="12.0" customHeight="1">
      <c r="A119" s="437" t="s">
        <v>2182</v>
      </c>
      <c r="B119" s="437" t="s">
        <v>2183</v>
      </c>
      <c r="C119" s="450" t="s">
        <v>1649</v>
      </c>
      <c r="D119" s="439">
        <f>'RM Rollforward'!H236</f>
        <v>0</v>
      </c>
      <c r="E119" s="451">
        <v>5.0</v>
      </c>
      <c r="F119" s="169">
        <v>1.0</v>
      </c>
      <c r="G119" s="441">
        <f t="shared" si="1"/>
        <v>0</v>
      </c>
      <c r="H119" s="180"/>
    </row>
    <row r="120" ht="12.0" customHeight="1">
      <c r="A120" s="437" t="s">
        <v>2184</v>
      </c>
      <c r="B120" s="437" t="s">
        <v>2185</v>
      </c>
      <c r="C120" s="450" t="s">
        <v>1649</v>
      </c>
      <c r="D120" s="439">
        <f>'RM Rollforward'!H237</f>
        <v>0</v>
      </c>
      <c r="E120" s="451">
        <v>5.0</v>
      </c>
      <c r="F120" s="169">
        <v>1.0</v>
      </c>
      <c r="G120" s="441">
        <f t="shared" si="1"/>
        <v>0</v>
      </c>
      <c r="H120" s="180"/>
    </row>
    <row r="121" ht="12.0" customHeight="1">
      <c r="A121" s="437" t="s">
        <v>2186</v>
      </c>
      <c r="B121" s="437" t="s">
        <v>2187</v>
      </c>
      <c r="C121" s="450" t="s">
        <v>1649</v>
      </c>
      <c r="D121" s="439">
        <f>'RM Rollforward'!H238</f>
        <v>0</v>
      </c>
      <c r="E121" s="451">
        <v>5.0</v>
      </c>
      <c r="F121" s="169">
        <v>1.0</v>
      </c>
      <c r="G121" s="441">
        <f t="shared" si="1"/>
        <v>0</v>
      </c>
      <c r="H121" s="180"/>
    </row>
    <row r="122" ht="12.0" customHeight="1">
      <c r="A122" s="437" t="s">
        <v>2188</v>
      </c>
      <c r="B122" s="437" t="s">
        <v>2189</v>
      </c>
      <c r="C122" s="450" t="s">
        <v>1649</v>
      </c>
      <c r="D122" s="439">
        <f>'RM Rollforward'!H239</f>
        <v>32</v>
      </c>
      <c r="E122" s="451">
        <v>5.0</v>
      </c>
      <c r="F122" s="169">
        <v>1.0</v>
      </c>
      <c r="G122" s="441">
        <f t="shared" si="1"/>
        <v>160</v>
      </c>
      <c r="H122" s="180"/>
    </row>
    <row r="123" ht="12.0" customHeight="1">
      <c r="A123" s="437" t="s">
        <v>2190</v>
      </c>
      <c r="B123" s="437" t="s">
        <v>304</v>
      </c>
      <c r="C123" s="450" t="s">
        <v>1649</v>
      </c>
      <c r="D123" s="439">
        <f>'RM Rollforward'!H240</f>
        <v>0</v>
      </c>
      <c r="E123" s="451">
        <v>5.0</v>
      </c>
      <c r="F123" s="169">
        <v>1.0</v>
      </c>
      <c r="G123" s="441">
        <f t="shared" si="1"/>
        <v>0</v>
      </c>
      <c r="H123" s="180"/>
    </row>
    <row r="124" ht="12.0" customHeight="1">
      <c r="A124" s="437" t="s">
        <v>2191</v>
      </c>
      <c r="B124" s="437" t="s">
        <v>276</v>
      </c>
      <c r="C124" s="450" t="s">
        <v>1649</v>
      </c>
      <c r="D124" s="439">
        <f>'RM Rollforward'!H241</f>
        <v>0</v>
      </c>
      <c r="E124" s="451">
        <v>5.0</v>
      </c>
      <c r="F124" s="169">
        <v>1.0</v>
      </c>
      <c r="G124" s="441">
        <f t="shared" si="1"/>
        <v>0</v>
      </c>
      <c r="H124" s="180"/>
    </row>
    <row r="125" ht="12.0" customHeight="1">
      <c r="A125" s="437" t="s">
        <v>2192</v>
      </c>
      <c r="B125" s="437" t="s">
        <v>366</v>
      </c>
      <c r="C125" s="450" t="s">
        <v>1649</v>
      </c>
      <c r="D125" s="439">
        <f>'RM Rollforward'!H242</f>
        <v>0</v>
      </c>
      <c r="E125" s="451">
        <v>5.0</v>
      </c>
      <c r="F125" s="169">
        <v>1.0</v>
      </c>
      <c r="G125" s="441">
        <f t="shared" si="1"/>
        <v>0</v>
      </c>
      <c r="H125" s="180"/>
    </row>
    <row r="126" ht="12.0" customHeight="1">
      <c r="A126" s="437" t="s">
        <v>2193</v>
      </c>
      <c r="B126" s="437" t="s">
        <v>963</v>
      </c>
      <c r="C126" s="450" t="s">
        <v>1649</v>
      </c>
      <c r="D126" s="439">
        <f>'RM Rollforward'!H243</f>
        <v>42</v>
      </c>
      <c r="E126" s="451">
        <v>5.0</v>
      </c>
      <c r="F126" s="169">
        <v>1.0</v>
      </c>
      <c r="G126" s="441">
        <f t="shared" si="1"/>
        <v>210</v>
      </c>
      <c r="H126" s="180"/>
    </row>
    <row r="127" ht="12.0" customHeight="1">
      <c r="A127" s="437" t="s">
        <v>2194</v>
      </c>
      <c r="B127" s="453" t="s">
        <v>2195</v>
      </c>
      <c r="C127" s="450" t="s">
        <v>1649</v>
      </c>
      <c r="D127" s="439">
        <f>'RM Rollforward'!H257</f>
        <v>0</v>
      </c>
      <c r="E127" s="451">
        <v>5.0</v>
      </c>
      <c r="F127" s="169">
        <v>1.0</v>
      </c>
      <c r="G127" s="441">
        <f t="shared" si="1"/>
        <v>0</v>
      </c>
      <c r="H127" s="180"/>
    </row>
    <row r="128" ht="12.0" customHeight="1">
      <c r="A128" s="437" t="s">
        <v>2196</v>
      </c>
      <c r="B128" s="437" t="s">
        <v>2197</v>
      </c>
      <c r="C128" s="450" t="s">
        <v>1649</v>
      </c>
      <c r="D128" s="439">
        <f>'RM Rollforward'!H258</f>
        <v>0</v>
      </c>
      <c r="E128" s="451">
        <v>5.0</v>
      </c>
      <c r="F128" s="169">
        <v>1.0</v>
      </c>
      <c r="G128" s="441">
        <f t="shared" si="1"/>
        <v>0</v>
      </c>
      <c r="H128" s="180"/>
    </row>
    <row r="129" ht="12.0" customHeight="1">
      <c r="A129" s="437" t="s">
        <v>2198</v>
      </c>
      <c r="B129" s="437" t="s">
        <v>2199</v>
      </c>
      <c r="C129" s="450" t="s">
        <v>1649</v>
      </c>
      <c r="D129" s="439">
        <f>'RM Rollforward'!H259</f>
        <v>71</v>
      </c>
      <c r="E129" s="451">
        <v>5.0</v>
      </c>
      <c r="F129" s="169">
        <v>1.0</v>
      </c>
      <c r="G129" s="441">
        <f t="shared" si="1"/>
        <v>355</v>
      </c>
      <c r="H129" s="180"/>
    </row>
    <row r="130" ht="12.0" customHeight="1">
      <c r="A130" s="437" t="s">
        <v>2200</v>
      </c>
      <c r="B130" s="437" t="s">
        <v>2201</v>
      </c>
      <c r="C130" s="450" t="s">
        <v>1649</v>
      </c>
      <c r="D130" s="439">
        <f>'RM Rollforward'!H260</f>
        <v>0</v>
      </c>
      <c r="E130" s="451">
        <v>5.0</v>
      </c>
      <c r="F130" s="169">
        <v>1.0</v>
      </c>
      <c r="G130" s="441">
        <f t="shared" si="1"/>
        <v>0</v>
      </c>
      <c r="H130" s="180"/>
    </row>
    <row r="131" ht="12.0" customHeight="1">
      <c r="A131" s="437" t="s">
        <v>2202</v>
      </c>
      <c r="B131" s="437" t="s">
        <v>2203</v>
      </c>
      <c r="C131" s="450" t="s">
        <v>1649</v>
      </c>
      <c r="D131" s="439">
        <f>'RM Rollforward'!H262</f>
        <v>78</v>
      </c>
      <c r="E131" s="451">
        <v>5.0</v>
      </c>
      <c r="F131" s="169">
        <v>1.0</v>
      </c>
      <c r="G131" s="441">
        <f t="shared" si="1"/>
        <v>390</v>
      </c>
      <c r="H131" s="180"/>
    </row>
    <row r="132" ht="12.0" customHeight="1">
      <c r="A132" s="437" t="s">
        <v>2204</v>
      </c>
      <c r="B132" s="437" t="s">
        <v>2205</v>
      </c>
      <c r="C132" s="450" t="s">
        <v>1649</v>
      </c>
      <c r="D132" s="439">
        <f>'RM Rollforward'!H263</f>
        <v>222</v>
      </c>
      <c r="E132" s="451">
        <v>5.0</v>
      </c>
      <c r="F132" s="169">
        <v>1.0</v>
      </c>
      <c r="G132" s="441">
        <f t="shared" si="1"/>
        <v>1110</v>
      </c>
      <c r="H132" s="180"/>
    </row>
    <row r="133" ht="12.0" customHeight="1">
      <c r="A133" s="437" t="s">
        <v>2206</v>
      </c>
      <c r="B133" s="437" t="s">
        <v>2207</v>
      </c>
      <c r="C133" s="450" t="s">
        <v>1649</v>
      </c>
      <c r="D133" s="439">
        <f>'RM Rollforward'!H264</f>
        <v>-2</v>
      </c>
      <c r="E133" s="451">
        <v>5.0</v>
      </c>
      <c r="F133" s="169">
        <v>1.0</v>
      </c>
      <c r="G133" s="441">
        <f t="shared" si="1"/>
        <v>-10</v>
      </c>
      <c r="H133" s="180"/>
    </row>
    <row r="134" ht="12.0" customHeight="1">
      <c r="A134" s="437" t="s">
        <v>2208</v>
      </c>
      <c r="B134" s="437" t="s">
        <v>428</v>
      </c>
      <c r="C134" s="450" t="s">
        <v>1649</v>
      </c>
      <c r="D134" s="439">
        <f>'RM Rollforward'!H265</f>
        <v>0</v>
      </c>
      <c r="E134" s="451">
        <v>5.0</v>
      </c>
      <c r="F134" s="169">
        <v>1.0</v>
      </c>
      <c r="G134" s="441">
        <f t="shared" si="1"/>
        <v>0</v>
      </c>
      <c r="H134" s="180"/>
    </row>
    <row r="135" ht="12.0" customHeight="1">
      <c r="A135" s="437" t="s">
        <v>2209</v>
      </c>
      <c r="B135" s="437" t="s">
        <v>2210</v>
      </c>
      <c r="C135" s="450" t="s">
        <v>1649</v>
      </c>
      <c r="D135" s="439">
        <f>'RM Rollforward'!H266</f>
        <v>0</v>
      </c>
      <c r="E135" s="451">
        <v>5.0</v>
      </c>
      <c r="F135" s="169">
        <v>1.0</v>
      </c>
      <c r="G135" s="441">
        <f t="shared" si="1"/>
        <v>0</v>
      </c>
      <c r="H135" s="180"/>
    </row>
    <row r="136" ht="12.0" customHeight="1">
      <c r="A136" s="437" t="s">
        <v>2211</v>
      </c>
      <c r="B136" s="437" t="s">
        <v>376</v>
      </c>
      <c r="C136" s="450" t="s">
        <v>1649</v>
      </c>
      <c r="D136" s="439">
        <f>'RM Rollforward'!H267</f>
        <v>0</v>
      </c>
      <c r="E136" s="451">
        <v>5.0</v>
      </c>
      <c r="F136" s="169">
        <v>1.0</v>
      </c>
      <c r="G136" s="441">
        <f t="shared" si="1"/>
        <v>0</v>
      </c>
      <c r="H136" s="180"/>
    </row>
    <row r="137" ht="12.0" customHeight="1">
      <c r="A137" s="437" t="s">
        <v>2212</v>
      </c>
      <c r="B137" s="437" t="s">
        <v>422</v>
      </c>
      <c r="C137" s="450" t="s">
        <v>1649</v>
      </c>
      <c r="D137" s="439">
        <f>'RM Rollforward'!H268</f>
        <v>0</v>
      </c>
      <c r="E137" s="451">
        <v>5.0</v>
      </c>
      <c r="F137" s="169">
        <v>1.0</v>
      </c>
      <c r="G137" s="441">
        <f t="shared" si="1"/>
        <v>0</v>
      </c>
      <c r="H137" s="180"/>
    </row>
    <row r="138" ht="12.0" customHeight="1">
      <c r="A138" s="437" t="s">
        <v>2213</v>
      </c>
      <c r="B138" s="437" t="s">
        <v>1022</v>
      </c>
      <c r="C138" s="450" t="s">
        <v>1649</v>
      </c>
      <c r="D138" s="439">
        <f>'RM Rollforward'!H269</f>
        <v>0</v>
      </c>
      <c r="E138" s="451">
        <v>5.0</v>
      </c>
      <c r="F138" s="169">
        <v>1.0</v>
      </c>
      <c r="G138" s="441">
        <f t="shared" si="1"/>
        <v>0</v>
      </c>
      <c r="H138" s="180"/>
    </row>
    <row r="139" ht="12.0" customHeight="1">
      <c r="A139" s="437" t="s">
        <v>2214</v>
      </c>
      <c r="B139" s="437" t="s">
        <v>1024</v>
      </c>
      <c r="C139" s="450" t="s">
        <v>1649</v>
      </c>
      <c r="D139" s="439">
        <f>'RM Rollforward'!H270</f>
        <v>94</v>
      </c>
      <c r="E139" s="451">
        <v>5.0</v>
      </c>
      <c r="F139" s="169">
        <v>1.0</v>
      </c>
      <c r="G139" s="441">
        <f t="shared" si="1"/>
        <v>470</v>
      </c>
      <c r="H139" s="180"/>
    </row>
    <row r="140" ht="12.0" customHeight="1">
      <c r="A140" s="437" t="s">
        <v>2215</v>
      </c>
      <c r="B140" s="437" t="s">
        <v>2216</v>
      </c>
      <c r="C140" s="450" t="s">
        <v>1649</v>
      </c>
      <c r="D140" s="439">
        <f>'RM Rollforward'!H271</f>
        <v>118</v>
      </c>
      <c r="E140" s="451">
        <v>5.0</v>
      </c>
      <c r="F140" s="169">
        <v>1.0</v>
      </c>
      <c r="G140" s="441">
        <f t="shared" si="1"/>
        <v>590</v>
      </c>
      <c r="H140" s="180"/>
    </row>
    <row r="141" ht="12.0" customHeight="1">
      <c r="A141" s="437" t="s">
        <v>2217</v>
      </c>
      <c r="B141" s="437" t="s">
        <v>2218</v>
      </c>
      <c r="C141" s="450" t="s">
        <v>1649</v>
      </c>
      <c r="D141" s="439">
        <f>'RM Rollforward'!H272</f>
        <v>160</v>
      </c>
      <c r="E141" s="451">
        <v>5.0</v>
      </c>
      <c r="F141" s="169">
        <v>1.0</v>
      </c>
      <c r="G141" s="441">
        <f t="shared" si="1"/>
        <v>800</v>
      </c>
      <c r="H141" s="180"/>
    </row>
    <row r="142" ht="12.0" customHeight="1">
      <c r="A142" s="437" t="s">
        <v>2219</v>
      </c>
      <c r="B142" s="437" t="s">
        <v>2220</v>
      </c>
      <c r="C142" s="450" t="s">
        <v>1649</v>
      </c>
      <c r="D142" s="439">
        <f>'RM Rollforward'!H273</f>
        <v>114</v>
      </c>
      <c r="E142" s="451">
        <v>5.0</v>
      </c>
      <c r="F142" s="169">
        <v>1.0</v>
      </c>
      <c r="G142" s="441">
        <f t="shared" si="1"/>
        <v>570</v>
      </c>
      <c r="H142" s="180"/>
    </row>
    <row r="143" ht="12.0" customHeight="1">
      <c r="A143" s="437" t="s">
        <v>2221</v>
      </c>
      <c r="B143" s="437" t="s">
        <v>2222</v>
      </c>
      <c r="C143" s="450" t="s">
        <v>1649</v>
      </c>
      <c r="D143" s="439">
        <f>'RM Rollforward'!H274</f>
        <v>192</v>
      </c>
      <c r="E143" s="451">
        <v>5.0</v>
      </c>
      <c r="F143" s="169">
        <v>1.0</v>
      </c>
      <c r="G143" s="441">
        <f t="shared" si="1"/>
        <v>960</v>
      </c>
      <c r="H143" s="180"/>
    </row>
    <row r="144" ht="12.0" customHeight="1">
      <c r="A144" s="437" t="s">
        <v>2223</v>
      </c>
      <c r="B144" s="437" t="s">
        <v>2224</v>
      </c>
      <c r="C144" s="450" t="s">
        <v>1649</v>
      </c>
      <c r="D144" s="439">
        <f>'RM Rollforward'!H275</f>
        <v>40</v>
      </c>
      <c r="E144" s="451">
        <v>5.0</v>
      </c>
      <c r="F144" s="169">
        <v>1.0</v>
      </c>
      <c r="G144" s="441">
        <f t="shared" si="1"/>
        <v>200</v>
      </c>
      <c r="H144" s="180"/>
    </row>
    <row r="145" ht="12.0" customHeight="1">
      <c r="A145" s="437" t="s">
        <v>2225</v>
      </c>
      <c r="B145" s="437" t="s">
        <v>2226</v>
      </c>
      <c r="C145" s="450" t="s">
        <v>1649</v>
      </c>
      <c r="D145" s="439">
        <f>'RM Rollforward'!H276</f>
        <v>124</v>
      </c>
      <c r="E145" s="451">
        <v>5.0</v>
      </c>
      <c r="F145" s="169">
        <v>1.0</v>
      </c>
      <c r="G145" s="441">
        <f t="shared" si="1"/>
        <v>620</v>
      </c>
      <c r="H145" s="180"/>
    </row>
    <row r="146" ht="12.0" customHeight="1">
      <c r="A146" s="437" t="s">
        <v>2227</v>
      </c>
      <c r="B146" s="437" t="s">
        <v>2228</v>
      </c>
      <c r="C146" s="450" t="s">
        <v>1649</v>
      </c>
      <c r="D146" s="439">
        <f>'RM Rollforward'!H277</f>
        <v>129</v>
      </c>
      <c r="E146" s="451">
        <v>5.0</v>
      </c>
      <c r="F146" s="169">
        <v>1.0</v>
      </c>
      <c r="G146" s="441">
        <f t="shared" si="1"/>
        <v>645</v>
      </c>
      <c r="H146" s="180"/>
    </row>
    <row r="147" ht="12.0" customHeight="1">
      <c r="A147" s="437" t="s">
        <v>2229</v>
      </c>
      <c r="B147" s="437" t="s">
        <v>2230</v>
      </c>
      <c r="C147" s="450" t="s">
        <v>1649</v>
      </c>
      <c r="D147" s="439">
        <f>'RM Rollforward'!H278</f>
        <v>0</v>
      </c>
      <c r="E147" s="451">
        <v>5.0</v>
      </c>
      <c r="F147" s="169">
        <v>1.0</v>
      </c>
      <c r="G147" s="441">
        <f t="shared" si="1"/>
        <v>0</v>
      </c>
      <c r="H147" s="180"/>
    </row>
    <row r="148" ht="12.0" customHeight="1">
      <c r="A148" s="437" t="s">
        <v>802</v>
      </c>
      <c r="B148" s="437" t="s">
        <v>388</v>
      </c>
      <c r="C148" s="438" t="s">
        <v>2231</v>
      </c>
      <c r="D148" s="439">
        <f>'RM Rollforward'!H301</f>
        <v>59</v>
      </c>
      <c r="E148" s="454">
        <v>0.25</v>
      </c>
      <c r="F148" s="440">
        <v>500.0</v>
      </c>
      <c r="G148" s="441">
        <f t="shared" si="1"/>
        <v>7375</v>
      </c>
      <c r="H148" s="169"/>
    </row>
    <row r="149" ht="12.0" customHeight="1">
      <c r="A149" s="437" t="s">
        <v>804</v>
      </c>
      <c r="B149" s="437" t="s">
        <v>302</v>
      </c>
      <c r="C149" s="438" t="s">
        <v>2231</v>
      </c>
      <c r="D149" s="439">
        <f>'RM Rollforward'!H302</f>
        <v>20</v>
      </c>
      <c r="E149" s="454">
        <v>0.25</v>
      </c>
      <c r="F149" s="440">
        <v>500.0</v>
      </c>
      <c r="G149" s="441">
        <f t="shared" si="1"/>
        <v>2500</v>
      </c>
      <c r="H149" s="169"/>
    </row>
    <row r="150" ht="12.0" customHeight="1">
      <c r="A150" s="437" t="s">
        <v>252</v>
      </c>
      <c r="B150" s="437" t="s">
        <v>340</v>
      </c>
      <c r="C150" s="438" t="s">
        <v>2231</v>
      </c>
      <c r="D150" s="439">
        <f>'RM Rollforward'!H303</f>
        <v>3</v>
      </c>
      <c r="E150" s="454">
        <v>0.25</v>
      </c>
      <c r="F150" s="440">
        <v>500.0</v>
      </c>
      <c r="G150" s="441">
        <f t="shared" si="1"/>
        <v>375</v>
      </c>
      <c r="H150" s="169"/>
    </row>
    <row r="151" ht="12.0" customHeight="1">
      <c r="A151" s="437" t="s">
        <v>268</v>
      </c>
      <c r="B151" s="437" t="s">
        <v>336</v>
      </c>
      <c r="C151" s="438" t="s">
        <v>2231</v>
      </c>
      <c r="D151" s="439">
        <f>'RM Rollforward'!H304</f>
        <v>0</v>
      </c>
      <c r="E151" s="454">
        <v>0.25</v>
      </c>
      <c r="F151" s="440">
        <v>500.0</v>
      </c>
      <c r="G151" s="441">
        <f t="shared" si="1"/>
        <v>0</v>
      </c>
      <c r="H151" s="169"/>
      <c r="I151" s="180" t="s">
        <v>0</v>
      </c>
    </row>
    <row r="152" ht="12.0" customHeight="1">
      <c r="A152" s="437" t="s">
        <v>240</v>
      </c>
      <c r="B152" s="437" t="s">
        <v>1070</v>
      </c>
      <c r="C152" s="438" t="s">
        <v>2231</v>
      </c>
      <c r="D152" s="439">
        <f>'RM Rollforward'!H305</f>
        <v>0</v>
      </c>
      <c r="E152" s="454">
        <v>0.25</v>
      </c>
      <c r="F152" s="440">
        <v>500.0</v>
      </c>
      <c r="G152" s="441">
        <f t="shared" si="1"/>
        <v>0</v>
      </c>
      <c r="H152" s="169"/>
    </row>
    <row r="153" ht="12.0" customHeight="1">
      <c r="A153" s="437" t="s">
        <v>806</v>
      </c>
      <c r="B153" s="437" t="s">
        <v>410</v>
      </c>
      <c r="C153" s="438" t="s">
        <v>2231</v>
      </c>
      <c r="D153" s="439">
        <f>'RM Rollforward'!H306</f>
        <v>20</v>
      </c>
      <c r="E153" s="454">
        <v>0.25</v>
      </c>
      <c r="F153" s="440">
        <v>500.0</v>
      </c>
      <c r="G153" s="441">
        <f t="shared" si="1"/>
        <v>2500</v>
      </c>
      <c r="H153" s="169"/>
    </row>
    <row r="154" ht="12.0" customHeight="1">
      <c r="A154" s="437" t="s">
        <v>258</v>
      </c>
      <c r="B154" s="437" t="s">
        <v>1072</v>
      </c>
      <c r="C154" s="438" t="s">
        <v>2231</v>
      </c>
      <c r="D154" s="439">
        <f>'RM Rollforward'!H307</f>
        <v>0</v>
      </c>
      <c r="E154" s="454">
        <v>0.25</v>
      </c>
      <c r="F154" s="440">
        <v>500.0</v>
      </c>
      <c r="G154" s="441">
        <f t="shared" si="1"/>
        <v>0</v>
      </c>
      <c r="H154" s="169"/>
    </row>
    <row r="155" ht="12.0" customHeight="1">
      <c r="A155" s="437" t="s">
        <v>254</v>
      </c>
      <c r="B155" s="437" t="s">
        <v>710</v>
      </c>
      <c r="C155" s="438" t="s">
        <v>2231</v>
      </c>
      <c r="D155" s="439">
        <f>'RM Rollforward'!H308</f>
        <v>0</v>
      </c>
      <c r="E155" s="454">
        <v>0.25</v>
      </c>
      <c r="F155" s="440">
        <v>500.0</v>
      </c>
      <c r="G155" s="441">
        <f t="shared" si="1"/>
        <v>0</v>
      </c>
      <c r="H155" s="169"/>
    </row>
    <row r="156" ht="12.0" customHeight="1">
      <c r="A156" s="437" t="s">
        <v>808</v>
      </c>
      <c r="B156" s="437" t="s">
        <v>1075</v>
      </c>
      <c r="C156" s="438" t="s">
        <v>2231</v>
      </c>
      <c r="D156" s="439">
        <f>'RM Rollforward'!H309</f>
        <v>0</v>
      </c>
      <c r="E156" s="454">
        <v>0.25</v>
      </c>
      <c r="F156" s="440">
        <v>500.0</v>
      </c>
      <c r="G156" s="441">
        <f t="shared" si="1"/>
        <v>0</v>
      </c>
      <c r="H156" s="169"/>
    </row>
    <row r="157" ht="12.0" customHeight="1">
      <c r="A157" s="437" t="s">
        <v>810</v>
      </c>
      <c r="B157" s="437" t="s">
        <v>1077</v>
      </c>
      <c r="C157" s="438" t="s">
        <v>2231</v>
      </c>
      <c r="D157" s="439">
        <f>'RM Rollforward'!H310</f>
        <v>0</v>
      </c>
      <c r="E157" s="454">
        <v>0.25</v>
      </c>
      <c r="F157" s="440">
        <v>500.0</v>
      </c>
      <c r="G157" s="441">
        <f t="shared" si="1"/>
        <v>0</v>
      </c>
      <c r="H157" s="169"/>
    </row>
    <row r="158" ht="12.0" customHeight="1">
      <c r="A158" s="437" t="s">
        <v>242</v>
      </c>
      <c r="B158" s="437" t="s">
        <v>1079</v>
      </c>
      <c r="C158" s="438" t="s">
        <v>2231</v>
      </c>
      <c r="D158" s="439">
        <f>'RM Rollforward'!H311</f>
        <v>0</v>
      </c>
      <c r="E158" s="454">
        <v>0.25</v>
      </c>
      <c r="F158" s="440">
        <v>500.0</v>
      </c>
      <c r="G158" s="441">
        <f t="shared" si="1"/>
        <v>0</v>
      </c>
      <c r="H158" s="169"/>
    </row>
    <row r="159" ht="12.0" customHeight="1">
      <c r="A159" s="437" t="s">
        <v>266</v>
      </c>
      <c r="B159" s="437" t="s">
        <v>1081</v>
      </c>
      <c r="C159" s="438" t="s">
        <v>2231</v>
      </c>
      <c r="D159" s="439">
        <f>'RM Rollforward'!H312</f>
        <v>0</v>
      </c>
      <c r="E159" s="454">
        <v>0.25</v>
      </c>
      <c r="F159" s="440">
        <v>500.0</v>
      </c>
      <c r="G159" s="441">
        <f t="shared" si="1"/>
        <v>0</v>
      </c>
      <c r="H159" s="169"/>
    </row>
    <row r="160" ht="12.0" customHeight="1">
      <c r="A160" s="437" t="s">
        <v>246</v>
      </c>
      <c r="B160" s="437" t="s">
        <v>1084</v>
      </c>
      <c r="C160" s="438" t="s">
        <v>2231</v>
      </c>
      <c r="D160" s="439">
        <f>'RM Rollforward'!H313</f>
        <v>11</v>
      </c>
      <c r="E160" s="454">
        <v>0.25</v>
      </c>
      <c r="F160" s="440">
        <v>500.0</v>
      </c>
      <c r="G160" s="441">
        <f t="shared" si="1"/>
        <v>1375</v>
      </c>
      <c r="H160" s="169"/>
    </row>
    <row r="161" ht="12.0" customHeight="1">
      <c r="A161" s="437" t="s">
        <v>812</v>
      </c>
      <c r="B161" s="437" t="s">
        <v>1086</v>
      </c>
      <c r="C161" s="438" t="s">
        <v>2231</v>
      </c>
      <c r="D161" s="439">
        <f>'RM Rollforward'!H314</f>
        <v>21</v>
      </c>
      <c r="E161" s="454">
        <v>0.25</v>
      </c>
      <c r="F161" s="440">
        <v>500.0</v>
      </c>
      <c r="G161" s="441">
        <f t="shared" si="1"/>
        <v>2625</v>
      </c>
      <c r="H161" s="169"/>
    </row>
    <row r="162" ht="12.0" customHeight="1">
      <c r="A162" s="437" t="s">
        <v>248</v>
      </c>
      <c r="B162" s="437" t="s">
        <v>1088</v>
      </c>
      <c r="C162" s="438" t="s">
        <v>2231</v>
      </c>
      <c r="D162" s="439">
        <f>'RM Rollforward'!H315</f>
        <v>28</v>
      </c>
      <c r="E162" s="454">
        <v>0.25</v>
      </c>
      <c r="F162" s="440">
        <v>500.0</v>
      </c>
      <c r="G162" s="441">
        <f t="shared" si="1"/>
        <v>3500</v>
      </c>
      <c r="H162" s="169"/>
    </row>
    <row r="163" ht="12.0" customHeight="1">
      <c r="A163" s="437" t="s">
        <v>264</v>
      </c>
      <c r="B163" s="437" t="s">
        <v>1090</v>
      </c>
      <c r="C163" s="438" t="s">
        <v>2231</v>
      </c>
      <c r="D163" s="439">
        <f>'RM Rollforward'!H316</f>
        <v>0</v>
      </c>
      <c r="E163" s="454">
        <v>0.25</v>
      </c>
      <c r="F163" s="440">
        <v>500.0</v>
      </c>
      <c r="G163" s="441">
        <f t="shared" si="1"/>
        <v>0</v>
      </c>
      <c r="H163" s="169"/>
    </row>
    <row r="164" ht="12.0" customHeight="1">
      <c r="A164" s="437" t="s">
        <v>814</v>
      </c>
      <c r="B164" s="437" t="s">
        <v>306</v>
      </c>
      <c r="C164" s="438" t="s">
        <v>2231</v>
      </c>
      <c r="D164" s="439">
        <f>'RM Rollforward'!H317</f>
        <v>0</v>
      </c>
      <c r="E164" s="454">
        <v>0.25</v>
      </c>
      <c r="F164" s="440">
        <v>500.0</v>
      </c>
      <c r="G164" s="441">
        <f t="shared" si="1"/>
        <v>0</v>
      </c>
      <c r="H164" s="169"/>
    </row>
    <row r="165" ht="12.0" customHeight="1">
      <c r="A165" s="437" t="s">
        <v>270</v>
      </c>
      <c r="B165" s="437" t="s">
        <v>384</v>
      </c>
      <c r="C165" s="438" t="s">
        <v>2231</v>
      </c>
      <c r="D165" s="439">
        <f>'RM Rollforward'!H318</f>
        <v>2</v>
      </c>
      <c r="E165" s="454">
        <v>0.25</v>
      </c>
      <c r="F165" s="440">
        <v>500.0</v>
      </c>
      <c r="G165" s="441">
        <f t="shared" si="1"/>
        <v>250</v>
      </c>
      <c r="H165" s="169"/>
    </row>
    <row r="166" ht="12.0" customHeight="1">
      <c r="A166" s="437" t="s">
        <v>816</v>
      </c>
      <c r="B166" s="437" t="s">
        <v>372</v>
      </c>
      <c r="C166" s="438" t="s">
        <v>2231</v>
      </c>
      <c r="D166" s="439">
        <f>'RM Rollforward'!H319</f>
        <v>0</v>
      </c>
      <c r="E166" s="454">
        <v>0.25</v>
      </c>
      <c r="F166" s="440">
        <v>500.0</v>
      </c>
      <c r="G166" s="441">
        <f t="shared" si="1"/>
        <v>0</v>
      </c>
      <c r="H166" s="442"/>
    </row>
    <row r="167" ht="12.0" customHeight="1">
      <c r="A167" s="437" t="s">
        <v>818</v>
      </c>
      <c r="B167" s="437" t="s">
        <v>1092</v>
      </c>
      <c r="C167" s="438" t="s">
        <v>2231</v>
      </c>
      <c r="D167" s="439">
        <f>'RM Rollforward'!H320</f>
        <v>0</v>
      </c>
      <c r="E167" s="454">
        <v>0.25</v>
      </c>
      <c r="F167" s="440">
        <v>500.0</v>
      </c>
      <c r="G167" s="441">
        <f t="shared" si="1"/>
        <v>0</v>
      </c>
      <c r="H167" s="169"/>
    </row>
    <row r="168" ht="12.0" customHeight="1">
      <c r="A168" s="437" t="s">
        <v>820</v>
      </c>
      <c r="B168" s="437" t="s">
        <v>2232</v>
      </c>
      <c r="C168" s="438" t="s">
        <v>2231</v>
      </c>
      <c r="D168" s="439">
        <f>'RM Rollforward'!H321</f>
        <v>38</v>
      </c>
      <c r="E168" s="454">
        <v>0.25</v>
      </c>
      <c r="F168" s="440">
        <v>500.0</v>
      </c>
      <c r="G168" s="441">
        <f t="shared" si="1"/>
        <v>4750</v>
      </c>
      <c r="H168" s="169"/>
    </row>
    <row r="169" ht="12.0" customHeight="1">
      <c r="A169" s="437" t="s">
        <v>822</v>
      </c>
      <c r="B169" s="437" t="s">
        <v>2233</v>
      </c>
      <c r="C169" s="438" t="s">
        <v>2231</v>
      </c>
      <c r="D169" s="439">
        <f>'RM Rollforward'!H322</f>
        <v>7</v>
      </c>
      <c r="E169" s="454">
        <v>0.25</v>
      </c>
      <c r="F169" s="440">
        <v>500.0</v>
      </c>
      <c r="G169" s="441">
        <f t="shared" si="1"/>
        <v>875</v>
      </c>
      <c r="H169" s="169"/>
    </row>
    <row r="170" ht="12.0" customHeight="1">
      <c r="A170" s="437" t="s">
        <v>824</v>
      </c>
      <c r="B170" s="437" t="s">
        <v>2234</v>
      </c>
      <c r="C170" s="438" t="s">
        <v>2231</v>
      </c>
      <c r="D170" s="439">
        <f>'RM Rollforward'!H323</f>
        <v>61</v>
      </c>
      <c r="E170" s="454">
        <v>0.25</v>
      </c>
      <c r="F170" s="440">
        <v>500.0</v>
      </c>
      <c r="G170" s="441">
        <f t="shared" si="1"/>
        <v>7625</v>
      </c>
      <c r="H170" s="169"/>
    </row>
    <row r="171" ht="12.0" customHeight="1">
      <c r="A171" s="437" t="s">
        <v>826</v>
      </c>
      <c r="B171" s="437" t="s">
        <v>2235</v>
      </c>
      <c r="C171" s="438" t="s">
        <v>2231</v>
      </c>
      <c r="D171" s="439">
        <f>'RM Rollforward'!H324</f>
        <v>31</v>
      </c>
      <c r="E171" s="454">
        <v>0.25</v>
      </c>
      <c r="F171" s="440">
        <v>500.0</v>
      </c>
      <c r="G171" s="441">
        <f t="shared" si="1"/>
        <v>3875</v>
      </c>
      <c r="H171" s="169"/>
    </row>
    <row r="172" ht="12.0" customHeight="1">
      <c r="A172" s="437" t="s">
        <v>828</v>
      </c>
      <c r="B172" s="437" t="s">
        <v>2236</v>
      </c>
      <c r="C172" s="438" t="s">
        <v>2231</v>
      </c>
      <c r="D172" s="439">
        <f>'RM Rollforward'!H325</f>
        <v>0</v>
      </c>
      <c r="E172" s="454">
        <v>0.25</v>
      </c>
      <c r="F172" s="440">
        <v>500.0</v>
      </c>
      <c r="G172" s="441">
        <f t="shared" si="1"/>
        <v>0</v>
      </c>
      <c r="H172" s="169"/>
    </row>
    <row r="173" ht="12.0" customHeight="1">
      <c r="A173" s="437" t="s">
        <v>830</v>
      </c>
      <c r="B173" s="437" t="s">
        <v>2237</v>
      </c>
      <c r="C173" s="438" t="s">
        <v>2231</v>
      </c>
      <c r="D173" s="439">
        <f>'RM Rollforward'!H326</f>
        <v>32</v>
      </c>
      <c r="E173" s="454">
        <v>0.25</v>
      </c>
      <c r="F173" s="440">
        <v>500.0</v>
      </c>
      <c r="G173" s="441">
        <f t="shared" si="1"/>
        <v>4000</v>
      </c>
      <c r="H173" s="169"/>
    </row>
    <row r="174" ht="12.0" customHeight="1">
      <c r="A174" s="437" t="s">
        <v>832</v>
      </c>
      <c r="B174" s="437" t="s">
        <v>2238</v>
      </c>
      <c r="C174" s="438" t="s">
        <v>2231</v>
      </c>
      <c r="D174" s="439">
        <f>'RM Rollforward'!H327</f>
        <v>13</v>
      </c>
      <c r="E174" s="454">
        <v>0.25</v>
      </c>
      <c r="F174" s="440">
        <v>500.0</v>
      </c>
      <c r="G174" s="441">
        <f t="shared" si="1"/>
        <v>1625</v>
      </c>
      <c r="H174" s="169"/>
    </row>
    <row r="175" ht="12.0" customHeight="1">
      <c r="A175" s="437" t="s">
        <v>834</v>
      </c>
      <c r="B175" s="437" t="s">
        <v>2239</v>
      </c>
      <c r="C175" s="438" t="s">
        <v>2231</v>
      </c>
      <c r="D175" s="439">
        <f>'RM Rollforward'!H328</f>
        <v>17</v>
      </c>
      <c r="E175" s="454">
        <v>0.25</v>
      </c>
      <c r="F175" s="440">
        <v>500.0</v>
      </c>
      <c r="G175" s="441">
        <f t="shared" si="1"/>
        <v>2125</v>
      </c>
      <c r="H175" s="169"/>
    </row>
    <row r="176" ht="12.0" customHeight="1">
      <c r="A176" s="437" t="s">
        <v>836</v>
      </c>
      <c r="B176" s="437" t="s">
        <v>1096</v>
      </c>
      <c r="C176" s="438" t="s">
        <v>2231</v>
      </c>
      <c r="D176" s="439">
        <f>'RM Rollforward'!H329</f>
        <v>9</v>
      </c>
      <c r="E176" s="454">
        <v>0.25</v>
      </c>
      <c r="F176" s="440">
        <v>500.0</v>
      </c>
      <c r="G176" s="441">
        <f t="shared" si="1"/>
        <v>1125</v>
      </c>
      <c r="H176" s="169"/>
    </row>
    <row r="177" ht="12.0" customHeight="1">
      <c r="A177" s="437" t="s">
        <v>838</v>
      </c>
      <c r="B177" s="437" t="s">
        <v>1098</v>
      </c>
      <c r="C177" s="438" t="s">
        <v>2231</v>
      </c>
      <c r="D177" s="439">
        <f>'RM Rollforward'!H330</f>
        <v>33</v>
      </c>
      <c r="E177" s="454">
        <v>0.25</v>
      </c>
      <c r="F177" s="440">
        <v>500.0</v>
      </c>
      <c r="G177" s="441">
        <f t="shared" si="1"/>
        <v>4125</v>
      </c>
      <c r="H177" s="169"/>
    </row>
    <row r="178" ht="12.0" customHeight="1">
      <c r="A178" s="437" t="s">
        <v>840</v>
      </c>
      <c r="B178" s="437" t="s">
        <v>1100</v>
      </c>
      <c r="C178" s="438" t="s">
        <v>2231</v>
      </c>
      <c r="D178" s="439">
        <f>'RM Rollforward'!H331</f>
        <v>93</v>
      </c>
      <c r="E178" s="454">
        <v>0.25</v>
      </c>
      <c r="F178" s="440">
        <v>500.0</v>
      </c>
      <c r="G178" s="441">
        <f t="shared" si="1"/>
        <v>11625</v>
      </c>
      <c r="H178" s="169"/>
    </row>
    <row r="179" ht="12.0" customHeight="1">
      <c r="A179" s="437" t="s">
        <v>842</v>
      </c>
      <c r="B179" s="437" t="s">
        <v>1102</v>
      </c>
      <c r="C179" s="438" t="s">
        <v>2231</v>
      </c>
      <c r="D179" s="439">
        <f>'RM Rollforward'!H332</f>
        <v>21</v>
      </c>
      <c r="E179" s="454">
        <v>0.25</v>
      </c>
      <c r="F179" s="440">
        <v>500.0</v>
      </c>
      <c r="G179" s="441">
        <f t="shared" si="1"/>
        <v>2625</v>
      </c>
      <c r="H179" s="169"/>
    </row>
    <row r="180" ht="12.0" customHeight="1">
      <c r="A180" s="437" t="s">
        <v>844</v>
      </c>
      <c r="B180" s="437" t="s">
        <v>1104</v>
      </c>
      <c r="C180" s="438" t="s">
        <v>2231</v>
      </c>
      <c r="D180" s="439">
        <f>'RM Rollforward'!H333</f>
        <v>13</v>
      </c>
      <c r="E180" s="454">
        <v>0.25</v>
      </c>
      <c r="F180" s="440">
        <v>500.0</v>
      </c>
      <c r="G180" s="441">
        <f t="shared" si="1"/>
        <v>1625</v>
      </c>
      <c r="H180" s="169"/>
    </row>
    <row r="181" ht="12.0" customHeight="1">
      <c r="A181" s="437" t="s">
        <v>846</v>
      </c>
      <c r="B181" s="437" t="s">
        <v>1106</v>
      </c>
      <c r="C181" s="438" t="s">
        <v>2231</v>
      </c>
      <c r="D181" s="439">
        <f>'RM Rollforward'!H334</f>
        <v>4</v>
      </c>
      <c r="E181" s="454">
        <v>0.25</v>
      </c>
      <c r="F181" s="440">
        <v>500.0</v>
      </c>
      <c r="G181" s="441">
        <f t="shared" si="1"/>
        <v>500</v>
      </c>
      <c r="H181" s="169"/>
    </row>
    <row r="182" ht="12.0" customHeight="1">
      <c r="A182" s="437" t="s">
        <v>848</v>
      </c>
      <c r="B182" s="437" t="s">
        <v>1108</v>
      </c>
      <c r="C182" s="438" t="s">
        <v>2231</v>
      </c>
      <c r="D182" s="439">
        <f>'RM Rollforward'!H335</f>
        <v>0</v>
      </c>
      <c r="E182" s="454">
        <v>0.25</v>
      </c>
      <c r="F182" s="440">
        <v>500.0</v>
      </c>
      <c r="G182" s="441">
        <f t="shared" si="1"/>
        <v>0</v>
      </c>
      <c r="H182" s="169"/>
    </row>
    <row r="183" ht="12.0" customHeight="1">
      <c r="A183" s="437" t="s">
        <v>850</v>
      </c>
      <c r="B183" s="437" t="s">
        <v>1110</v>
      </c>
      <c r="C183" s="438" t="s">
        <v>2231</v>
      </c>
      <c r="D183" s="439">
        <f>'RM Rollforward'!H336</f>
        <v>0</v>
      </c>
      <c r="E183" s="454">
        <v>0.25</v>
      </c>
      <c r="F183" s="440">
        <v>500.0</v>
      </c>
      <c r="G183" s="441">
        <f t="shared" si="1"/>
        <v>0</v>
      </c>
      <c r="H183" s="169"/>
    </row>
    <row r="184" ht="12.0" customHeight="1">
      <c r="A184" s="437" t="s">
        <v>852</v>
      </c>
      <c r="B184" s="437" t="s">
        <v>330</v>
      </c>
      <c r="C184" s="438" t="s">
        <v>2231</v>
      </c>
      <c r="D184" s="439">
        <f>'RM Rollforward'!H337</f>
        <v>0</v>
      </c>
      <c r="E184" s="454">
        <v>0.25</v>
      </c>
      <c r="F184" s="440">
        <v>500.0</v>
      </c>
      <c r="G184" s="441">
        <f t="shared" si="1"/>
        <v>0</v>
      </c>
      <c r="H184" s="169"/>
    </row>
    <row r="185" ht="12.0" customHeight="1">
      <c r="A185" s="437" t="s">
        <v>2240</v>
      </c>
      <c r="B185" s="437" t="s">
        <v>1112</v>
      </c>
      <c r="C185" s="438" t="s">
        <v>2231</v>
      </c>
      <c r="D185" s="439">
        <f>'RM Rollforward'!H338</f>
        <v>0</v>
      </c>
      <c r="E185" s="454">
        <v>0.25</v>
      </c>
      <c r="F185" s="440">
        <v>500.0</v>
      </c>
      <c r="G185" s="441">
        <f t="shared" si="1"/>
        <v>0</v>
      </c>
      <c r="H185" s="169"/>
    </row>
    <row r="186" ht="12.0" customHeight="1">
      <c r="A186" s="437" t="s">
        <v>2241</v>
      </c>
      <c r="B186" s="437" t="s">
        <v>360</v>
      </c>
      <c r="C186" s="438" t="s">
        <v>2231</v>
      </c>
      <c r="D186" s="439">
        <f>'RM Rollforward'!H339</f>
        <v>68</v>
      </c>
      <c r="E186" s="454">
        <v>0.25</v>
      </c>
      <c r="F186" s="440">
        <v>500.0</v>
      </c>
      <c r="G186" s="441">
        <f t="shared" si="1"/>
        <v>8500</v>
      </c>
      <c r="H186" s="169"/>
    </row>
    <row r="187" ht="12.0" customHeight="1">
      <c r="A187" s="437" t="s">
        <v>2242</v>
      </c>
      <c r="B187" s="437" t="s">
        <v>1114</v>
      </c>
      <c r="C187" s="438" t="s">
        <v>2231</v>
      </c>
      <c r="D187" s="439">
        <f>'RM Rollforward'!H340</f>
        <v>20</v>
      </c>
      <c r="E187" s="454">
        <v>0.25</v>
      </c>
      <c r="F187" s="440">
        <v>500.0</v>
      </c>
      <c r="G187" s="441">
        <f t="shared" si="1"/>
        <v>2500</v>
      </c>
      <c r="H187" s="169"/>
    </row>
    <row r="188" ht="12.0" customHeight="1">
      <c r="A188" s="437" t="s">
        <v>2243</v>
      </c>
      <c r="B188" s="437" t="s">
        <v>2244</v>
      </c>
      <c r="C188" s="438" t="s">
        <v>2231</v>
      </c>
      <c r="D188" s="439">
        <f>'RM Rollforward'!H341</f>
        <v>54</v>
      </c>
      <c r="E188" s="454">
        <v>0.25</v>
      </c>
      <c r="F188" s="440">
        <v>500.0</v>
      </c>
      <c r="G188" s="441">
        <f t="shared" si="1"/>
        <v>6750</v>
      </c>
      <c r="H188" s="169"/>
    </row>
    <row r="189" ht="12.0" customHeight="1">
      <c r="A189" s="437" t="s">
        <v>2245</v>
      </c>
      <c r="B189" s="437" t="s">
        <v>2246</v>
      </c>
      <c r="C189" s="438" t="s">
        <v>2231</v>
      </c>
      <c r="D189" s="439">
        <f>'RM Rollforward'!H342</f>
        <v>50</v>
      </c>
      <c r="E189" s="454">
        <v>0.25</v>
      </c>
      <c r="F189" s="440">
        <v>500.0</v>
      </c>
      <c r="G189" s="441">
        <f t="shared" si="1"/>
        <v>6250</v>
      </c>
      <c r="H189" s="169"/>
    </row>
    <row r="190" ht="12.0" customHeight="1">
      <c r="A190" s="437" t="s">
        <v>2247</v>
      </c>
      <c r="B190" s="437" t="s">
        <v>2248</v>
      </c>
      <c r="C190" s="438" t="s">
        <v>2231</v>
      </c>
      <c r="D190" s="439">
        <f>'RM Rollforward'!H343</f>
        <v>2</v>
      </c>
      <c r="E190" s="454">
        <v>0.25</v>
      </c>
      <c r="F190" s="440">
        <v>500.0</v>
      </c>
      <c r="G190" s="441">
        <f t="shared" si="1"/>
        <v>250</v>
      </c>
      <c r="H190" s="169"/>
    </row>
    <row r="191" ht="12.0" customHeight="1">
      <c r="A191" s="437" t="s">
        <v>2249</v>
      </c>
      <c r="B191" s="437" t="s">
        <v>2250</v>
      </c>
      <c r="C191" s="438" t="s">
        <v>2231</v>
      </c>
      <c r="D191" s="439">
        <f>'RM Rollforward'!H344</f>
        <v>13</v>
      </c>
      <c r="E191" s="454">
        <v>0.25</v>
      </c>
      <c r="F191" s="440">
        <v>500.0</v>
      </c>
      <c r="G191" s="441">
        <f t="shared" si="1"/>
        <v>1625</v>
      </c>
      <c r="H191" s="169"/>
    </row>
    <row r="192" ht="12.0" customHeight="1">
      <c r="A192" s="437" t="s">
        <v>2251</v>
      </c>
      <c r="B192" s="437" t="s">
        <v>322</v>
      </c>
      <c r="C192" s="438" t="s">
        <v>2231</v>
      </c>
      <c r="D192" s="439">
        <f>'RM Rollforward'!H345</f>
        <v>15</v>
      </c>
      <c r="E192" s="454">
        <v>0.25</v>
      </c>
      <c r="F192" s="440">
        <v>500.0</v>
      </c>
      <c r="G192" s="441">
        <f t="shared" si="1"/>
        <v>1875</v>
      </c>
      <c r="H192" s="169"/>
    </row>
    <row r="193" ht="12.0" customHeight="1">
      <c r="A193" s="437" t="s">
        <v>2252</v>
      </c>
      <c r="B193" s="437" t="s">
        <v>278</v>
      </c>
      <c r="C193" s="438" t="s">
        <v>2231</v>
      </c>
      <c r="D193" s="439">
        <f>'RM Rollforward'!H346</f>
        <v>114</v>
      </c>
      <c r="E193" s="454">
        <v>0.25</v>
      </c>
      <c r="F193" s="440">
        <v>500.0</v>
      </c>
      <c r="G193" s="441">
        <f t="shared" si="1"/>
        <v>14250</v>
      </c>
      <c r="H193" s="169"/>
    </row>
    <row r="194" ht="12.0" customHeight="1">
      <c r="A194" s="437" t="s">
        <v>2253</v>
      </c>
      <c r="B194" s="437" t="s">
        <v>332</v>
      </c>
      <c r="C194" s="438" t="s">
        <v>2231</v>
      </c>
      <c r="D194" s="439">
        <f>'RM Rollforward'!H347</f>
        <v>82</v>
      </c>
      <c r="E194" s="454">
        <v>0.25</v>
      </c>
      <c r="F194" s="440">
        <v>500.0</v>
      </c>
      <c r="G194" s="441">
        <f t="shared" si="1"/>
        <v>10250</v>
      </c>
      <c r="H194" s="169"/>
    </row>
    <row r="195" ht="12.0" customHeight="1">
      <c r="A195" s="437" t="s">
        <v>2254</v>
      </c>
      <c r="B195" s="437" t="s">
        <v>338</v>
      </c>
      <c r="C195" s="438" t="s">
        <v>2231</v>
      </c>
      <c r="D195" s="439">
        <f>'RM Rollforward'!H348</f>
        <v>34</v>
      </c>
      <c r="E195" s="454">
        <v>0.25</v>
      </c>
      <c r="F195" s="440">
        <v>500.0</v>
      </c>
      <c r="G195" s="441">
        <f t="shared" si="1"/>
        <v>4250</v>
      </c>
      <c r="H195" s="169"/>
    </row>
    <row r="196" ht="12.0" customHeight="1">
      <c r="A196" s="437" t="s">
        <v>2255</v>
      </c>
      <c r="B196" s="437" t="s">
        <v>368</v>
      </c>
      <c r="C196" s="438" t="s">
        <v>2231</v>
      </c>
      <c r="D196" s="439">
        <f>'RM Rollforward'!H349</f>
        <v>59</v>
      </c>
      <c r="E196" s="454">
        <v>0.25</v>
      </c>
      <c r="F196" s="440">
        <v>500.0</v>
      </c>
      <c r="G196" s="441">
        <f t="shared" si="1"/>
        <v>7375</v>
      </c>
      <c r="H196" s="169"/>
    </row>
    <row r="197" ht="12.0" customHeight="1">
      <c r="A197" s="437" t="s">
        <v>2256</v>
      </c>
      <c r="B197" s="437" t="s">
        <v>370</v>
      </c>
      <c r="C197" s="438" t="s">
        <v>2231</v>
      </c>
      <c r="D197" s="439">
        <f>'RM Rollforward'!H350</f>
        <v>50</v>
      </c>
      <c r="E197" s="454">
        <v>0.25</v>
      </c>
      <c r="F197" s="440">
        <v>500.0</v>
      </c>
      <c r="G197" s="441">
        <f t="shared" si="1"/>
        <v>6250</v>
      </c>
      <c r="H197" s="169"/>
    </row>
    <row r="198" ht="12.0" customHeight="1">
      <c r="A198" s="437" t="s">
        <v>2257</v>
      </c>
      <c r="B198" s="437" t="s">
        <v>1116</v>
      </c>
      <c r="C198" s="438" t="s">
        <v>2231</v>
      </c>
      <c r="D198" s="439">
        <f>'RM Rollforward'!H351</f>
        <v>84</v>
      </c>
      <c r="E198" s="454">
        <v>0.25</v>
      </c>
      <c r="F198" s="440">
        <v>500.0</v>
      </c>
      <c r="G198" s="441">
        <f t="shared" si="1"/>
        <v>10500</v>
      </c>
      <c r="H198" s="169"/>
    </row>
    <row r="199" ht="12.0" customHeight="1">
      <c r="A199" s="437" t="s">
        <v>2258</v>
      </c>
      <c r="B199" s="437" t="s">
        <v>1118</v>
      </c>
      <c r="C199" s="438" t="s">
        <v>2231</v>
      </c>
      <c r="D199" s="439">
        <f>'RM Rollforward'!H352</f>
        <v>37</v>
      </c>
      <c r="E199" s="454">
        <v>0.25</v>
      </c>
      <c r="F199" s="440">
        <v>500.0</v>
      </c>
      <c r="G199" s="441">
        <f t="shared" si="1"/>
        <v>4625</v>
      </c>
      <c r="H199" s="169"/>
    </row>
    <row r="200" ht="12.0" customHeight="1">
      <c r="A200" s="437" t="s">
        <v>2259</v>
      </c>
      <c r="B200" s="437" t="s">
        <v>1120</v>
      </c>
      <c r="C200" s="438" t="s">
        <v>2231</v>
      </c>
      <c r="D200" s="439">
        <f>'RM Rollforward'!H353</f>
        <v>19</v>
      </c>
      <c r="E200" s="454">
        <v>0.25</v>
      </c>
      <c r="F200" s="440">
        <v>500.0</v>
      </c>
      <c r="G200" s="441">
        <f t="shared" si="1"/>
        <v>2375</v>
      </c>
      <c r="H200" s="169"/>
    </row>
    <row r="201" ht="12.0" customHeight="1">
      <c r="A201" s="437" t="s">
        <v>2260</v>
      </c>
      <c r="B201" s="437" t="s">
        <v>1122</v>
      </c>
      <c r="C201" s="438" t="s">
        <v>2231</v>
      </c>
      <c r="D201" s="439">
        <f>'RM Rollforward'!H354</f>
        <v>0</v>
      </c>
      <c r="E201" s="454">
        <v>0.25</v>
      </c>
      <c r="F201" s="440">
        <v>500.0</v>
      </c>
      <c r="G201" s="441">
        <f t="shared" si="1"/>
        <v>0</v>
      </c>
      <c r="H201" s="169"/>
    </row>
    <row r="202" ht="12.0" customHeight="1">
      <c r="A202" s="437" t="s">
        <v>2261</v>
      </c>
      <c r="B202" s="437" t="s">
        <v>1124</v>
      </c>
      <c r="C202" s="438" t="s">
        <v>2231</v>
      </c>
      <c r="D202" s="439">
        <f>'RM Rollforward'!H355</f>
        <v>0</v>
      </c>
      <c r="E202" s="454">
        <v>0.25</v>
      </c>
      <c r="F202" s="440">
        <v>500.0</v>
      </c>
      <c r="G202" s="441">
        <f t="shared" si="1"/>
        <v>0</v>
      </c>
      <c r="H202" s="169"/>
    </row>
    <row r="203" ht="12.0" customHeight="1">
      <c r="A203" s="437" t="s">
        <v>2262</v>
      </c>
      <c r="B203" s="437" t="s">
        <v>1126</v>
      </c>
      <c r="C203" s="438" t="s">
        <v>2231</v>
      </c>
      <c r="D203" s="439">
        <f>'RM Rollforward'!H356</f>
        <v>19</v>
      </c>
      <c r="E203" s="454">
        <v>0.25</v>
      </c>
      <c r="F203" s="440">
        <v>500.0</v>
      </c>
      <c r="G203" s="441">
        <f t="shared" si="1"/>
        <v>2375</v>
      </c>
      <c r="H203" s="169"/>
    </row>
    <row r="204" ht="12.0" customHeight="1">
      <c r="A204" s="437" t="s">
        <v>2263</v>
      </c>
      <c r="B204" s="437" t="s">
        <v>1128</v>
      </c>
      <c r="C204" s="438" t="s">
        <v>2231</v>
      </c>
      <c r="D204" s="439">
        <f>'RM Rollforward'!H357</f>
        <v>18</v>
      </c>
      <c r="E204" s="454">
        <v>0.25</v>
      </c>
      <c r="F204" s="440">
        <v>500.0</v>
      </c>
      <c r="G204" s="441">
        <f t="shared" si="1"/>
        <v>2250</v>
      </c>
      <c r="H204" s="169"/>
    </row>
    <row r="205" ht="12.0" customHeight="1">
      <c r="A205" s="437" t="s">
        <v>2264</v>
      </c>
      <c r="B205" s="437" t="s">
        <v>1130</v>
      </c>
      <c r="C205" s="438" t="s">
        <v>2231</v>
      </c>
      <c r="D205" s="439">
        <f>'RM Rollforward'!H358</f>
        <v>0</v>
      </c>
      <c r="E205" s="454">
        <v>0.25</v>
      </c>
      <c r="F205" s="440">
        <v>500.0</v>
      </c>
      <c r="G205" s="441">
        <f t="shared" si="1"/>
        <v>0</v>
      </c>
      <c r="H205" s="169"/>
    </row>
    <row r="206" ht="12.0" customHeight="1">
      <c r="A206" s="437" t="s">
        <v>2265</v>
      </c>
      <c r="B206" s="437" t="s">
        <v>1132</v>
      </c>
      <c r="C206" s="438" t="s">
        <v>2231</v>
      </c>
      <c r="D206" s="439">
        <f>'RM Rollforward'!H359</f>
        <v>0</v>
      </c>
      <c r="E206" s="454">
        <v>0.25</v>
      </c>
      <c r="F206" s="440">
        <v>500.0</v>
      </c>
      <c r="G206" s="441">
        <f t="shared" si="1"/>
        <v>0</v>
      </c>
      <c r="H206" s="169"/>
    </row>
    <row r="207" ht="12.0" customHeight="1">
      <c r="A207" s="437" t="s">
        <v>2266</v>
      </c>
      <c r="B207" s="437" t="s">
        <v>1134</v>
      </c>
      <c r="C207" s="438" t="s">
        <v>2231</v>
      </c>
      <c r="D207" s="439">
        <f>'RM Rollforward'!H360</f>
        <v>0</v>
      </c>
      <c r="E207" s="454">
        <v>0.25</v>
      </c>
      <c r="F207" s="440">
        <v>500.0</v>
      </c>
      <c r="G207" s="441">
        <f t="shared" si="1"/>
        <v>0</v>
      </c>
      <c r="H207" s="169"/>
    </row>
    <row r="208" ht="12.0" customHeight="1">
      <c r="A208" s="437" t="s">
        <v>2267</v>
      </c>
      <c r="B208" s="437" t="s">
        <v>2268</v>
      </c>
      <c r="C208" s="438" t="s">
        <v>2231</v>
      </c>
      <c r="D208" s="439">
        <f>'RM Rollforward'!H361</f>
        <v>7</v>
      </c>
      <c r="E208" s="454">
        <v>0.25</v>
      </c>
      <c r="F208" s="440">
        <v>500.0</v>
      </c>
      <c r="G208" s="441">
        <f t="shared" si="1"/>
        <v>875</v>
      </c>
      <c r="H208" s="169"/>
    </row>
    <row r="209" ht="12.0" customHeight="1">
      <c r="A209" s="437" t="s">
        <v>2269</v>
      </c>
      <c r="B209" s="437" t="s">
        <v>2270</v>
      </c>
      <c r="C209" s="438" t="s">
        <v>2231</v>
      </c>
      <c r="D209" s="439">
        <f>'RM Rollforward'!H362</f>
        <v>0</v>
      </c>
      <c r="E209" s="454">
        <v>0.25</v>
      </c>
      <c r="F209" s="440">
        <v>500.0</v>
      </c>
      <c r="G209" s="441">
        <f t="shared" si="1"/>
        <v>0</v>
      </c>
      <c r="H209" s="169"/>
    </row>
    <row r="210" ht="12.0" customHeight="1">
      <c r="A210" s="437" t="s">
        <v>2271</v>
      </c>
      <c r="B210" s="437" t="s">
        <v>2272</v>
      </c>
      <c r="C210" s="438" t="s">
        <v>2231</v>
      </c>
      <c r="D210" s="439">
        <f>'RM Rollforward'!H363</f>
        <v>5</v>
      </c>
      <c r="E210" s="454">
        <v>0.25</v>
      </c>
      <c r="F210" s="440">
        <v>500.0</v>
      </c>
      <c r="G210" s="441">
        <f t="shared" si="1"/>
        <v>625</v>
      </c>
      <c r="H210" s="169"/>
    </row>
    <row r="211" ht="12.0" customHeight="1">
      <c r="A211" s="437" t="s">
        <v>2273</v>
      </c>
      <c r="B211" s="437" t="s">
        <v>2274</v>
      </c>
      <c r="C211" s="438" t="s">
        <v>2231</v>
      </c>
      <c r="D211" s="439">
        <f>'RM Rollforward'!H364</f>
        <v>48</v>
      </c>
      <c r="E211" s="454">
        <v>0.25</v>
      </c>
      <c r="F211" s="440">
        <v>500.0</v>
      </c>
      <c r="G211" s="441">
        <f t="shared" si="1"/>
        <v>6000</v>
      </c>
      <c r="H211" s="169"/>
    </row>
    <row r="212" ht="12.0" customHeight="1">
      <c r="A212" s="437" t="s">
        <v>2275</v>
      </c>
      <c r="B212" s="437" t="s">
        <v>2276</v>
      </c>
      <c r="C212" s="438" t="s">
        <v>2231</v>
      </c>
      <c r="D212" s="439">
        <f>'RM Rollforward'!H365</f>
        <v>28</v>
      </c>
      <c r="E212" s="454">
        <v>0.25</v>
      </c>
      <c r="F212" s="440">
        <v>500.0</v>
      </c>
      <c r="G212" s="441">
        <f t="shared" si="1"/>
        <v>3500</v>
      </c>
      <c r="H212" s="169"/>
    </row>
    <row r="213" ht="12.0" customHeight="1">
      <c r="A213" s="437" t="s">
        <v>2277</v>
      </c>
      <c r="B213" s="437" t="s">
        <v>2278</v>
      </c>
      <c r="C213" s="438" t="s">
        <v>2231</v>
      </c>
      <c r="D213" s="439">
        <f>'RM Rollforward'!H366</f>
        <v>0</v>
      </c>
      <c r="E213" s="454">
        <v>0.25</v>
      </c>
      <c r="F213" s="440">
        <v>500.0</v>
      </c>
      <c r="G213" s="441">
        <f t="shared" si="1"/>
        <v>0</v>
      </c>
      <c r="H213" s="169"/>
    </row>
    <row r="214" ht="12.0" customHeight="1">
      <c r="A214" s="437" t="s">
        <v>2279</v>
      </c>
      <c r="B214" s="437" t="s">
        <v>2280</v>
      </c>
      <c r="C214" s="438" t="s">
        <v>2231</v>
      </c>
      <c r="D214" s="439">
        <f>'RM Rollforward'!H367</f>
        <v>4</v>
      </c>
      <c r="E214" s="454">
        <v>0.25</v>
      </c>
      <c r="F214" s="440">
        <v>500.0</v>
      </c>
      <c r="G214" s="441">
        <f t="shared" si="1"/>
        <v>500</v>
      </c>
      <c r="H214" s="169"/>
    </row>
    <row r="215" ht="12.0" customHeight="1">
      <c r="A215" s="437" t="s">
        <v>2281</v>
      </c>
      <c r="B215" s="437" t="s">
        <v>2282</v>
      </c>
      <c r="C215" s="438" t="s">
        <v>2231</v>
      </c>
      <c r="D215" s="439">
        <f>'RM Rollforward'!H368</f>
        <v>42</v>
      </c>
      <c r="E215" s="454">
        <v>0.25</v>
      </c>
      <c r="F215" s="440">
        <v>500.0</v>
      </c>
      <c r="G215" s="441">
        <f t="shared" si="1"/>
        <v>5250</v>
      </c>
      <c r="H215" s="169"/>
    </row>
    <row r="216" ht="12.0" customHeight="1">
      <c r="A216" s="437" t="s">
        <v>2283</v>
      </c>
      <c r="B216" s="437" t="s">
        <v>1136</v>
      </c>
      <c r="C216" s="438" t="s">
        <v>2231</v>
      </c>
      <c r="D216" s="439">
        <f>'RM Rollforward'!H369</f>
        <v>19</v>
      </c>
      <c r="E216" s="454">
        <v>0.25</v>
      </c>
      <c r="F216" s="440">
        <v>500.0</v>
      </c>
      <c r="G216" s="441">
        <f t="shared" si="1"/>
        <v>2375</v>
      </c>
      <c r="H216" s="169"/>
    </row>
    <row r="217" ht="12.0" customHeight="1">
      <c r="A217" s="437" t="s">
        <v>2284</v>
      </c>
      <c r="B217" s="437" t="s">
        <v>1138</v>
      </c>
      <c r="C217" s="438" t="s">
        <v>2231</v>
      </c>
      <c r="D217" s="439">
        <f>'RM Rollforward'!H370</f>
        <v>14</v>
      </c>
      <c r="E217" s="454">
        <v>0.25</v>
      </c>
      <c r="F217" s="440">
        <v>500.0</v>
      </c>
      <c r="G217" s="441">
        <f t="shared" si="1"/>
        <v>1750</v>
      </c>
      <c r="H217" s="169"/>
    </row>
    <row r="218" ht="12.0" customHeight="1">
      <c r="A218" s="437" t="s">
        <v>2285</v>
      </c>
      <c r="B218" s="437" t="s">
        <v>1140</v>
      </c>
      <c r="C218" s="438" t="s">
        <v>2231</v>
      </c>
      <c r="D218" s="439">
        <f>'RM Rollforward'!H371</f>
        <v>11</v>
      </c>
      <c r="E218" s="454">
        <v>0.25</v>
      </c>
      <c r="F218" s="440">
        <v>500.0</v>
      </c>
      <c r="G218" s="441">
        <f t="shared" si="1"/>
        <v>1375</v>
      </c>
      <c r="H218" s="169"/>
    </row>
    <row r="219" ht="12.0" customHeight="1">
      <c r="A219" s="437" t="s">
        <v>2286</v>
      </c>
      <c r="B219" s="437" t="s">
        <v>1142</v>
      </c>
      <c r="C219" s="438" t="s">
        <v>2231</v>
      </c>
      <c r="D219" s="439">
        <f>'RM Rollforward'!H372</f>
        <v>0</v>
      </c>
      <c r="E219" s="454">
        <v>0.25</v>
      </c>
      <c r="F219" s="440">
        <v>500.0</v>
      </c>
      <c r="G219" s="441">
        <f t="shared" si="1"/>
        <v>0</v>
      </c>
      <c r="H219" s="169"/>
    </row>
    <row r="220" ht="12.0" customHeight="1">
      <c r="A220" s="437" t="s">
        <v>2287</v>
      </c>
      <c r="B220" s="437" t="s">
        <v>2288</v>
      </c>
      <c r="C220" s="438" t="s">
        <v>2231</v>
      </c>
      <c r="D220" s="439">
        <f>'RM Rollforward'!H373</f>
        <v>0</v>
      </c>
      <c r="E220" s="454">
        <v>0.25</v>
      </c>
      <c r="F220" s="440">
        <v>500.0</v>
      </c>
      <c r="G220" s="441">
        <f t="shared" si="1"/>
        <v>0</v>
      </c>
      <c r="H220" s="169"/>
    </row>
    <row r="221" ht="12.0" customHeight="1">
      <c r="A221" s="437" t="s">
        <v>2289</v>
      </c>
      <c r="B221" s="437" t="s">
        <v>2290</v>
      </c>
      <c r="C221" s="438" t="s">
        <v>2231</v>
      </c>
      <c r="D221" s="439">
        <f>'RM Rollforward'!H374</f>
        <v>0</v>
      </c>
      <c r="E221" s="454">
        <v>0.25</v>
      </c>
      <c r="F221" s="440">
        <v>500.0</v>
      </c>
      <c r="G221" s="441">
        <f t="shared" si="1"/>
        <v>0</v>
      </c>
      <c r="H221" s="169"/>
    </row>
    <row r="222" ht="12.0" customHeight="1">
      <c r="A222" s="437" t="s">
        <v>2291</v>
      </c>
      <c r="B222" s="437" t="s">
        <v>2292</v>
      </c>
      <c r="C222" s="438" t="s">
        <v>2231</v>
      </c>
      <c r="D222" s="439">
        <f>'RM Rollforward'!H375</f>
        <v>0</v>
      </c>
      <c r="E222" s="454">
        <v>0.25</v>
      </c>
      <c r="F222" s="440">
        <v>500.0</v>
      </c>
      <c r="G222" s="441">
        <f t="shared" si="1"/>
        <v>0</v>
      </c>
      <c r="H222" s="169"/>
    </row>
    <row r="223" ht="12.0" customHeight="1">
      <c r="A223" s="437" t="s">
        <v>2293</v>
      </c>
      <c r="B223" s="437" t="s">
        <v>2294</v>
      </c>
      <c r="C223" s="438" t="s">
        <v>2231</v>
      </c>
      <c r="D223" s="439">
        <f>'RM Rollforward'!H376</f>
        <v>19</v>
      </c>
      <c r="E223" s="454">
        <v>0.25</v>
      </c>
      <c r="F223" s="440">
        <v>500.0</v>
      </c>
      <c r="G223" s="441">
        <f t="shared" si="1"/>
        <v>2375</v>
      </c>
      <c r="H223" s="169"/>
    </row>
    <row r="224" ht="12.0" customHeight="1">
      <c r="A224" s="437" t="s">
        <v>2295</v>
      </c>
      <c r="B224" s="437" t="s">
        <v>2296</v>
      </c>
      <c r="C224" s="438" t="s">
        <v>2231</v>
      </c>
      <c r="D224" s="439">
        <f>'RM Rollforward'!H377</f>
        <v>37</v>
      </c>
      <c r="E224" s="454">
        <v>0.25</v>
      </c>
      <c r="F224" s="440">
        <v>500.0</v>
      </c>
      <c r="G224" s="441">
        <f t="shared" si="1"/>
        <v>4625</v>
      </c>
      <c r="H224" s="169"/>
    </row>
    <row r="225" ht="12.0" customHeight="1">
      <c r="A225" s="437" t="s">
        <v>2297</v>
      </c>
      <c r="B225" s="437" t="s">
        <v>2298</v>
      </c>
      <c r="C225" s="438" t="s">
        <v>2231</v>
      </c>
      <c r="D225" s="439">
        <f>'RM Rollforward'!H378</f>
        <v>-8</v>
      </c>
      <c r="E225" s="454">
        <v>0.25</v>
      </c>
      <c r="F225" s="440">
        <v>500.0</v>
      </c>
      <c r="G225" s="441">
        <f t="shared" si="1"/>
        <v>-1000</v>
      </c>
      <c r="H225" s="169"/>
    </row>
    <row r="226" ht="12.0" customHeight="1">
      <c r="A226" s="437" t="s">
        <v>2299</v>
      </c>
      <c r="B226" s="437" t="s">
        <v>2300</v>
      </c>
      <c r="C226" s="438" t="s">
        <v>2231</v>
      </c>
      <c r="D226" s="439">
        <f>'RM Rollforward'!H379</f>
        <v>0</v>
      </c>
      <c r="E226" s="454">
        <v>0.25</v>
      </c>
      <c r="F226" s="440">
        <v>500.0</v>
      </c>
      <c r="G226" s="441">
        <f t="shared" si="1"/>
        <v>0</v>
      </c>
      <c r="H226" s="169"/>
    </row>
    <row r="227" ht="12.0" customHeight="1">
      <c r="A227" s="437" t="s">
        <v>2301</v>
      </c>
      <c r="B227" s="437" t="s">
        <v>2302</v>
      </c>
      <c r="C227" s="438" t="s">
        <v>2231</v>
      </c>
      <c r="D227" s="439">
        <f>'RM Rollforward'!H380</f>
        <v>35</v>
      </c>
      <c r="E227" s="454">
        <v>0.25</v>
      </c>
      <c r="F227" s="440">
        <v>500.0</v>
      </c>
      <c r="G227" s="441">
        <f t="shared" si="1"/>
        <v>4375</v>
      </c>
      <c r="H227" s="169"/>
    </row>
    <row r="228" ht="12.0" customHeight="1">
      <c r="A228" s="437" t="s">
        <v>2303</v>
      </c>
      <c r="B228" s="437" t="s">
        <v>2304</v>
      </c>
      <c r="C228" s="438" t="s">
        <v>2231</v>
      </c>
      <c r="D228" s="439">
        <f>'RM Rollforward'!H381</f>
        <v>9</v>
      </c>
      <c r="E228" s="454">
        <v>0.25</v>
      </c>
      <c r="F228" s="440">
        <v>500.0</v>
      </c>
      <c r="G228" s="441">
        <f t="shared" si="1"/>
        <v>1125</v>
      </c>
      <c r="H228" s="169"/>
    </row>
    <row r="229" ht="12.0" customHeight="1">
      <c r="A229" s="437" t="s">
        <v>2305</v>
      </c>
      <c r="B229" s="437" t="s">
        <v>2306</v>
      </c>
      <c r="C229" s="438" t="s">
        <v>2231</v>
      </c>
      <c r="D229" s="439">
        <f>'RM Rollforward'!H382</f>
        <v>3</v>
      </c>
      <c r="E229" s="454">
        <v>0.25</v>
      </c>
      <c r="F229" s="440">
        <v>500.0</v>
      </c>
      <c r="G229" s="441">
        <f t="shared" si="1"/>
        <v>375</v>
      </c>
      <c r="H229" s="169"/>
    </row>
    <row r="230" ht="12.0" customHeight="1">
      <c r="A230" s="437" t="s">
        <v>2307</v>
      </c>
      <c r="B230" s="437" t="s">
        <v>2308</v>
      </c>
      <c r="C230" s="438" t="s">
        <v>2231</v>
      </c>
      <c r="D230" s="439">
        <f>'RM Rollforward'!H383</f>
        <v>0</v>
      </c>
      <c r="E230" s="454">
        <v>0.25</v>
      </c>
      <c r="F230" s="440">
        <v>500.0</v>
      </c>
      <c r="G230" s="441">
        <f t="shared" si="1"/>
        <v>0</v>
      </c>
      <c r="H230" s="169"/>
    </row>
    <row r="231" ht="12.0" customHeight="1">
      <c r="A231" s="437" t="s">
        <v>2309</v>
      </c>
      <c r="B231" s="437" t="s">
        <v>2310</v>
      </c>
      <c r="C231" s="438" t="s">
        <v>2231</v>
      </c>
      <c r="D231" s="439">
        <f>'RM Rollforward'!H384</f>
        <v>-3</v>
      </c>
      <c r="E231" s="454">
        <v>0.25</v>
      </c>
      <c r="F231" s="440">
        <v>500.0</v>
      </c>
      <c r="G231" s="441">
        <f t="shared" si="1"/>
        <v>-375</v>
      </c>
      <c r="H231" s="169"/>
    </row>
    <row r="232" ht="12.0" customHeight="1">
      <c r="A232" s="437" t="s">
        <v>2311</v>
      </c>
      <c r="B232" s="437" t="s">
        <v>2312</v>
      </c>
      <c r="C232" s="438" t="s">
        <v>2231</v>
      </c>
      <c r="D232" s="439">
        <f>'RM Rollforward'!H385</f>
        <v>61</v>
      </c>
      <c r="E232" s="454">
        <v>0.25</v>
      </c>
      <c r="F232" s="440">
        <v>500.0</v>
      </c>
      <c r="G232" s="441">
        <f t="shared" si="1"/>
        <v>7625</v>
      </c>
      <c r="H232" s="169"/>
    </row>
    <row r="233" ht="12.0" customHeight="1">
      <c r="A233" s="437" t="s">
        <v>2313</v>
      </c>
      <c r="B233" s="437" t="s">
        <v>1144</v>
      </c>
      <c r="C233" s="438" t="s">
        <v>2231</v>
      </c>
      <c r="D233" s="439">
        <f>'RM Rollforward'!H386</f>
        <v>0</v>
      </c>
      <c r="E233" s="454">
        <v>0.25</v>
      </c>
      <c r="F233" s="440">
        <v>500.0</v>
      </c>
      <c r="G233" s="441">
        <f t="shared" si="1"/>
        <v>0</v>
      </c>
      <c r="H233" s="169"/>
    </row>
    <row r="234" ht="12.0" customHeight="1">
      <c r="A234" s="437" t="s">
        <v>2314</v>
      </c>
      <c r="B234" s="437" t="s">
        <v>1146</v>
      </c>
      <c r="C234" s="438" t="s">
        <v>2231</v>
      </c>
      <c r="D234" s="439">
        <f>'RM Rollforward'!H387</f>
        <v>-5</v>
      </c>
      <c r="E234" s="454">
        <v>0.25</v>
      </c>
      <c r="F234" s="440">
        <v>500.0</v>
      </c>
      <c r="G234" s="441">
        <f t="shared" si="1"/>
        <v>-625</v>
      </c>
      <c r="H234" s="169"/>
    </row>
    <row r="235" ht="12.0" customHeight="1">
      <c r="A235" s="437" t="s">
        <v>2315</v>
      </c>
      <c r="B235" s="437" t="s">
        <v>1148</v>
      </c>
      <c r="C235" s="438" t="s">
        <v>2231</v>
      </c>
      <c r="D235" s="439">
        <f>'RM Rollforward'!H388</f>
        <v>19</v>
      </c>
      <c r="E235" s="454">
        <v>0.25</v>
      </c>
      <c r="F235" s="440">
        <v>500.0</v>
      </c>
      <c r="G235" s="441">
        <f t="shared" si="1"/>
        <v>2375</v>
      </c>
      <c r="H235" s="169"/>
    </row>
    <row r="236" ht="12.0" customHeight="1">
      <c r="A236" s="437" t="s">
        <v>2316</v>
      </c>
      <c r="B236" s="437" t="s">
        <v>1150</v>
      </c>
      <c r="C236" s="438" t="s">
        <v>2231</v>
      </c>
      <c r="D236" s="439">
        <f>'RM Rollforward'!H389</f>
        <v>67</v>
      </c>
      <c r="E236" s="454">
        <v>0.25</v>
      </c>
      <c r="F236" s="440">
        <v>500.0</v>
      </c>
      <c r="G236" s="441">
        <f t="shared" si="1"/>
        <v>8375</v>
      </c>
      <c r="H236" s="169"/>
    </row>
    <row r="237" ht="12.0" customHeight="1">
      <c r="A237" s="437" t="s">
        <v>2317</v>
      </c>
      <c r="B237" s="437" t="s">
        <v>2318</v>
      </c>
      <c r="C237" s="438" t="s">
        <v>2231</v>
      </c>
      <c r="D237" s="439">
        <f>'RM Rollforward'!H390</f>
        <v>13</v>
      </c>
      <c r="E237" s="454">
        <v>0.25</v>
      </c>
      <c r="F237" s="440">
        <v>500.0</v>
      </c>
      <c r="G237" s="441">
        <f t="shared" si="1"/>
        <v>1625</v>
      </c>
      <c r="H237" s="169"/>
    </row>
    <row r="238" ht="12.0" customHeight="1">
      <c r="A238" s="437" t="s">
        <v>2319</v>
      </c>
      <c r="B238" s="437" t="s">
        <v>2320</v>
      </c>
      <c r="C238" s="438" t="s">
        <v>2231</v>
      </c>
      <c r="D238" s="439">
        <f>'RM Rollforward'!H391</f>
        <v>0</v>
      </c>
      <c r="E238" s="454">
        <v>0.25</v>
      </c>
      <c r="F238" s="440">
        <v>500.0</v>
      </c>
      <c r="G238" s="441">
        <f t="shared" si="1"/>
        <v>0</v>
      </c>
      <c r="H238" s="169"/>
    </row>
    <row r="239" ht="12.0" customHeight="1">
      <c r="A239" s="437" t="s">
        <v>2321</v>
      </c>
      <c r="B239" s="437" t="s">
        <v>2322</v>
      </c>
      <c r="C239" s="438" t="s">
        <v>2231</v>
      </c>
      <c r="D239" s="439">
        <f>'RM Rollforward'!H392</f>
        <v>0</v>
      </c>
      <c r="E239" s="454">
        <v>0.25</v>
      </c>
      <c r="F239" s="440">
        <v>500.0</v>
      </c>
      <c r="G239" s="441">
        <f t="shared" si="1"/>
        <v>0</v>
      </c>
      <c r="H239" s="169"/>
    </row>
    <row r="240" ht="12.0" customHeight="1">
      <c r="A240" s="437" t="s">
        <v>2323</v>
      </c>
      <c r="B240" s="437" t="s">
        <v>2324</v>
      </c>
      <c r="C240" s="438" t="s">
        <v>2231</v>
      </c>
      <c r="D240" s="439">
        <f>'RM Rollforward'!H393</f>
        <v>23</v>
      </c>
      <c r="E240" s="454">
        <v>0.25</v>
      </c>
      <c r="F240" s="440">
        <v>500.0</v>
      </c>
      <c r="G240" s="441">
        <f t="shared" si="1"/>
        <v>2875</v>
      </c>
      <c r="H240" s="169"/>
    </row>
    <row r="241" ht="12.0" customHeight="1">
      <c r="A241" s="437" t="s">
        <v>2325</v>
      </c>
      <c r="B241" s="437" t="s">
        <v>1154</v>
      </c>
      <c r="C241" s="438" t="s">
        <v>2231</v>
      </c>
      <c r="D241" s="439">
        <f>'RM Rollforward'!H394</f>
        <v>0</v>
      </c>
      <c r="E241" s="454">
        <v>0.25</v>
      </c>
      <c r="F241" s="440">
        <v>500.0</v>
      </c>
      <c r="G241" s="441">
        <f t="shared" si="1"/>
        <v>0</v>
      </c>
      <c r="H241" s="169"/>
    </row>
    <row r="242" ht="12.0" customHeight="1">
      <c r="A242" s="437" t="s">
        <v>2326</v>
      </c>
      <c r="B242" s="437" t="s">
        <v>394</v>
      </c>
      <c r="C242" s="438" t="s">
        <v>2231</v>
      </c>
      <c r="D242" s="439">
        <f>'RM Rollforward'!H395</f>
        <v>18</v>
      </c>
      <c r="E242" s="454">
        <v>0.25</v>
      </c>
      <c r="F242" s="440">
        <v>500.0</v>
      </c>
      <c r="G242" s="441">
        <f t="shared" si="1"/>
        <v>2250</v>
      </c>
      <c r="H242" s="169"/>
    </row>
    <row r="243" ht="12.0" customHeight="1">
      <c r="A243" s="437" t="s">
        <v>2327</v>
      </c>
      <c r="B243" s="437" t="s">
        <v>312</v>
      </c>
      <c r="C243" s="438" t="s">
        <v>2231</v>
      </c>
      <c r="D243" s="439">
        <f>'RM Rollforward'!H396</f>
        <v>0</v>
      </c>
      <c r="E243" s="454">
        <v>0.25</v>
      </c>
      <c r="F243" s="440">
        <v>500.0</v>
      </c>
      <c r="G243" s="441">
        <f t="shared" si="1"/>
        <v>0</v>
      </c>
      <c r="H243" s="169"/>
    </row>
    <row r="244" ht="12.0" customHeight="1">
      <c r="A244" s="437" t="s">
        <v>2328</v>
      </c>
      <c r="B244" s="437" t="s">
        <v>1156</v>
      </c>
      <c r="C244" s="438" t="s">
        <v>2231</v>
      </c>
      <c r="D244" s="439">
        <f>'RM Rollforward'!H397</f>
        <v>0</v>
      </c>
      <c r="E244" s="454">
        <v>0.25</v>
      </c>
      <c r="F244" s="440">
        <v>500.0</v>
      </c>
      <c r="G244" s="441">
        <f t="shared" si="1"/>
        <v>0</v>
      </c>
      <c r="H244" s="169"/>
    </row>
    <row r="245" ht="12.0" customHeight="1">
      <c r="A245" s="455" t="s">
        <v>2329</v>
      </c>
      <c r="B245" s="455" t="s">
        <v>2330</v>
      </c>
      <c r="C245" s="438" t="s">
        <v>2231</v>
      </c>
      <c r="D245" s="439">
        <f>'RM Rollforward'!H398</f>
        <v>0</v>
      </c>
      <c r="E245" s="454">
        <v>0.25</v>
      </c>
      <c r="F245" s="440">
        <v>500.0</v>
      </c>
      <c r="G245" s="441">
        <f t="shared" si="1"/>
        <v>0</v>
      </c>
      <c r="H245" s="169"/>
    </row>
    <row r="246" ht="12.0" customHeight="1">
      <c r="A246" s="455" t="s">
        <v>2331</v>
      </c>
      <c r="B246" s="455" t="s">
        <v>2332</v>
      </c>
      <c r="C246" s="438" t="s">
        <v>2231</v>
      </c>
      <c r="D246" s="439">
        <f>'RM Rollforward'!H399</f>
        <v>0</v>
      </c>
      <c r="E246" s="454">
        <v>0.25</v>
      </c>
      <c r="F246" s="440">
        <v>500.0</v>
      </c>
      <c r="G246" s="441">
        <f t="shared" si="1"/>
        <v>0</v>
      </c>
      <c r="H246" s="169"/>
    </row>
    <row r="247" ht="12.0" customHeight="1">
      <c r="A247" s="455" t="s">
        <v>2333</v>
      </c>
      <c r="B247" s="455" t="s">
        <v>2334</v>
      </c>
      <c r="C247" s="438" t="s">
        <v>2231</v>
      </c>
      <c r="D247" s="439">
        <f>'RM Rollforward'!H400</f>
        <v>0</v>
      </c>
      <c r="E247" s="454">
        <v>0.25</v>
      </c>
      <c r="F247" s="440">
        <v>500.0</v>
      </c>
      <c r="G247" s="441">
        <f t="shared" si="1"/>
        <v>0</v>
      </c>
      <c r="H247" s="169"/>
    </row>
    <row r="248" ht="12.0" customHeight="1">
      <c r="A248" s="455" t="s">
        <v>2335</v>
      </c>
      <c r="B248" s="455" t="s">
        <v>2336</v>
      </c>
      <c r="C248" s="438" t="s">
        <v>2231</v>
      </c>
      <c r="D248" s="439">
        <f>'RM Rollforward'!H401</f>
        <v>0</v>
      </c>
      <c r="E248" s="454">
        <v>0.25</v>
      </c>
      <c r="F248" s="440">
        <v>500.0</v>
      </c>
      <c r="G248" s="441">
        <f t="shared" si="1"/>
        <v>0</v>
      </c>
      <c r="H248" s="169"/>
    </row>
    <row r="249" ht="12.0" customHeight="1">
      <c r="A249" s="455" t="s">
        <v>2337</v>
      </c>
      <c r="B249" s="455" t="s">
        <v>2338</v>
      </c>
      <c r="C249" s="438" t="s">
        <v>2231</v>
      </c>
      <c r="D249" s="439">
        <f>'RM Rollforward'!H402</f>
        <v>0</v>
      </c>
      <c r="E249" s="454">
        <v>0.25</v>
      </c>
      <c r="F249" s="440">
        <v>500.0</v>
      </c>
      <c r="G249" s="441">
        <f t="shared" si="1"/>
        <v>0</v>
      </c>
      <c r="H249" s="169"/>
    </row>
    <row r="250" ht="12.0" customHeight="1">
      <c r="A250" s="455" t="s">
        <v>2339</v>
      </c>
      <c r="B250" s="455" t="s">
        <v>378</v>
      </c>
      <c r="C250" s="438" t="s">
        <v>2231</v>
      </c>
      <c r="D250" s="439">
        <f>'RM Rollforward'!H403</f>
        <v>0</v>
      </c>
      <c r="E250" s="454">
        <v>0.25</v>
      </c>
      <c r="F250" s="440">
        <v>500.0</v>
      </c>
      <c r="G250" s="441">
        <f t="shared" si="1"/>
        <v>0</v>
      </c>
      <c r="H250" s="169"/>
    </row>
    <row r="251" ht="12.0" customHeight="1">
      <c r="A251" s="455" t="s">
        <v>2340</v>
      </c>
      <c r="B251" s="455" t="s">
        <v>396</v>
      </c>
      <c r="C251" s="438" t="s">
        <v>2231</v>
      </c>
      <c r="D251" s="439">
        <f>'RM Rollforward'!H404</f>
        <v>0</v>
      </c>
      <c r="E251" s="454">
        <v>0.25</v>
      </c>
      <c r="F251" s="440">
        <v>500.0</v>
      </c>
      <c r="G251" s="441">
        <f t="shared" si="1"/>
        <v>0</v>
      </c>
      <c r="H251" s="169"/>
    </row>
    <row r="252" ht="12.0" customHeight="1">
      <c r="A252" s="455" t="s">
        <v>2341</v>
      </c>
      <c r="B252" s="455" t="s">
        <v>408</v>
      </c>
      <c r="C252" s="438" t="s">
        <v>2231</v>
      </c>
      <c r="D252" s="439">
        <f>'RM Rollforward'!H405</f>
        <v>0</v>
      </c>
      <c r="E252" s="454">
        <v>0.25</v>
      </c>
      <c r="F252" s="440">
        <v>500.0</v>
      </c>
      <c r="G252" s="441">
        <f t="shared" si="1"/>
        <v>0</v>
      </c>
      <c r="H252" s="169"/>
    </row>
    <row r="253" ht="12.0" customHeight="1">
      <c r="A253" s="455" t="s">
        <v>2342</v>
      </c>
      <c r="B253" s="455" t="s">
        <v>1168</v>
      </c>
      <c r="C253" s="438" t="s">
        <v>2231</v>
      </c>
      <c r="D253" s="439">
        <f>'RM Rollforward'!H406</f>
        <v>0</v>
      </c>
      <c r="E253" s="454">
        <v>0.25</v>
      </c>
      <c r="F253" s="440">
        <v>500.0</v>
      </c>
      <c r="G253" s="441">
        <f t="shared" si="1"/>
        <v>0</v>
      </c>
      <c r="H253" s="169"/>
    </row>
    <row r="254" ht="12.0" customHeight="1">
      <c r="A254" s="455" t="s">
        <v>2343</v>
      </c>
      <c r="B254" s="455" t="s">
        <v>2344</v>
      </c>
      <c r="C254" s="438" t="s">
        <v>2231</v>
      </c>
      <c r="D254" s="439">
        <f>'RM Rollforward'!H407</f>
        <v>0</v>
      </c>
      <c r="E254" s="454">
        <v>0.25</v>
      </c>
      <c r="F254" s="440">
        <v>500.0</v>
      </c>
      <c r="G254" s="441">
        <f t="shared" si="1"/>
        <v>0</v>
      </c>
      <c r="H254" s="169"/>
    </row>
    <row r="255" ht="12.0" customHeight="1">
      <c r="A255" s="455" t="s">
        <v>2345</v>
      </c>
      <c r="B255" s="455" t="s">
        <v>2346</v>
      </c>
      <c r="C255" s="438" t="s">
        <v>2231</v>
      </c>
      <c r="D255" s="439">
        <f>'RM Rollforward'!H408</f>
        <v>0</v>
      </c>
      <c r="E255" s="454">
        <v>0.25</v>
      </c>
      <c r="F255" s="440">
        <v>500.0</v>
      </c>
      <c r="G255" s="441">
        <f t="shared" si="1"/>
        <v>0</v>
      </c>
      <c r="H255" s="169"/>
    </row>
    <row r="256" ht="12.0" customHeight="1">
      <c r="A256" s="455" t="s">
        <v>2347</v>
      </c>
      <c r="B256" s="455" t="s">
        <v>2348</v>
      </c>
      <c r="C256" s="438" t="s">
        <v>2231</v>
      </c>
      <c r="D256" s="439">
        <f>'RM Rollforward'!H409</f>
        <v>0</v>
      </c>
      <c r="E256" s="454">
        <v>0.25</v>
      </c>
      <c r="F256" s="440">
        <v>500.0</v>
      </c>
      <c r="G256" s="441">
        <f t="shared" si="1"/>
        <v>0</v>
      </c>
      <c r="H256" s="169"/>
    </row>
    <row r="257" ht="12.0" customHeight="1">
      <c r="A257" s="455" t="s">
        <v>2349</v>
      </c>
      <c r="B257" s="455" t="s">
        <v>2350</v>
      </c>
      <c r="C257" s="438" t="s">
        <v>2231</v>
      </c>
      <c r="D257" s="439">
        <f>'RM Rollforward'!H410</f>
        <v>0</v>
      </c>
      <c r="E257" s="454">
        <v>0.25</v>
      </c>
      <c r="F257" s="440">
        <v>500.0</v>
      </c>
      <c r="G257" s="441">
        <f t="shared" si="1"/>
        <v>0</v>
      </c>
      <c r="H257" s="169"/>
    </row>
    <row r="258" ht="12.0" customHeight="1">
      <c r="A258" s="455" t="s">
        <v>2351</v>
      </c>
      <c r="B258" s="455" t="s">
        <v>1170</v>
      </c>
      <c r="C258" s="438" t="s">
        <v>2231</v>
      </c>
      <c r="D258" s="439">
        <f>'RM Rollforward'!H411</f>
        <v>0</v>
      </c>
      <c r="E258" s="454">
        <v>0.25</v>
      </c>
      <c r="F258" s="440">
        <v>500.0</v>
      </c>
      <c r="G258" s="441">
        <f t="shared" si="1"/>
        <v>0</v>
      </c>
      <c r="H258" s="169"/>
    </row>
    <row r="259" ht="12.0" customHeight="1">
      <c r="A259" s="455" t="s">
        <v>2352</v>
      </c>
      <c r="B259" s="455" t="s">
        <v>1172</v>
      </c>
      <c r="C259" s="438" t="s">
        <v>2231</v>
      </c>
      <c r="D259" s="439">
        <f>'RM Rollforward'!H412</f>
        <v>0</v>
      </c>
      <c r="E259" s="454">
        <v>0.25</v>
      </c>
      <c r="F259" s="440">
        <v>500.0</v>
      </c>
      <c r="G259" s="441">
        <f t="shared" si="1"/>
        <v>0</v>
      </c>
      <c r="H259" s="169"/>
    </row>
    <row r="260" ht="12.0" customHeight="1">
      <c r="A260" s="455" t="s">
        <v>2353</v>
      </c>
      <c r="B260" s="455" t="s">
        <v>1174</v>
      </c>
      <c r="C260" s="438" t="s">
        <v>2231</v>
      </c>
      <c r="D260" s="439">
        <f>'RM Rollforward'!H413</f>
        <v>0</v>
      </c>
      <c r="E260" s="454">
        <v>0.25</v>
      </c>
      <c r="F260" s="440">
        <v>500.0</v>
      </c>
      <c r="G260" s="441">
        <f t="shared" si="1"/>
        <v>0</v>
      </c>
      <c r="H260" s="169"/>
    </row>
    <row r="261" ht="12.0" customHeight="1">
      <c r="A261" s="455" t="s">
        <v>2354</v>
      </c>
      <c r="B261" s="455" t="s">
        <v>1176</v>
      </c>
      <c r="C261" s="438" t="s">
        <v>2231</v>
      </c>
      <c r="D261" s="439">
        <f>'RM Rollforward'!H414</f>
        <v>0</v>
      </c>
      <c r="E261" s="454">
        <v>0.25</v>
      </c>
      <c r="F261" s="440">
        <v>500.0</v>
      </c>
      <c r="G261" s="441">
        <f t="shared" si="1"/>
        <v>0</v>
      </c>
      <c r="H261" s="169"/>
    </row>
    <row r="262" ht="12.0" customHeight="1">
      <c r="A262" s="455" t="s">
        <v>2355</v>
      </c>
      <c r="B262" s="455" t="s">
        <v>1178</v>
      </c>
      <c r="C262" s="438" t="s">
        <v>2231</v>
      </c>
      <c r="D262" s="439">
        <f>'RM Rollforward'!H415</f>
        <v>0</v>
      </c>
      <c r="E262" s="454">
        <v>0.25</v>
      </c>
      <c r="F262" s="440">
        <v>500.0</v>
      </c>
      <c r="G262" s="441">
        <f t="shared" si="1"/>
        <v>0</v>
      </c>
      <c r="H262" s="169"/>
    </row>
    <row r="263" ht="12.0" customHeight="1">
      <c r="A263" s="455" t="s">
        <v>2356</v>
      </c>
      <c r="B263" s="455" t="s">
        <v>1180</v>
      </c>
      <c r="C263" s="438" t="s">
        <v>2231</v>
      </c>
      <c r="D263" s="439">
        <f>'RM Rollforward'!H416</f>
        <v>8</v>
      </c>
      <c r="E263" s="454">
        <v>0.25</v>
      </c>
      <c r="F263" s="440">
        <v>500.0</v>
      </c>
      <c r="G263" s="441">
        <f t="shared" si="1"/>
        <v>1000</v>
      </c>
      <c r="H263" s="169"/>
    </row>
    <row r="264" ht="12.0" customHeight="1">
      <c r="A264" s="455" t="s">
        <v>2357</v>
      </c>
      <c r="B264" s="455" t="s">
        <v>1182</v>
      </c>
      <c r="C264" s="438" t="s">
        <v>2231</v>
      </c>
      <c r="D264" s="439">
        <f>'RM Rollforward'!H417</f>
        <v>0</v>
      </c>
      <c r="E264" s="454">
        <v>0.25</v>
      </c>
      <c r="F264" s="440">
        <v>500.0</v>
      </c>
      <c r="G264" s="441">
        <f t="shared" si="1"/>
        <v>0</v>
      </c>
      <c r="H264" s="169"/>
    </row>
    <row r="265" ht="12.0" customHeight="1">
      <c r="A265" s="455" t="s">
        <v>2358</v>
      </c>
      <c r="B265" s="455" t="s">
        <v>1184</v>
      </c>
      <c r="C265" s="438" t="s">
        <v>2231</v>
      </c>
      <c r="D265" s="439">
        <f>'RM Rollforward'!H418</f>
        <v>0</v>
      </c>
      <c r="E265" s="454">
        <v>0.25</v>
      </c>
      <c r="F265" s="440">
        <v>500.0</v>
      </c>
      <c r="G265" s="441">
        <f t="shared" si="1"/>
        <v>0</v>
      </c>
      <c r="H265" s="169"/>
    </row>
    <row r="266" ht="12.0" customHeight="1">
      <c r="A266" s="455" t="s">
        <v>2359</v>
      </c>
      <c r="B266" s="455" t="s">
        <v>308</v>
      </c>
      <c r="C266" s="438" t="s">
        <v>2231</v>
      </c>
      <c r="D266" s="439">
        <f>'RM Rollforward'!H419</f>
        <v>0</v>
      </c>
      <c r="E266" s="454">
        <v>0.25</v>
      </c>
      <c r="F266" s="440">
        <v>500.0</v>
      </c>
      <c r="G266" s="441">
        <f t="shared" si="1"/>
        <v>0</v>
      </c>
      <c r="H266" s="169"/>
    </row>
    <row r="267" ht="12.0" customHeight="1">
      <c r="A267" s="455" t="s">
        <v>2360</v>
      </c>
      <c r="B267" s="455" t="s">
        <v>282</v>
      </c>
      <c r="C267" s="438" t="s">
        <v>2231</v>
      </c>
      <c r="D267" s="439">
        <f>'RM Rollforward'!H420</f>
        <v>0</v>
      </c>
      <c r="E267" s="454">
        <v>0.25</v>
      </c>
      <c r="F267" s="440">
        <v>500.0</v>
      </c>
      <c r="G267" s="441">
        <f t="shared" si="1"/>
        <v>0</v>
      </c>
      <c r="H267" s="169"/>
    </row>
    <row r="268" ht="12.0" customHeight="1">
      <c r="A268" s="455" t="s">
        <v>2361</v>
      </c>
      <c r="B268" s="455" t="s">
        <v>314</v>
      </c>
      <c r="C268" s="438" t="s">
        <v>2231</v>
      </c>
      <c r="D268" s="439">
        <f>'RM Rollforward'!H421</f>
        <v>0</v>
      </c>
      <c r="E268" s="454">
        <v>0.25</v>
      </c>
      <c r="F268" s="440">
        <v>500.0</v>
      </c>
      <c r="G268" s="441">
        <f t="shared" si="1"/>
        <v>0</v>
      </c>
      <c r="H268" s="169"/>
    </row>
    <row r="269" ht="12.0" customHeight="1">
      <c r="A269" s="455" t="s">
        <v>2362</v>
      </c>
      <c r="B269" s="455" t="s">
        <v>1186</v>
      </c>
      <c r="C269" s="438" t="s">
        <v>2231</v>
      </c>
      <c r="D269" s="439">
        <f>'RM Rollforward'!H422</f>
        <v>0</v>
      </c>
      <c r="E269" s="454">
        <v>0.25</v>
      </c>
      <c r="F269" s="440">
        <v>500.0</v>
      </c>
      <c r="G269" s="441">
        <f t="shared" si="1"/>
        <v>0</v>
      </c>
      <c r="H269" s="169"/>
    </row>
    <row r="270" ht="12.0" customHeight="1">
      <c r="A270" s="455" t="s">
        <v>2363</v>
      </c>
      <c r="B270" s="455" t="s">
        <v>2364</v>
      </c>
      <c r="C270" s="438" t="s">
        <v>2231</v>
      </c>
      <c r="D270" s="439">
        <f>'RM Rollforward'!H435</f>
        <v>0</v>
      </c>
      <c r="E270" s="454">
        <v>0.25</v>
      </c>
      <c r="F270" s="440">
        <v>500.0</v>
      </c>
      <c r="G270" s="441">
        <f t="shared" si="1"/>
        <v>0</v>
      </c>
      <c r="H270" s="169"/>
    </row>
    <row r="271" ht="12.0" customHeight="1">
      <c r="A271" s="455" t="s">
        <v>2365</v>
      </c>
      <c r="B271" s="455" t="s">
        <v>2366</v>
      </c>
      <c r="C271" s="438" t="s">
        <v>2231</v>
      </c>
      <c r="D271" s="439">
        <f>'RM Rollforward'!H436</f>
        <v>17</v>
      </c>
      <c r="E271" s="454">
        <v>0.25</v>
      </c>
      <c r="F271" s="440">
        <v>500.0</v>
      </c>
      <c r="G271" s="441">
        <f t="shared" si="1"/>
        <v>2125</v>
      </c>
      <c r="H271" s="169"/>
    </row>
    <row r="272" ht="12.0" customHeight="1">
      <c r="A272" s="455" t="s">
        <v>2367</v>
      </c>
      <c r="B272" s="455" t="s">
        <v>2368</v>
      </c>
      <c r="C272" s="438" t="s">
        <v>2231</v>
      </c>
      <c r="D272" s="439">
        <f>'RM Rollforward'!H437</f>
        <v>10</v>
      </c>
      <c r="E272" s="454">
        <v>0.25</v>
      </c>
      <c r="F272" s="440">
        <v>500.0</v>
      </c>
      <c r="G272" s="441">
        <f t="shared" si="1"/>
        <v>1250</v>
      </c>
      <c r="H272" s="169"/>
    </row>
    <row r="273" ht="12.0" customHeight="1">
      <c r="A273" s="455" t="s">
        <v>2369</v>
      </c>
      <c r="B273" s="455" t="s">
        <v>2370</v>
      </c>
      <c r="C273" s="438" t="s">
        <v>2231</v>
      </c>
      <c r="D273" s="439">
        <f>'RM Rollforward'!H438</f>
        <v>0</v>
      </c>
      <c r="E273" s="454">
        <v>0.25</v>
      </c>
      <c r="F273" s="440">
        <v>500.0</v>
      </c>
      <c r="G273" s="441">
        <f t="shared" si="1"/>
        <v>0</v>
      </c>
      <c r="H273" s="169"/>
    </row>
    <row r="274" ht="12.0" customHeight="1">
      <c r="A274" s="455" t="s">
        <v>2371</v>
      </c>
      <c r="B274" s="455" t="s">
        <v>2372</v>
      </c>
      <c r="C274" s="438" t="s">
        <v>2231</v>
      </c>
      <c r="D274" s="439">
        <f>'RM Rollforward'!H439</f>
        <v>0</v>
      </c>
      <c r="E274" s="454">
        <v>0.25</v>
      </c>
      <c r="F274" s="440">
        <v>500.0</v>
      </c>
      <c r="G274" s="441">
        <f t="shared" si="1"/>
        <v>0</v>
      </c>
      <c r="H274" s="169"/>
    </row>
    <row r="275" ht="12.0" customHeight="1">
      <c r="A275" s="455" t="s">
        <v>2373</v>
      </c>
      <c r="B275" s="455" t="s">
        <v>2374</v>
      </c>
      <c r="C275" s="438" t="s">
        <v>2231</v>
      </c>
      <c r="D275" s="439">
        <f>'RM Rollforward'!H440</f>
        <v>0</v>
      </c>
      <c r="E275" s="454">
        <v>0.25</v>
      </c>
      <c r="F275" s="440">
        <v>500.0</v>
      </c>
      <c r="G275" s="441">
        <f t="shared" si="1"/>
        <v>0</v>
      </c>
      <c r="H275" s="169"/>
    </row>
    <row r="276" ht="12.0" customHeight="1">
      <c r="A276" s="455" t="s">
        <v>2375</v>
      </c>
      <c r="B276" s="455" t="s">
        <v>2376</v>
      </c>
      <c r="C276" s="438" t="s">
        <v>2231</v>
      </c>
      <c r="D276" s="439">
        <f>'RM Rollforward'!H441</f>
        <v>0</v>
      </c>
      <c r="E276" s="454">
        <v>0.25</v>
      </c>
      <c r="F276" s="440">
        <v>500.0</v>
      </c>
      <c r="G276" s="441">
        <f t="shared" si="1"/>
        <v>0</v>
      </c>
      <c r="H276" s="169"/>
    </row>
    <row r="277" ht="12.0" customHeight="1">
      <c r="A277" s="455" t="s">
        <v>2377</v>
      </c>
      <c r="B277" s="456" t="s">
        <v>2378</v>
      </c>
      <c r="C277" s="438" t="s">
        <v>2231</v>
      </c>
      <c r="D277" s="439">
        <f>'RM Rollforward'!H442</f>
        <v>9</v>
      </c>
      <c r="E277" s="454">
        <v>0.25</v>
      </c>
      <c r="F277" s="440">
        <v>500.0</v>
      </c>
      <c r="G277" s="441">
        <f t="shared" si="1"/>
        <v>1125</v>
      </c>
      <c r="H277" s="169"/>
    </row>
    <row r="278" ht="12.0" customHeight="1">
      <c r="A278" s="455" t="s">
        <v>2379</v>
      </c>
      <c r="B278" s="456" t="s">
        <v>2380</v>
      </c>
      <c r="C278" s="438" t="s">
        <v>2231</v>
      </c>
      <c r="D278" s="439">
        <f>'RM Rollforward'!H443</f>
        <v>0</v>
      </c>
      <c r="E278" s="454">
        <v>0.25</v>
      </c>
      <c r="F278" s="440">
        <v>500.0</v>
      </c>
      <c r="G278" s="441">
        <f t="shared" si="1"/>
        <v>0</v>
      </c>
      <c r="H278" s="169"/>
    </row>
    <row r="279" ht="12.0" customHeight="1">
      <c r="A279" s="455" t="s">
        <v>2381</v>
      </c>
      <c r="B279" s="456" t="s">
        <v>2382</v>
      </c>
      <c r="C279" s="438" t="s">
        <v>2231</v>
      </c>
      <c r="D279" s="439">
        <f>'RM Rollforward'!H444</f>
        <v>0</v>
      </c>
      <c r="E279" s="454">
        <v>0.25</v>
      </c>
      <c r="F279" s="440">
        <v>500.0</v>
      </c>
      <c r="G279" s="441">
        <f t="shared" si="1"/>
        <v>0</v>
      </c>
      <c r="H279" s="169"/>
    </row>
    <row r="280" ht="12.0" customHeight="1">
      <c r="A280" s="455" t="s">
        <v>2383</v>
      </c>
      <c r="B280" s="455" t="s">
        <v>2384</v>
      </c>
      <c r="C280" s="438" t="s">
        <v>2231</v>
      </c>
      <c r="D280" s="439">
        <f>'RM Rollforward'!H445</f>
        <v>0</v>
      </c>
      <c r="E280" s="454">
        <v>0.25</v>
      </c>
      <c r="F280" s="440">
        <v>500.0</v>
      </c>
      <c r="G280" s="441">
        <f t="shared" si="1"/>
        <v>0</v>
      </c>
      <c r="H280" s="169"/>
    </row>
    <row r="281" ht="12.0" customHeight="1">
      <c r="A281" s="437" t="s">
        <v>2385</v>
      </c>
      <c r="B281" s="437" t="s">
        <v>2386</v>
      </c>
      <c r="C281" s="438" t="s">
        <v>2231</v>
      </c>
      <c r="D281" s="439">
        <f>'RM Rollforward'!H446</f>
        <v>0</v>
      </c>
      <c r="E281" s="454">
        <v>0.25</v>
      </c>
      <c r="F281" s="440">
        <v>500.0</v>
      </c>
      <c r="G281" s="441">
        <f t="shared" si="1"/>
        <v>0</v>
      </c>
      <c r="H281" s="169"/>
    </row>
    <row r="282" ht="12.0" customHeight="1">
      <c r="A282" s="437" t="s">
        <v>2387</v>
      </c>
      <c r="B282" s="437" t="s">
        <v>2388</v>
      </c>
      <c r="C282" s="438" t="s">
        <v>2231</v>
      </c>
      <c r="D282" s="439">
        <f>'RM Rollforward'!H447</f>
        <v>18</v>
      </c>
      <c r="E282" s="454">
        <v>0.25</v>
      </c>
      <c r="F282" s="440">
        <v>500.0</v>
      </c>
      <c r="G282" s="441">
        <f t="shared" si="1"/>
        <v>2250</v>
      </c>
      <c r="H282" s="169"/>
    </row>
    <row r="283" ht="12.0" customHeight="1">
      <c r="A283" s="437" t="s">
        <v>2389</v>
      </c>
      <c r="B283" s="437" t="s">
        <v>2390</v>
      </c>
      <c r="C283" s="438" t="s">
        <v>2231</v>
      </c>
      <c r="D283" s="439">
        <f>'RM Rollforward'!H448</f>
        <v>0</v>
      </c>
      <c r="E283" s="454">
        <v>0.25</v>
      </c>
      <c r="F283" s="440">
        <v>500.0</v>
      </c>
      <c r="G283" s="441">
        <f t="shared" si="1"/>
        <v>0</v>
      </c>
      <c r="H283" s="169"/>
    </row>
    <row r="284" ht="12.0" customHeight="1">
      <c r="A284" s="437" t="s">
        <v>2391</v>
      </c>
      <c r="B284" s="437" t="s">
        <v>1276</v>
      </c>
      <c r="C284" s="438" t="s">
        <v>2231</v>
      </c>
      <c r="D284" s="439">
        <f>'RM Rollforward'!H450</f>
        <v>1</v>
      </c>
      <c r="E284" s="454">
        <v>0.25</v>
      </c>
      <c r="F284" s="440">
        <v>500.0</v>
      </c>
      <c r="G284" s="441">
        <f t="shared" si="1"/>
        <v>125</v>
      </c>
      <c r="H284" s="169"/>
    </row>
    <row r="285" ht="12.0" customHeight="1">
      <c r="A285" s="437" t="s">
        <v>2392</v>
      </c>
      <c r="B285" s="437" t="s">
        <v>1280</v>
      </c>
      <c r="C285" s="438" t="s">
        <v>2231</v>
      </c>
      <c r="D285" s="439">
        <f>'RM Rollforward'!H451</f>
        <v>0</v>
      </c>
      <c r="E285" s="454">
        <v>0.25</v>
      </c>
      <c r="F285" s="440">
        <v>500.0</v>
      </c>
      <c r="G285" s="441">
        <f t="shared" si="1"/>
        <v>0</v>
      </c>
      <c r="H285" s="169"/>
    </row>
    <row r="286" ht="12.0" customHeight="1">
      <c r="A286" s="437" t="s">
        <v>2393</v>
      </c>
      <c r="B286" s="437" t="s">
        <v>1284</v>
      </c>
      <c r="C286" s="438" t="s">
        <v>2231</v>
      </c>
      <c r="D286" s="439">
        <f>'RM Rollforward'!H452</f>
        <v>25</v>
      </c>
      <c r="E286" s="454">
        <v>0.25</v>
      </c>
      <c r="F286" s="440">
        <v>500.0</v>
      </c>
      <c r="G286" s="441">
        <f t="shared" si="1"/>
        <v>3125</v>
      </c>
      <c r="H286" s="169"/>
    </row>
    <row r="287" ht="12.0" customHeight="1">
      <c r="A287" s="437" t="s">
        <v>2394</v>
      </c>
      <c r="B287" s="437" t="s">
        <v>1286</v>
      </c>
      <c r="C287" s="438" t="s">
        <v>2231</v>
      </c>
      <c r="D287" s="439">
        <f>'RM Rollforward'!H453</f>
        <v>17</v>
      </c>
      <c r="E287" s="454">
        <v>0.25</v>
      </c>
      <c r="F287" s="440">
        <v>500.0</v>
      </c>
      <c r="G287" s="441">
        <f t="shared" si="1"/>
        <v>2125</v>
      </c>
      <c r="H287" s="169"/>
    </row>
    <row r="288" ht="12.0" customHeight="1">
      <c r="A288" s="437" t="s">
        <v>2395</v>
      </c>
      <c r="B288" s="437" t="s">
        <v>1290</v>
      </c>
      <c r="C288" s="438" t="s">
        <v>2231</v>
      </c>
      <c r="D288" s="439">
        <f>'RM Rollforward'!H454</f>
        <v>15</v>
      </c>
      <c r="E288" s="454">
        <v>0.25</v>
      </c>
      <c r="F288" s="440">
        <v>500.0</v>
      </c>
      <c r="G288" s="441">
        <f t="shared" si="1"/>
        <v>1875</v>
      </c>
      <c r="H288" s="169"/>
    </row>
    <row r="289" ht="12.0" customHeight="1">
      <c r="A289" s="437" t="s">
        <v>2396</v>
      </c>
      <c r="B289" s="457" t="s">
        <v>2397</v>
      </c>
      <c r="C289" s="438" t="s">
        <v>2231</v>
      </c>
      <c r="D289" s="439">
        <f>'RM Rollforward'!H455</f>
        <v>0</v>
      </c>
      <c r="E289" s="454">
        <v>0.25</v>
      </c>
      <c r="F289" s="440">
        <v>500.0</v>
      </c>
      <c r="G289" s="441">
        <f t="shared" si="1"/>
        <v>0</v>
      </c>
      <c r="H289" s="169"/>
    </row>
    <row r="290" ht="12.0" customHeight="1">
      <c r="A290" s="437" t="s">
        <v>2398</v>
      </c>
      <c r="B290" s="437" t="s">
        <v>432</v>
      </c>
      <c r="C290" s="438" t="s">
        <v>2231</v>
      </c>
      <c r="D290" s="439">
        <f>'RM Rollforward'!H509</f>
        <v>312</v>
      </c>
      <c r="E290" s="454">
        <v>0.25</v>
      </c>
      <c r="F290" s="440">
        <v>500.0</v>
      </c>
      <c r="G290" s="441">
        <f t="shared" si="1"/>
        <v>39000</v>
      </c>
      <c r="H290" s="169"/>
    </row>
    <row r="291" ht="12.0" customHeight="1">
      <c r="A291" s="437" t="s">
        <v>2399</v>
      </c>
      <c r="B291" s="437" t="s">
        <v>328</v>
      </c>
      <c r="C291" s="438" t="s">
        <v>2231</v>
      </c>
      <c r="D291" s="439">
        <f>'RM Rollforward'!H510</f>
        <v>63</v>
      </c>
      <c r="E291" s="454">
        <v>0.25</v>
      </c>
      <c r="F291" s="440">
        <v>500.0</v>
      </c>
      <c r="G291" s="441">
        <f t="shared" si="1"/>
        <v>7875</v>
      </c>
      <c r="H291" s="169"/>
    </row>
    <row r="292" ht="12.0" customHeight="1">
      <c r="A292" s="437" t="s">
        <v>2400</v>
      </c>
      <c r="B292" s="437" t="s">
        <v>296</v>
      </c>
      <c r="C292" s="438" t="s">
        <v>2231</v>
      </c>
      <c r="D292" s="439">
        <f>'RM Rollforward'!H511</f>
        <v>0</v>
      </c>
      <c r="E292" s="454">
        <v>0.25</v>
      </c>
      <c r="F292" s="440">
        <v>500.0</v>
      </c>
      <c r="G292" s="441">
        <f t="shared" si="1"/>
        <v>0</v>
      </c>
      <c r="H292" s="169"/>
    </row>
    <row r="293" ht="12.0" customHeight="1">
      <c r="A293" s="437" t="s">
        <v>2401</v>
      </c>
      <c r="B293" s="437" t="s">
        <v>300</v>
      </c>
      <c r="C293" s="438" t="s">
        <v>2231</v>
      </c>
      <c r="D293" s="439">
        <f>'RM Rollforward'!H512</f>
        <v>0</v>
      </c>
      <c r="E293" s="454">
        <v>0.25</v>
      </c>
      <c r="F293" s="440">
        <v>500.0</v>
      </c>
      <c r="G293" s="441">
        <f t="shared" si="1"/>
        <v>0</v>
      </c>
      <c r="H293" s="169"/>
    </row>
    <row r="294" ht="12.0" customHeight="1">
      <c r="A294" s="437" t="s">
        <v>2402</v>
      </c>
      <c r="B294" s="437" t="s">
        <v>2403</v>
      </c>
      <c r="C294" s="438" t="s">
        <v>2231</v>
      </c>
      <c r="D294" s="439">
        <f>'RM Rollforward'!H513</f>
        <v>0</v>
      </c>
      <c r="E294" s="454">
        <v>0.25</v>
      </c>
      <c r="F294" s="440">
        <v>500.0</v>
      </c>
      <c r="G294" s="441">
        <f t="shared" si="1"/>
        <v>0</v>
      </c>
      <c r="H294" s="169"/>
    </row>
    <row r="295" ht="12.0" customHeight="1">
      <c r="A295" s="437" t="s">
        <v>2404</v>
      </c>
      <c r="B295" s="437" t="s">
        <v>2405</v>
      </c>
      <c r="C295" s="438" t="s">
        <v>2231</v>
      </c>
      <c r="D295" s="439">
        <f>'RM Rollforward'!H514</f>
        <v>0</v>
      </c>
      <c r="E295" s="454">
        <v>0.25</v>
      </c>
      <c r="F295" s="440">
        <v>500.0</v>
      </c>
      <c r="G295" s="441">
        <f t="shared" si="1"/>
        <v>0</v>
      </c>
      <c r="H295" s="169"/>
    </row>
    <row r="296" ht="12.0" customHeight="1">
      <c r="A296" s="437" t="s">
        <v>2406</v>
      </c>
      <c r="B296" s="437" t="s">
        <v>1302</v>
      </c>
      <c r="C296" s="438" t="s">
        <v>2231</v>
      </c>
      <c r="D296" s="439">
        <f>'RM Rollforward'!H515</f>
        <v>2798</v>
      </c>
      <c r="E296" s="454">
        <v>0.25</v>
      </c>
      <c r="F296" s="440">
        <v>500.0</v>
      </c>
      <c r="G296" s="441">
        <f t="shared" si="1"/>
        <v>349750</v>
      </c>
      <c r="H296" s="169"/>
    </row>
    <row r="297" ht="12.0" customHeight="1">
      <c r="A297" s="437" t="s">
        <v>2407</v>
      </c>
      <c r="B297" s="437" t="s">
        <v>1304</v>
      </c>
      <c r="C297" s="438" t="s">
        <v>2231</v>
      </c>
      <c r="D297" s="439">
        <f>'RM Rollforward'!H516</f>
        <v>390</v>
      </c>
      <c r="E297" s="454">
        <v>0.25</v>
      </c>
      <c r="F297" s="440">
        <v>500.0</v>
      </c>
      <c r="G297" s="441">
        <f t="shared" si="1"/>
        <v>48750</v>
      </c>
      <c r="H297" s="169"/>
    </row>
    <row r="298" ht="12.0" customHeight="1">
      <c r="A298" s="437" t="s">
        <v>2408</v>
      </c>
      <c r="B298" s="437" t="s">
        <v>280</v>
      </c>
      <c r="C298" s="438" t="s">
        <v>2231</v>
      </c>
      <c r="D298" s="439">
        <f>'RM Rollforward'!H517</f>
        <v>422</v>
      </c>
      <c r="E298" s="454">
        <v>0.25</v>
      </c>
      <c r="F298" s="440">
        <v>500.0</v>
      </c>
      <c r="G298" s="441">
        <f t="shared" si="1"/>
        <v>52750</v>
      </c>
      <c r="H298" s="169"/>
    </row>
    <row r="299" ht="12.0" customHeight="1">
      <c r="A299" s="437" t="s">
        <v>2409</v>
      </c>
      <c r="B299" s="437" t="s">
        <v>1306</v>
      </c>
      <c r="C299" s="438" t="s">
        <v>2231</v>
      </c>
      <c r="D299" s="439">
        <f>'RM Rollforward'!H518</f>
        <v>3687</v>
      </c>
      <c r="E299" s="454">
        <v>0.25</v>
      </c>
      <c r="F299" s="440">
        <v>500.0</v>
      </c>
      <c r="G299" s="441">
        <f t="shared" si="1"/>
        <v>460875</v>
      </c>
      <c r="H299" s="169"/>
    </row>
    <row r="300" ht="12.0" customHeight="1">
      <c r="A300" s="437" t="s">
        <v>2410</v>
      </c>
      <c r="B300" s="437" t="s">
        <v>380</v>
      </c>
      <c r="C300" s="438" t="s">
        <v>2231</v>
      </c>
      <c r="D300" s="439">
        <f>'RM Rollforward'!H519</f>
        <v>867</v>
      </c>
      <c r="E300" s="454">
        <v>0.25</v>
      </c>
      <c r="F300" s="440">
        <v>500.0</v>
      </c>
      <c r="G300" s="441">
        <f t="shared" si="1"/>
        <v>108375</v>
      </c>
      <c r="H300" s="169"/>
    </row>
    <row r="301" ht="12.0" customHeight="1">
      <c r="A301" s="437" t="s">
        <v>2411</v>
      </c>
      <c r="B301" s="437" t="s">
        <v>352</v>
      </c>
      <c r="C301" s="438" t="s">
        <v>2231</v>
      </c>
      <c r="D301" s="439">
        <f>'RM Rollforward'!H520</f>
        <v>0</v>
      </c>
      <c r="E301" s="454">
        <v>0.25</v>
      </c>
      <c r="F301" s="440">
        <v>500.0</v>
      </c>
      <c r="G301" s="441">
        <f t="shared" si="1"/>
        <v>0</v>
      </c>
      <c r="H301" s="169"/>
    </row>
    <row r="302" ht="12.0" customHeight="1">
      <c r="A302" s="437" t="s">
        <v>2412</v>
      </c>
      <c r="B302" s="437" t="s">
        <v>286</v>
      </c>
      <c r="C302" s="438" t="s">
        <v>2231</v>
      </c>
      <c r="D302" s="439">
        <f>'RM Rollforward'!H521</f>
        <v>205</v>
      </c>
      <c r="E302" s="454">
        <v>0.25</v>
      </c>
      <c r="F302" s="440">
        <v>500.0</v>
      </c>
      <c r="G302" s="441">
        <f t="shared" si="1"/>
        <v>25625</v>
      </c>
      <c r="H302" s="169"/>
    </row>
    <row r="303" ht="12.0" customHeight="1">
      <c r="A303" s="437" t="s">
        <v>2413</v>
      </c>
      <c r="B303" s="437" t="s">
        <v>426</v>
      </c>
      <c r="C303" s="438" t="s">
        <v>2231</v>
      </c>
      <c r="D303" s="447">
        <f>'RM Rollforward'!H522</f>
        <v>0</v>
      </c>
      <c r="E303" s="458">
        <v>0.25</v>
      </c>
      <c r="F303" s="440">
        <v>500.0</v>
      </c>
      <c r="G303" s="443">
        <f t="shared" si="1"/>
        <v>0</v>
      </c>
      <c r="H303" s="169"/>
    </row>
    <row r="304" ht="12.0" customHeight="1">
      <c r="C304" s="89"/>
      <c r="D304" s="448"/>
      <c r="E304" s="428"/>
      <c r="F304" s="429"/>
      <c r="G304" s="449">
        <f>SUM(G5:G303)</f>
        <v>1358130</v>
      </c>
    </row>
    <row r="305" ht="15.75" customHeight="1">
      <c r="C305" s="89"/>
      <c r="D305" s="427"/>
      <c r="E305" s="428"/>
      <c r="F305" s="429"/>
      <c r="G305" s="338"/>
    </row>
    <row r="306" ht="15.75" customHeight="1">
      <c r="C306" s="89"/>
      <c r="D306" s="427"/>
      <c r="E306" s="428"/>
      <c r="F306" s="429"/>
      <c r="G306" s="338"/>
    </row>
    <row r="307" ht="15.75" customHeight="1">
      <c r="C307" s="89"/>
      <c r="D307" s="427"/>
      <c r="E307" s="428"/>
      <c r="F307" s="429"/>
      <c r="G307" s="338"/>
    </row>
    <row r="308" ht="15.75" customHeight="1">
      <c r="C308" s="89"/>
      <c r="D308" s="427"/>
      <c r="E308" s="428"/>
      <c r="F308" s="429"/>
      <c r="G308" s="338"/>
    </row>
    <row r="309" ht="15.75" customHeight="1">
      <c r="C309" s="89"/>
      <c r="D309" s="427"/>
      <c r="E309" s="428"/>
      <c r="F309" s="429"/>
      <c r="G309" s="338"/>
    </row>
    <row r="310" ht="15.75" customHeight="1">
      <c r="C310" s="89"/>
      <c r="D310" s="427"/>
      <c r="E310" s="428"/>
      <c r="F310" s="429"/>
      <c r="G310" s="338"/>
    </row>
    <row r="311" ht="15.75" customHeight="1">
      <c r="C311" s="89"/>
      <c r="D311" s="427"/>
      <c r="E311" s="428"/>
      <c r="F311" s="429"/>
      <c r="G311" s="338"/>
    </row>
    <row r="312" ht="15.75" customHeight="1">
      <c r="C312" s="89"/>
      <c r="D312" s="427"/>
      <c r="E312" s="428"/>
      <c r="F312" s="429"/>
      <c r="G312" s="338"/>
    </row>
    <row r="313" ht="15.75" customHeight="1">
      <c r="C313" s="89"/>
      <c r="D313" s="427"/>
      <c r="E313" s="428"/>
      <c r="F313" s="429"/>
      <c r="G313" s="338"/>
    </row>
    <row r="314" ht="15.75" customHeight="1">
      <c r="C314" s="89"/>
      <c r="D314" s="427"/>
      <c r="E314" s="428"/>
      <c r="F314" s="429"/>
      <c r="G314" s="338"/>
    </row>
    <row r="315" ht="15.75" customHeight="1">
      <c r="C315" s="89"/>
      <c r="D315" s="427"/>
      <c r="E315" s="428"/>
      <c r="F315" s="429"/>
      <c r="G315" s="338"/>
    </row>
    <row r="316" ht="15.75" customHeight="1">
      <c r="C316" s="89"/>
      <c r="D316" s="427"/>
      <c r="E316" s="428"/>
      <c r="F316" s="429"/>
      <c r="G316" s="338"/>
    </row>
    <row r="317" ht="15.75" customHeight="1">
      <c r="C317" s="89"/>
      <c r="D317" s="427"/>
      <c r="E317" s="428"/>
      <c r="F317" s="429"/>
      <c r="G317" s="338"/>
    </row>
    <row r="318" ht="15.75" customHeight="1">
      <c r="C318" s="89"/>
      <c r="D318" s="427"/>
      <c r="E318" s="428"/>
      <c r="F318" s="429"/>
      <c r="G318" s="338"/>
    </row>
    <row r="319" ht="15.75" customHeight="1">
      <c r="C319" s="89"/>
      <c r="D319" s="427"/>
      <c r="E319" s="428"/>
      <c r="F319" s="429"/>
      <c r="G319" s="338"/>
    </row>
    <row r="320" ht="15.75" customHeight="1">
      <c r="C320" s="89"/>
      <c r="D320" s="427"/>
      <c r="E320" s="428"/>
      <c r="F320" s="429"/>
      <c r="G320" s="338"/>
    </row>
    <row r="321" ht="15.75" customHeight="1">
      <c r="C321" s="89"/>
      <c r="D321" s="427"/>
      <c r="E321" s="428"/>
      <c r="F321" s="429"/>
      <c r="G321" s="338"/>
    </row>
    <row r="322" ht="15.75" customHeight="1">
      <c r="C322" s="89"/>
      <c r="D322" s="427"/>
      <c r="E322" s="428"/>
      <c r="F322" s="429"/>
      <c r="G322" s="338"/>
    </row>
    <row r="323" ht="15.75" customHeight="1">
      <c r="C323" s="89"/>
      <c r="D323" s="427"/>
      <c r="E323" s="428"/>
      <c r="F323" s="429"/>
      <c r="G323" s="338"/>
    </row>
    <row r="324" ht="15.75" customHeight="1">
      <c r="C324" s="89"/>
      <c r="D324" s="427"/>
      <c r="E324" s="428"/>
      <c r="F324" s="429"/>
      <c r="G324" s="338"/>
    </row>
    <row r="325" ht="15.75" customHeight="1">
      <c r="C325" s="89"/>
      <c r="D325" s="427"/>
      <c r="E325" s="428"/>
      <c r="F325" s="429"/>
      <c r="G325" s="338"/>
    </row>
    <row r="326" ht="15.75" customHeight="1">
      <c r="C326" s="89"/>
      <c r="D326" s="427"/>
      <c r="E326" s="428"/>
      <c r="F326" s="429"/>
      <c r="G326" s="338"/>
    </row>
    <row r="327" ht="15.75" customHeight="1">
      <c r="C327" s="89"/>
      <c r="D327" s="427"/>
      <c r="E327" s="428"/>
      <c r="F327" s="429"/>
      <c r="G327" s="338"/>
    </row>
    <row r="328" ht="15.75" customHeight="1">
      <c r="C328" s="89"/>
      <c r="D328" s="427"/>
      <c r="E328" s="428"/>
      <c r="F328" s="429"/>
      <c r="G328" s="338"/>
    </row>
    <row r="329" ht="15.75" customHeight="1">
      <c r="C329" s="89"/>
      <c r="D329" s="427"/>
      <c r="E329" s="428"/>
      <c r="F329" s="429"/>
      <c r="G329" s="338"/>
    </row>
    <row r="330" ht="15.75" customHeight="1">
      <c r="C330" s="89"/>
      <c r="D330" s="427"/>
      <c r="E330" s="428"/>
      <c r="F330" s="429"/>
      <c r="G330" s="338"/>
    </row>
    <row r="331" ht="15.75" customHeight="1">
      <c r="C331" s="89"/>
      <c r="D331" s="427"/>
      <c r="E331" s="428"/>
      <c r="F331" s="429"/>
      <c r="G331" s="338"/>
    </row>
    <row r="332" ht="15.75" customHeight="1">
      <c r="C332" s="89"/>
      <c r="D332" s="427"/>
      <c r="E332" s="428"/>
      <c r="F332" s="429"/>
      <c r="G332" s="338"/>
    </row>
    <row r="333" ht="15.75" customHeight="1">
      <c r="C333" s="89"/>
      <c r="D333" s="427"/>
      <c r="E333" s="428"/>
      <c r="F333" s="429"/>
      <c r="G333" s="338"/>
    </row>
    <row r="334" ht="15.75" customHeight="1">
      <c r="C334" s="89"/>
      <c r="D334" s="427"/>
      <c r="E334" s="428"/>
      <c r="F334" s="429"/>
      <c r="G334" s="338"/>
    </row>
    <row r="335" ht="15.75" customHeight="1">
      <c r="C335" s="89"/>
      <c r="D335" s="427"/>
      <c r="E335" s="428"/>
      <c r="F335" s="429"/>
      <c r="G335" s="338"/>
    </row>
    <row r="336" ht="15.75" customHeight="1">
      <c r="C336" s="89"/>
      <c r="D336" s="427"/>
      <c r="E336" s="428"/>
      <c r="F336" s="429"/>
      <c r="G336" s="338"/>
    </row>
    <row r="337" ht="15.75" customHeight="1">
      <c r="C337" s="89"/>
      <c r="D337" s="427"/>
      <c r="E337" s="428"/>
      <c r="F337" s="429"/>
      <c r="G337" s="338"/>
    </row>
    <row r="338" ht="15.75" customHeight="1">
      <c r="C338" s="89"/>
      <c r="D338" s="427"/>
      <c r="E338" s="428"/>
      <c r="F338" s="429"/>
      <c r="G338" s="338"/>
    </row>
    <row r="339" ht="15.75" customHeight="1">
      <c r="C339" s="89"/>
      <c r="D339" s="427"/>
      <c r="E339" s="428"/>
      <c r="F339" s="429"/>
      <c r="G339" s="338"/>
    </row>
    <row r="340" ht="15.75" customHeight="1">
      <c r="C340" s="89"/>
      <c r="D340" s="427"/>
      <c r="E340" s="428"/>
      <c r="F340" s="429"/>
      <c r="G340" s="338"/>
    </row>
    <row r="341" ht="15.75" customHeight="1">
      <c r="C341" s="89"/>
      <c r="D341" s="427"/>
      <c r="E341" s="428"/>
      <c r="F341" s="429"/>
      <c r="G341" s="338"/>
    </row>
    <row r="342" ht="15.75" customHeight="1">
      <c r="C342" s="89"/>
      <c r="D342" s="427"/>
      <c r="E342" s="428"/>
      <c r="F342" s="429"/>
      <c r="G342" s="338"/>
    </row>
    <row r="343" ht="15.75" customHeight="1">
      <c r="C343" s="89"/>
      <c r="D343" s="427"/>
      <c r="E343" s="428"/>
      <c r="F343" s="429"/>
      <c r="G343" s="338"/>
    </row>
    <row r="344" ht="15.75" customHeight="1">
      <c r="C344" s="89"/>
      <c r="D344" s="427"/>
      <c r="E344" s="428"/>
      <c r="F344" s="429"/>
      <c r="G344" s="338"/>
    </row>
    <row r="345" ht="15.75" customHeight="1">
      <c r="C345" s="89"/>
      <c r="D345" s="427"/>
      <c r="E345" s="428"/>
      <c r="F345" s="429"/>
      <c r="G345" s="338"/>
    </row>
    <row r="346" ht="15.75" customHeight="1">
      <c r="C346" s="89"/>
      <c r="D346" s="427"/>
      <c r="E346" s="428"/>
      <c r="F346" s="429"/>
      <c r="G346" s="338"/>
    </row>
    <row r="347" ht="15.75" customHeight="1">
      <c r="C347" s="89"/>
      <c r="D347" s="427"/>
      <c r="E347" s="428"/>
      <c r="F347" s="429"/>
      <c r="G347" s="338"/>
    </row>
    <row r="348" ht="15.75" customHeight="1">
      <c r="C348" s="89"/>
      <c r="D348" s="427"/>
      <c r="E348" s="428"/>
      <c r="F348" s="429"/>
      <c r="G348" s="338"/>
    </row>
    <row r="349" ht="15.75" customHeight="1">
      <c r="C349" s="89"/>
      <c r="D349" s="427"/>
      <c r="E349" s="428"/>
      <c r="F349" s="429"/>
      <c r="G349" s="338"/>
    </row>
    <row r="350" ht="15.75" customHeight="1">
      <c r="C350" s="89"/>
      <c r="D350" s="427"/>
      <c r="E350" s="428"/>
      <c r="F350" s="429"/>
      <c r="G350" s="338"/>
    </row>
    <row r="351" ht="15.75" customHeight="1">
      <c r="C351" s="89"/>
      <c r="D351" s="427"/>
      <c r="E351" s="428"/>
      <c r="F351" s="429"/>
      <c r="G351" s="338"/>
    </row>
    <row r="352" ht="15.75" customHeight="1">
      <c r="C352" s="89"/>
      <c r="D352" s="427"/>
      <c r="E352" s="428"/>
      <c r="F352" s="429"/>
      <c r="G352" s="338"/>
    </row>
    <row r="353" ht="15.75" customHeight="1">
      <c r="C353" s="89"/>
      <c r="D353" s="427"/>
      <c r="E353" s="428"/>
      <c r="F353" s="429"/>
      <c r="G353" s="338"/>
    </row>
    <row r="354" ht="15.75" customHeight="1">
      <c r="C354" s="89"/>
      <c r="D354" s="427"/>
      <c r="E354" s="428"/>
      <c r="F354" s="429"/>
      <c r="G354" s="338"/>
    </row>
    <row r="355" ht="15.75" customHeight="1">
      <c r="C355" s="89"/>
      <c r="D355" s="427"/>
      <c r="E355" s="428"/>
      <c r="F355" s="429"/>
      <c r="G355" s="338"/>
    </row>
    <row r="356" ht="15.75" customHeight="1">
      <c r="C356" s="89"/>
      <c r="D356" s="427"/>
      <c r="E356" s="428"/>
      <c r="F356" s="429"/>
      <c r="G356" s="338"/>
    </row>
    <row r="357" ht="15.75" customHeight="1">
      <c r="C357" s="89"/>
      <c r="D357" s="427"/>
      <c r="E357" s="428"/>
      <c r="F357" s="429"/>
      <c r="G357" s="338"/>
    </row>
    <row r="358" ht="15.75" customHeight="1">
      <c r="C358" s="89"/>
      <c r="D358" s="427"/>
      <c r="E358" s="428"/>
      <c r="F358" s="429"/>
      <c r="G358" s="338"/>
    </row>
    <row r="359" ht="15.75" customHeight="1">
      <c r="C359" s="89"/>
      <c r="D359" s="427"/>
      <c r="E359" s="428"/>
      <c r="F359" s="429"/>
      <c r="G359" s="338"/>
    </row>
    <row r="360" ht="15.75" customHeight="1">
      <c r="C360" s="89"/>
      <c r="D360" s="427"/>
      <c r="E360" s="428"/>
      <c r="F360" s="429"/>
      <c r="G360" s="338"/>
    </row>
    <row r="361" ht="15.75" customHeight="1">
      <c r="C361" s="89"/>
      <c r="D361" s="427"/>
      <c r="E361" s="428"/>
      <c r="F361" s="429"/>
      <c r="G361" s="338"/>
    </row>
    <row r="362" ht="15.75" customHeight="1">
      <c r="C362" s="89"/>
      <c r="D362" s="427"/>
      <c r="E362" s="428"/>
      <c r="F362" s="429"/>
      <c r="G362" s="338"/>
    </row>
    <row r="363" ht="15.75" customHeight="1">
      <c r="C363" s="89"/>
      <c r="D363" s="427"/>
      <c r="E363" s="428"/>
      <c r="F363" s="429"/>
      <c r="G363" s="338"/>
    </row>
    <row r="364" ht="15.75" customHeight="1">
      <c r="E364" s="428"/>
      <c r="F364" s="429"/>
    </row>
    <row r="365" ht="15.75" customHeight="1">
      <c r="E365" s="428"/>
      <c r="F365" s="429"/>
    </row>
    <row r="366" ht="15.75" customHeight="1">
      <c r="E366" s="428"/>
      <c r="F366" s="429"/>
    </row>
    <row r="367" ht="15.75" customHeight="1">
      <c r="E367" s="428"/>
      <c r="F367" s="429"/>
    </row>
    <row r="368" ht="15.75" customHeight="1">
      <c r="E368" s="428"/>
      <c r="F368" s="429"/>
    </row>
    <row r="369" ht="15.75" customHeight="1">
      <c r="E369" s="428"/>
      <c r="F369" s="429"/>
    </row>
    <row r="370" ht="15.75" customHeight="1">
      <c r="E370" s="428"/>
      <c r="F370" s="429"/>
    </row>
    <row r="371" ht="15.75" customHeight="1">
      <c r="E371" s="428"/>
      <c r="F371" s="429"/>
    </row>
    <row r="372" ht="15.75" customHeight="1">
      <c r="E372" s="428"/>
      <c r="F372" s="429"/>
    </row>
    <row r="373" ht="15.75" customHeight="1">
      <c r="E373" s="428"/>
      <c r="F373" s="429"/>
    </row>
    <row r="374" ht="15.75" customHeight="1">
      <c r="E374" s="428"/>
      <c r="F374" s="429"/>
    </row>
    <row r="375" ht="15.75" customHeight="1">
      <c r="E375" s="428"/>
      <c r="F375" s="429"/>
    </row>
    <row r="376" ht="15.75" customHeight="1">
      <c r="E376" s="428"/>
      <c r="F376" s="429"/>
    </row>
    <row r="377" ht="15.75" customHeight="1">
      <c r="E377" s="428"/>
      <c r="F377" s="429"/>
    </row>
    <row r="378" ht="15.75" customHeight="1">
      <c r="E378" s="428"/>
      <c r="F378" s="429"/>
    </row>
    <row r="379" ht="15.75" customHeight="1">
      <c r="E379" s="428"/>
      <c r="F379" s="429"/>
    </row>
    <row r="380" ht="15.75" customHeight="1">
      <c r="E380" s="428"/>
      <c r="F380" s="429"/>
    </row>
    <row r="381" ht="15.75" customHeight="1">
      <c r="E381" s="428"/>
      <c r="F381" s="429"/>
    </row>
    <row r="382" ht="15.75" customHeight="1">
      <c r="E382" s="428"/>
      <c r="F382" s="429"/>
    </row>
    <row r="383" ht="15.75" customHeight="1">
      <c r="E383" s="428"/>
      <c r="F383" s="429"/>
    </row>
    <row r="384" ht="15.75" customHeight="1">
      <c r="E384" s="428"/>
      <c r="F384" s="429"/>
    </row>
    <row r="385" ht="15.75" customHeight="1">
      <c r="E385" s="428"/>
      <c r="F385" s="429"/>
    </row>
    <row r="386" ht="15.75" customHeight="1">
      <c r="E386" s="428"/>
      <c r="F386" s="429"/>
    </row>
    <row r="387" ht="15.75" customHeight="1">
      <c r="E387" s="428"/>
      <c r="F387" s="429"/>
    </row>
    <row r="388" ht="15.75" customHeight="1">
      <c r="E388" s="428"/>
      <c r="F388" s="429"/>
    </row>
    <row r="389" ht="15.75" customHeight="1">
      <c r="E389" s="428"/>
      <c r="F389" s="429"/>
    </row>
    <row r="390" ht="15.75" customHeight="1">
      <c r="E390" s="428"/>
      <c r="F390" s="429"/>
    </row>
    <row r="391" ht="15.75" customHeight="1">
      <c r="E391" s="428"/>
      <c r="F391" s="429"/>
    </row>
    <row r="392" ht="15.75" customHeight="1">
      <c r="E392" s="428"/>
      <c r="F392" s="429"/>
    </row>
    <row r="393" ht="15.75" customHeight="1">
      <c r="E393" s="428"/>
      <c r="F393" s="429"/>
    </row>
    <row r="394" ht="15.75" customHeight="1">
      <c r="E394" s="428"/>
      <c r="F394" s="429"/>
    </row>
    <row r="395" ht="15.75" customHeight="1">
      <c r="E395" s="428"/>
      <c r="F395" s="429"/>
    </row>
    <row r="396" ht="15.75" customHeight="1">
      <c r="E396" s="428"/>
      <c r="F396" s="429"/>
    </row>
    <row r="397" ht="15.75" customHeight="1">
      <c r="E397" s="428"/>
      <c r="F397" s="429"/>
    </row>
    <row r="398" ht="15.75" customHeight="1">
      <c r="E398" s="428"/>
      <c r="F398" s="429"/>
    </row>
    <row r="399" ht="15.75" customHeight="1">
      <c r="E399" s="428"/>
      <c r="F399" s="429"/>
    </row>
    <row r="400" ht="15.75" customHeight="1">
      <c r="E400" s="428"/>
      <c r="F400" s="429"/>
    </row>
    <row r="401" ht="15.75" customHeight="1">
      <c r="E401" s="428"/>
      <c r="F401" s="429"/>
    </row>
    <row r="402" ht="15.75" customHeight="1">
      <c r="E402" s="428"/>
      <c r="F402" s="429"/>
    </row>
    <row r="403" ht="15.75" customHeight="1">
      <c r="E403" s="428"/>
      <c r="F403" s="429"/>
    </row>
    <row r="404" ht="15.75" customHeight="1">
      <c r="E404" s="428"/>
      <c r="F404" s="429"/>
    </row>
    <row r="405" ht="15.75" customHeight="1">
      <c r="E405" s="428"/>
      <c r="F405" s="429"/>
    </row>
    <row r="406" ht="15.75" customHeight="1">
      <c r="E406" s="428"/>
      <c r="F406" s="429"/>
    </row>
    <row r="407" ht="15.75" customHeight="1">
      <c r="E407" s="428"/>
      <c r="F407" s="429"/>
    </row>
    <row r="408" ht="15.75" customHeight="1">
      <c r="E408" s="428"/>
      <c r="F408" s="429"/>
    </row>
    <row r="409" ht="15.75" customHeight="1">
      <c r="E409" s="428"/>
      <c r="F409" s="429"/>
    </row>
    <row r="410" ht="15.75" customHeight="1">
      <c r="E410" s="428"/>
      <c r="F410" s="429"/>
    </row>
    <row r="411" ht="15.75" customHeight="1">
      <c r="E411" s="428"/>
      <c r="F411" s="429"/>
    </row>
    <row r="412" ht="15.75" customHeight="1">
      <c r="E412" s="428"/>
      <c r="F412" s="429"/>
    </row>
    <row r="413" ht="15.75" customHeight="1">
      <c r="E413" s="428"/>
      <c r="F413" s="429"/>
    </row>
    <row r="414" ht="15.75" customHeight="1">
      <c r="E414" s="428"/>
      <c r="F414" s="429"/>
    </row>
    <row r="415" ht="15.75" customHeight="1">
      <c r="E415" s="428"/>
      <c r="F415" s="429"/>
    </row>
    <row r="416" ht="15.75" customHeight="1">
      <c r="E416" s="428"/>
      <c r="F416" s="429"/>
    </row>
    <row r="417" ht="15.75" customHeight="1">
      <c r="E417" s="428"/>
      <c r="F417" s="429"/>
    </row>
    <row r="418" ht="15.75" customHeight="1">
      <c r="E418" s="428"/>
      <c r="F418" s="429"/>
    </row>
    <row r="419" ht="15.75" customHeight="1">
      <c r="E419" s="428"/>
      <c r="F419" s="429"/>
    </row>
    <row r="420" ht="15.75" customHeight="1">
      <c r="E420" s="428"/>
      <c r="F420" s="429"/>
    </row>
    <row r="421" ht="15.75" customHeight="1">
      <c r="E421" s="428"/>
      <c r="F421" s="429"/>
    </row>
    <row r="422" ht="15.75" customHeight="1">
      <c r="E422" s="428"/>
      <c r="F422" s="429"/>
    </row>
    <row r="423" ht="15.75" customHeight="1">
      <c r="E423" s="428"/>
      <c r="F423" s="429"/>
    </row>
    <row r="424" ht="15.75" customHeight="1">
      <c r="E424" s="428"/>
      <c r="F424" s="429"/>
    </row>
    <row r="425" ht="15.75" customHeight="1">
      <c r="E425" s="428"/>
      <c r="F425" s="429"/>
    </row>
    <row r="426" ht="15.75" customHeight="1">
      <c r="E426" s="428"/>
      <c r="F426" s="429"/>
    </row>
    <row r="427" ht="15.75" customHeight="1">
      <c r="E427" s="428"/>
      <c r="F427" s="429"/>
    </row>
    <row r="428" ht="15.75" customHeight="1">
      <c r="E428" s="428"/>
      <c r="F428" s="429"/>
    </row>
    <row r="429" ht="15.75" customHeight="1">
      <c r="E429" s="428"/>
      <c r="F429" s="429"/>
    </row>
    <row r="430" ht="15.75" customHeight="1">
      <c r="E430" s="428"/>
      <c r="F430" s="429"/>
    </row>
    <row r="431" ht="15.75" customHeight="1">
      <c r="E431" s="428"/>
      <c r="F431" s="429"/>
    </row>
    <row r="432" ht="15.75" customHeight="1">
      <c r="E432" s="428"/>
      <c r="F432" s="429"/>
    </row>
    <row r="433" ht="15.75" customHeight="1">
      <c r="E433" s="428"/>
      <c r="F433" s="429"/>
    </row>
    <row r="434" ht="15.75" customHeight="1">
      <c r="E434" s="428"/>
      <c r="F434" s="429"/>
    </row>
    <row r="435" ht="15.75" customHeight="1">
      <c r="E435" s="428"/>
      <c r="F435" s="429"/>
    </row>
    <row r="436" ht="15.75" customHeight="1">
      <c r="E436" s="428"/>
      <c r="F436" s="429"/>
    </row>
    <row r="437" ht="15.75" customHeight="1">
      <c r="E437" s="428"/>
      <c r="F437" s="429"/>
    </row>
    <row r="438" ht="15.75" customHeight="1">
      <c r="E438" s="428"/>
      <c r="F438" s="429"/>
    </row>
    <row r="439" ht="15.75" customHeight="1">
      <c r="E439" s="428"/>
      <c r="F439" s="429"/>
    </row>
    <row r="440" ht="15.75" customHeight="1">
      <c r="E440" s="428"/>
      <c r="F440" s="429"/>
    </row>
    <row r="441" ht="15.75" customHeight="1">
      <c r="E441" s="428"/>
      <c r="F441" s="429"/>
    </row>
    <row r="442" ht="15.75" customHeight="1">
      <c r="E442" s="428"/>
      <c r="F442" s="429"/>
    </row>
    <row r="443" ht="15.75" customHeight="1">
      <c r="E443" s="428"/>
      <c r="F443" s="429"/>
    </row>
    <row r="444" ht="15.75" customHeight="1">
      <c r="E444" s="428"/>
      <c r="F444" s="429"/>
    </row>
    <row r="445" ht="15.75" customHeight="1">
      <c r="E445" s="428"/>
      <c r="F445" s="429"/>
    </row>
    <row r="446" ht="15.75" customHeight="1">
      <c r="E446" s="428"/>
      <c r="F446" s="429"/>
    </row>
    <row r="447" ht="15.75" customHeight="1">
      <c r="E447" s="428"/>
      <c r="F447" s="429"/>
    </row>
    <row r="448" ht="15.75" customHeight="1">
      <c r="E448" s="428"/>
      <c r="F448" s="429"/>
    </row>
    <row r="449" ht="15.75" customHeight="1">
      <c r="E449" s="428"/>
      <c r="F449" s="429"/>
    </row>
    <row r="450" ht="15.75" customHeight="1">
      <c r="E450" s="428"/>
      <c r="F450" s="429"/>
    </row>
    <row r="451" ht="15.75" customHeight="1">
      <c r="E451" s="428"/>
      <c r="F451" s="429"/>
    </row>
    <row r="452" ht="15.75" customHeight="1">
      <c r="E452" s="428"/>
      <c r="F452" s="429"/>
    </row>
    <row r="453" ht="15.75" customHeight="1">
      <c r="E453" s="428"/>
      <c r="F453" s="429"/>
    </row>
    <row r="454" ht="15.75" customHeight="1">
      <c r="E454" s="428"/>
      <c r="F454" s="429"/>
    </row>
    <row r="455" ht="15.75" customHeight="1">
      <c r="E455" s="428"/>
      <c r="F455" s="429"/>
    </row>
    <row r="456" ht="15.75" customHeight="1">
      <c r="E456" s="428"/>
      <c r="F456" s="429"/>
    </row>
    <row r="457" ht="15.75" customHeight="1">
      <c r="E457" s="428"/>
      <c r="F457" s="429"/>
    </row>
    <row r="458" ht="15.75" customHeight="1">
      <c r="E458" s="428"/>
      <c r="F458" s="429"/>
    </row>
    <row r="459" ht="15.75" customHeight="1">
      <c r="E459" s="428"/>
      <c r="F459" s="429"/>
    </row>
    <row r="460" ht="15.75" customHeight="1">
      <c r="E460" s="428"/>
      <c r="F460" s="429"/>
    </row>
    <row r="461" ht="15.75" customHeight="1">
      <c r="E461" s="428"/>
      <c r="F461" s="429"/>
    </row>
    <row r="462" ht="15.75" customHeight="1">
      <c r="E462" s="428"/>
      <c r="F462" s="429"/>
    </row>
    <row r="463" ht="15.75" customHeight="1">
      <c r="E463" s="428"/>
      <c r="F463" s="429"/>
    </row>
    <row r="464" ht="15.75" customHeight="1">
      <c r="E464" s="428"/>
      <c r="F464" s="429"/>
    </row>
    <row r="465" ht="15.75" customHeight="1">
      <c r="E465" s="428"/>
      <c r="F465" s="429"/>
    </row>
    <row r="466" ht="15.75" customHeight="1">
      <c r="E466" s="428"/>
      <c r="F466" s="429"/>
    </row>
    <row r="467" ht="15.75" customHeight="1">
      <c r="E467" s="428"/>
      <c r="F467" s="429"/>
    </row>
    <row r="468" ht="15.75" customHeight="1">
      <c r="E468" s="428"/>
      <c r="F468" s="429"/>
    </row>
    <row r="469" ht="15.75" customHeight="1">
      <c r="E469" s="428"/>
      <c r="F469" s="429"/>
    </row>
    <row r="470" ht="15.75" customHeight="1">
      <c r="E470" s="428"/>
      <c r="F470" s="429"/>
    </row>
    <row r="471" ht="15.75" customHeight="1">
      <c r="E471" s="428"/>
      <c r="F471" s="429"/>
    </row>
    <row r="472" ht="15.75" customHeight="1">
      <c r="E472" s="428"/>
      <c r="F472" s="429"/>
    </row>
    <row r="473" ht="15.75" customHeight="1">
      <c r="E473" s="428"/>
      <c r="F473" s="429"/>
    </row>
    <row r="474" ht="15.75" customHeight="1">
      <c r="E474" s="428"/>
      <c r="F474" s="429"/>
    </row>
    <row r="475" ht="15.75" customHeight="1">
      <c r="E475" s="428"/>
      <c r="F475" s="429"/>
    </row>
    <row r="476" ht="15.75" customHeight="1">
      <c r="E476" s="428"/>
      <c r="F476" s="429"/>
    </row>
    <row r="477" ht="15.75" customHeight="1">
      <c r="E477" s="428"/>
      <c r="F477" s="429"/>
    </row>
    <row r="478" ht="15.75" customHeight="1">
      <c r="E478" s="428"/>
      <c r="F478" s="429"/>
    </row>
    <row r="479" ht="15.75" customHeight="1">
      <c r="E479" s="428"/>
      <c r="F479" s="429"/>
    </row>
    <row r="480" ht="15.75" customHeight="1">
      <c r="E480" s="428"/>
      <c r="F480" s="429"/>
    </row>
    <row r="481" ht="15.75" customHeight="1">
      <c r="E481" s="428"/>
      <c r="F481" s="429"/>
    </row>
    <row r="482" ht="15.75" customHeight="1">
      <c r="E482" s="428"/>
      <c r="F482" s="429"/>
    </row>
    <row r="483" ht="15.75" customHeight="1">
      <c r="E483" s="428"/>
      <c r="F483" s="429"/>
    </row>
    <row r="484" ht="15.75" customHeight="1">
      <c r="E484" s="428"/>
      <c r="F484" s="429"/>
    </row>
    <row r="485" ht="15.75" customHeight="1">
      <c r="E485" s="428"/>
      <c r="F485" s="429"/>
    </row>
    <row r="486" ht="15.75" customHeight="1">
      <c r="E486" s="428"/>
      <c r="F486" s="429"/>
    </row>
    <row r="487" ht="15.75" customHeight="1">
      <c r="E487" s="428"/>
      <c r="F487" s="429"/>
    </row>
    <row r="488" ht="15.75" customHeight="1">
      <c r="E488" s="428"/>
      <c r="F488" s="429"/>
    </row>
    <row r="489" ht="15.75" customHeight="1">
      <c r="E489" s="428"/>
      <c r="F489" s="429"/>
    </row>
    <row r="490" ht="15.75" customHeight="1">
      <c r="E490" s="428"/>
      <c r="F490" s="429"/>
    </row>
    <row r="491" ht="15.75" customHeight="1">
      <c r="E491" s="428"/>
      <c r="F491" s="429"/>
    </row>
    <row r="492" ht="15.75" customHeight="1">
      <c r="E492" s="428"/>
      <c r="F492" s="429"/>
    </row>
    <row r="493" ht="15.75" customHeight="1">
      <c r="E493" s="428"/>
      <c r="F493" s="429"/>
    </row>
    <row r="494" ht="15.75" customHeight="1">
      <c r="E494" s="428"/>
      <c r="F494" s="429"/>
    </row>
    <row r="495" ht="15.75" customHeight="1">
      <c r="E495" s="428"/>
      <c r="F495" s="429"/>
    </row>
    <row r="496" ht="15.75" customHeight="1">
      <c r="E496" s="428"/>
      <c r="F496" s="429"/>
    </row>
    <row r="497" ht="15.75" customHeight="1">
      <c r="E497" s="428"/>
      <c r="F497" s="429"/>
    </row>
    <row r="498" ht="15.75" customHeight="1">
      <c r="E498" s="428"/>
      <c r="F498" s="429"/>
    </row>
    <row r="499" ht="15.75" customHeight="1">
      <c r="E499" s="428"/>
      <c r="F499" s="429"/>
    </row>
    <row r="500" ht="15.75" customHeight="1">
      <c r="E500" s="428"/>
      <c r="F500" s="429"/>
    </row>
    <row r="501" ht="15.75" customHeight="1">
      <c r="E501" s="428"/>
      <c r="F501" s="429"/>
    </row>
    <row r="502" ht="15.75" customHeight="1">
      <c r="E502" s="428"/>
      <c r="F502" s="429"/>
    </row>
    <row r="503" ht="15.75" customHeight="1">
      <c r="E503" s="428"/>
      <c r="F503" s="429"/>
    </row>
    <row r="504" ht="15.75" customHeight="1">
      <c r="E504" s="428"/>
      <c r="F504" s="429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" width="10.86"/>
    <col customWidth="1" min="5" max="7" width="11.0"/>
    <col customWidth="1" min="8" max="8" width="14.29"/>
    <col customWidth="1" min="9" max="9" width="9.57"/>
    <col customWidth="1" min="10" max="10" width="10.43"/>
  </cols>
  <sheetData>
    <row r="1" ht="15.0" customHeight="1">
      <c r="C1" s="90"/>
      <c r="F1" s="90"/>
      <c r="G1" s="90"/>
      <c r="I1" s="90"/>
      <c r="J1" s="459"/>
    </row>
    <row r="2" ht="15.0" customHeight="1">
      <c r="C2" s="460" t="s">
        <v>599</v>
      </c>
      <c r="F2" s="90"/>
      <c r="G2" s="90"/>
      <c r="H2" s="182"/>
      <c r="I2" s="90"/>
      <c r="J2" s="459"/>
    </row>
    <row r="3" ht="15.0" customHeight="1">
      <c r="C3" s="90"/>
      <c r="F3" s="90"/>
      <c r="G3" s="90"/>
      <c r="I3" s="90"/>
      <c r="J3" s="459"/>
    </row>
    <row r="4" ht="15.0" customHeight="1">
      <c r="C4" s="90"/>
      <c r="F4" s="90"/>
      <c r="G4" s="90"/>
      <c r="I4" s="90"/>
      <c r="J4" s="459"/>
    </row>
    <row r="5" ht="15.0" customHeight="1">
      <c r="A5" s="461" t="s">
        <v>1553</v>
      </c>
      <c r="B5" s="461" t="s">
        <v>2414</v>
      </c>
      <c r="C5" s="462" t="s">
        <v>2415</v>
      </c>
      <c r="D5" s="461" t="s">
        <v>1634</v>
      </c>
      <c r="E5" s="461" t="s">
        <v>2416</v>
      </c>
      <c r="F5" s="462" t="s">
        <v>2415</v>
      </c>
      <c r="G5" s="461" t="s">
        <v>1634</v>
      </c>
      <c r="H5" s="461" t="s">
        <v>2417</v>
      </c>
      <c r="I5" s="462" t="s">
        <v>2415</v>
      </c>
      <c r="J5" s="461" t="s">
        <v>1634</v>
      </c>
    </row>
    <row r="6" ht="15.0" customHeight="1">
      <c r="A6" s="463" t="s">
        <v>2418</v>
      </c>
      <c r="B6" s="464">
        <f>3280+1250</f>
        <v>4530</v>
      </c>
      <c r="C6" s="465">
        <v>20.0</v>
      </c>
      <c r="D6" s="466">
        <f>B6-C6</f>
        <v>4510</v>
      </c>
      <c r="E6" s="467">
        <v>403.0</v>
      </c>
      <c r="F6" s="468"/>
      <c r="G6" s="466">
        <f>E6-F6</f>
        <v>403</v>
      </c>
      <c r="H6" s="467">
        <v>1967.0</v>
      </c>
      <c r="I6" s="469">
        <f>50+40</f>
        <v>90</v>
      </c>
      <c r="J6" s="470">
        <f>H6-I6</f>
        <v>1877</v>
      </c>
    </row>
    <row r="7" ht="15.0" customHeight="1">
      <c r="A7" s="471" t="s">
        <v>2419</v>
      </c>
      <c r="B7" s="472"/>
      <c r="C7" s="473"/>
      <c r="D7" s="474">
        <f t="shared" ref="D7:D35" si="1">D6+B7-C7</f>
        <v>4510</v>
      </c>
      <c r="E7" s="475"/>
      <c r="F7" s="476"/>
      <c r="G7" s="474">
        <f t="shared" ref="G7:G35" si="2">G6+E7-F7</f>
        <v>403</v>
      </c>
      <c r="H7" s="475"/>
      <c r="I7" s="477">
        <v>75.0</v>
      </c>
      <c r="J7" s="478">
        <f t="shared" ref="J7:J35" si="3">J6+H7-I7</f>
        <v>1802</v>
      </c>
    </row>
    <row r="8" ht="15.0" customHeight="1">
      <c r="A8" s="471" t="s">
        <v>2420</v>
      </c>
      <c r="B8" s="472"/>
      <c r="C8" s="473"/>
      <c r="D8" s="474">
        <f t="shared" si="1"/>
        <v>4510</v>
      </c>
      <c r="E8" s="475"/>
      <c r="F8" s="476"/>
      <c r="G8" s="474">
        <f t="shared" si="2"/>
        <v>403</v>
      </c>
      <c r="H8" s="479"/>
      <c r="I8" s="477"/>
      <c r="J8" s="478">
        <f t="shared" si="3"/>
        <v>1802</v>
      </c>
    </row>
    <row r="9" ht="15.0" customHeight="1">
      <c r="A9" s="471" t="s">
        <v>2421</v>
      </c>
      <c r="B9" s="472"/>
      <c r="C9" s="473">
        <v>20.0</v>
      </c>
      <c r="D9" s="474">
        <f t="shared" si="1"/>
        <v>4490</v>
      </c>
      <c r="E9" s="479"/>
      <c r="F9" s="476">
        <v>60.0</v>
      </c>
      <c r="G9" s="474">
        <f t="shared" si="2"/>
        <v>343</v>
      </c>
      <c r="H9" s="475"/>
      <c r="I9" s="477">
        <f>70+60+80</f>
        <v>210</v>
      </c>
      <c r="J9" s="478">
        <f t="shared" si="3"/>
        <v>1592</v>
      </c>
    </row>
    <row r="10" ht="15.0" customHeight="1">
      <c r="A10" s="471" t="s">
        <v>2422</v>
      </c>
      <c r="B10" s="472"/>
      <c r="C10" s="473">
        <v>20.0</v>
      </c>
      <c r="D10" s="474">
        <f t="shared" si="1"/>
        <v>4470</v>
      </c>
      <c r="E10" s="475"/>
      <c r="F10" s="476"/>
      <c r="G10" s="474">
        <f t="shared" si="2"/>
        <v>343</v>
      </c>
      <c r="H10" s="475"/>
      <c r="I10" s="477">
        <v>60.0</v>
      </c>
      <c r="J10" s="478">
        <f t="shared" si="3"/>
        <v>1532</v>
      </c>
    </row>
    <row r="11" ht="15.0" customHeight="1">
      <c r="A11" s="471" t="s">
        <v>2423</v>
      </c>
      <c r="B11" s="472"/>
      <c r="C11" s="473">
        <v>20.0</v>
      </c>
      <c r="D11" s="474">
        <f t="shared" si="1"/>
        <v>4450</v>
      </c>
      <c r="E11" s="475"/>
      <c r="F11" s="476"/>
      <c r="G11" s="474">
        <f t="shared" si="2"/>
        <v>343</v>
      </c>
      <c r="H11" s="475"/>
      <c r="I11" s="477">
        <v>10.0</v>
      </c>
      <c r="J11" s="478">
        <f t="shared" si="3"/>
        <v>1522</v>
      </c>
    </row>
    <row r="12" ht="15.0" customHeight="1">
      <c r="A12" s="471" t="s">
        <v>2424</v>
      </c>
      <c r="B12" s="472"/>
      <c r="C12" s="473"/>
      <c r="D12" s="474">
        <f t="shared" si="1"/>
        <v>4450</v>
      </c>
      <c r="E12" s="479"/>
      <c r="F12" s="476"/>
      <c r="G12" s="474">
        <f t="shared" si="2"/>
        <v>343</v>
      </c>
      <c r="H12" s="475"/>
      <c r="I12" s="477">
        <v>20.0</v>
      </c>
      <c r="J12" s="478">
        <f t="shared" si="3"/>
        <v>1502</v>
      </c>
    </row>
    <row r="13" ht="15.0" customHeight="1">
      <c r="A13" s="471" t="s">
        <v>2425</v>
      </c>
      <c r="B13" s="472"/>
      <c r="C13" s="473"/>
      <c r="D13" s="474">
        <f t="shared" si="1"/>
        <v>4450</v>
      </c>
      <c r="E13" s="475"/>
      <c r="F13" s="476"/>
      <c r="G13" s="474">
        <f t="shared" si="2"/>
        <v>343</v>
      </c>
      <c r="H13" s="475"/>
      <c r="I13" s="477">
        <v>40.0</v>
      </c>
      <c r="J13" s="478">
        <f t="shared" si="3"/>
        <v>1462</v>
      </c>
    </row>
    <row r="14" ht="15.0" customHeight="1">
      <c r="A14" s="471" t="s">
        <v>2426</v>
      </c>
      <c r="B14" s="472"/>
      <c r="C14" s="473"/>
      <c r="D14" s="474">
        <f t="shared" si="1"/>
        <v>4450</v>
      </c>
      <c r="E14" s="475"/>
      <c r="F14" s="473"/>
      <c r="G14" s="474">
        <f t="shared" si="2"/>
        <v>343</v>
      </c>
      <c r="H14" s="475"/>
      <c r="I14" s="477"/>
      <c r="J14" s="478">
        <f t="shared" si="3"/>
        <v>1462</v>
      </c>
    </row>
    <row r="15" ht="15.0" customHeight="1">
      <c r="A15" s="471" t="s">
        <v>2427</v>
      </c>
      <c r="B15" s="472"/>
      <c r="C15" s="473"/>
      <c r="D15" s="474">
        <f t="shared" si="1"/>
        <v>4450</v>
      </c>
      <c r="E15" s="475"/>
      <c r="F15" s="473"/>
      <c r="G15" s="474">
        <f t="shared" si="2"/>
        <v>343</v>
      </c>
      <c r="H15" s="475"/>
      <c r="I15" s="477">
        <v>40.0</v>
      </c>
      <c r="J15" s="478">
        <f t="shared" si="3"/>
        <v>1422</v>
      </c>
    </row>
    <row r="16" ht="15.0" customHeight="1">
      <c r="A16" s="471" t="s">
        <v>2428</v>
      </c>
      <c r="B16" s="472"/>
      <c r="C16" s="473">
        <v>20.0</v>
      </c>
      <c r="D16" s="474">
        <f t="shared" si="1"/>
        <v>4430</v>
      </c>
      <c r="E16" s="475"/>
      <c r="F16" s="476"/>
      <c r="G16" s="474">
        <f t="shared" si="2"/>
        <v>343</v>
      </c>
      <c r="H16" s="475"/>
      <c r="I16" s="477">
        <v>40.0</v>
      </c>
      <c r="J16" s="478">
        <f t="shared" si="3"/>
        <v>1382</v>
      </c>
    </row>
    <row r="17" ht="15.0" customHeight="1">
      <c r="A17" s="471" t="s">
        <v>2429</v>
      </c>
      <c r="B17" s="472"/>
      <c r="C17" s="473">
        <v>20.0</v>
      </c>
      <c r="D17" s="474">
        <f t="shared" si="1"/>
        <v>4410</v>
      </c>
      <c r="E17" s="479"/>
      <c r="F17" s="476"/>
      <c r="G17" s="474">
        <f t="shared" si="2"/>
        <v>343</v>
      </c>
      <c r="H17" s="475"/>
      <c r="I17" s="477"/>
      <c r="J17" s="478">
        <f t="shared" si="3"/>
        <v>1382</v>
      </c>
    </row>
    <row r="18" ht="15.0" customHeight="1">
      <c r="A18" s="471" t="s">
        <v>2430</v>
      </c>
      <c r="B18" s="472"/>
      <c r="C18" s="473"/>
      <c r="D18" s="474">
        <f t="shared" si="1"/>
        <v>4410</v>
      </c>
      <c r="E18" s="475"/>
      <c r="F18" s="473"/>
      <c r="G18" s="474">
        <f t="shared" si="2"/>
        <v>343</v>
      </c>
      <c r="H18" s="475"/>
      <c r="I18" s="477"/>
      <c r="J18" s="478">
        <f t="shared" si="3"/>
        <v>1382</v>
      </c>
    </row>
    <row r="19" ht="15.0" customHeight="1">
      <c r="A19" s="471" t="s">
        <v>2431</v>
      </c>
      <c r="B19" s="472"/>
      <c r="C19" s="473">
        <v>20.0</v>
      </c>
      <c r="D19" s="474">
        <f t="shared" si="1"/>
        <v>4390</v>
      </c>
      <c r="E19" s="475"/>
      <c r="F19" s="476"/>
      <c r="G19" s="474">
        <f t="shared" si="2"/>
        <v>343</v>
      </c>
      <c r="H19" s="475"/>
      <c r="I19" s="477">
        <v>20.0</v>
      </c>
      <c r="J19" s="478">
        <f t="shared" si="3"/>
        <v>1362</v>
      </c>
    </row>
    <row r="20" ht="15.0" customHeight="1">
      <c r="A20" s="471" t="s">
        <v>2432</v>
      </c>
      <c r="B20" s="472"/>
      <c r="C20" s="473"/>
      <c r="D20" s="474">
        <f t="shared" si="1"/>
        <v>4390</v>
      </c>
      <c r="E20" s="479"/>
      <c r="F20" s="473"/>
      <c r="G20" s="474">
        <f t="shared" si="2"/>
        <v>343</v>
      </c>
      <c r="H20" s="479"/>
      <c r="I20" s="477">
        <f>30+30+24</f>
        <v>84</v>
      </c>
      <c r="J20" s="478">
        <f t="shared" si="3"/>
        <v>1278</v>
      </c>
    </row>
    <row r="21" ht="15.0" customHeight="1">
      <c r="A21" s="471" t="s">
        <v>2433</v>
      </c>
      <c r="B21" s="472"/>
      <c r="C21" s="473">
        <v>20.0</v>
      </c>
      <c r="D21" s="474">
        <f t="shared" si="1"/>
        <v>4370</v>
      </c>
      <c r="E21" s="475"/>
      <c r="F21" s="476"/>
      <c r="G21" s="474">
        <f t="shared" si="2"/>
        <v>343</v>
      </c>
      <c r="H21" s="475"/>
      <c r="I21" s="477"/>
      <c r="J21" s="478">
        <f t="shared" si="3"/>
        <v>1278</v>
      </c>
    </row>
    <row r="22" ht="15.0" customHeight="1">
      <c r="A22" s="471" t="s">
        <v>2434</v>
      </c>
      <c r="B22" s="472"/>
      <c r="C22" s="473"/>
      <c r="D22" s="474">
        <f t="shared" si="1"/>
        <v>4370</v>
      </c>
      <c r="E22" s="475"/>
      <c r="F22" s="476">
        <v>100.0</v>
      </c>
      <c r="G22" s="474">
        <f t="shared" si="2"/>
        <v>243</v>
      </c>
      <c r="H22" s="475"/>
      <c r="I22" s="477">
        <f>30+40</f>
        <v>70</v>
      </c>
      <c r="J22" s="478">
        <f t="shared" si="3"/>
        <v>1208</v>
      </c>
    </row>
    <row r="23" ht="15.0" customHeight="1">
      <c r="A23" s="471" t="s">
        <v>2435</v>
      </c>
      <c r="B23" s="472"/>
      <c r="C23" s="473">
        <v>40.0</v>
      </c>
      <c r="D23" s="474">
        <f t="shared" si="1"/>
        <v>4330</v>
      </c>
      <c r="E23" s="475"/>
      <c r="F23" s="476"/>
      <c r="G23" s="474">
        <f t="shared" si="2"/>
        <v>243</v>
      </c>
      <c r="H23" s="475"/>
      <c r="I23" s="477"/>
      <c r="J23" s="478">
        <f t="shared" si="3"/>
        <v>1208</v>
      </c>
    </row>
    <row r="24" ht="15.0" customHeight="1">
      <c r="A24" s="471" t="s">
        <v>2436</v>
      </c>
      <c r="B24" s="472"/>
      <c r="C24" s="473">
        <v>20.0</v>
      </c>
      <c r="D24" s="474">
        <f t="shared" si="1"/>
        <v>4310</v>
      </c>
      <c r="E24" s="475"/>
      <c r="F24" s="473"/>
      <c r="G24" s="474">
        <f t="shared" si="2"/>
        <v>243</v>
      </c>
      <c r="H24" s="479"/>
      <c r="I24" s="477">
        <f>100+43</f>
        <v>143</v>
      </c>
      <c r="J24" s="478">
        <f t="shared" si="3"/>
        <v>1065</v>
      </c>
    </row>
    <row r="25" ht="15.0" customHeight="1">
      <c r="A25" s="471" t="s">
        <v>2437</v>
      </c>
      <c r="B25" s="472"/>
      <c r="C25" s="473"/>
      <c r="D25" s="474">
        <f t="shared" si="1"/>
        <v>4310</v>
      </c>
      <c r="E25" s="475"/>
      <c r="F25" s="476"/>
      <c r="G25" s="474">
        <f t="shared" si="2"/>
        <v>243</v>
      </c>
      <c r="H25" s="475"/>
      <c r="I25" s="477">
        <f>20+20</f>
        <v>40</v>
      </c>
      <c r="J25" s="478">
        <f t="shared" si="3"/>
        <v>1025</v>
      </c>
    </row>
    <row r="26" ht="15.0" customHeight="1">
      <c r="A26" s="471" t="s">
        <v>2438</v>
      </c>
      <c r="B26" s="472"/>
      <c r="C26" s="473">
        <v>20.0</v>
      </c>
      <c r="D26" s="474">
        <f t="shared" si="1"/>
        <v>4290</v>
      </c>
      <c r="E26" s="475"/>
      <c r="F26" s="476"/>
      <c r="G26" s="474">
        <f t="shared" si="2"/>
        <v>243</v>
      </c>
      <c r="H26" s="475"/>
      <c r="I26" s="477">
        <f>40+40</f>
        <v>80</v>
      </c>
      <c r="J26" s="478">
        <f t="shared" si="3"/>
        <v>945</v>
      </c>
    </row>
    <row r="27" ht="15.0" customHeight="1">
      <c r="A27" s="471" t="s">
        <v>2439</v>
      </c>
      <c r="B27" s="472"/>
      <c r="C27" s="473"/>
      <c r="D27" s="474">
        <f t="shared" si="1"/>
        <v>4290</v>
      </c>
      <c r="E27" s="475"/>
      <c r="F27" s="476"/>
      <c r="G27" s="474">
        <f t="shared" si="2"/>
        <v>243</v>
      </c>
      <c r="H27" s="475"/>
      <c r="I27" s="477">
        <v>60.0</v>
      </c>
      <c r="J27" s="478">
        <f t="shared" si="3"/>
        <v>885</v>
      </c>
    </row>
    <row r="28" ht="15.0" customHeight="1">
      <c r="A28" s="471" t="s">
        <v>2440</v>
      </c>
      <c r="B28" s="472"/>
      <c r="C28" s="473">
        <v>20.0</v>
      </c>
      <c r="D28" s="474">
        <f t="shared" si="1"/>
        <v>4270</v>
      </c>
      <c r="E28" s="475"/>
      <c r="F28" s="476"/>
      <c r="G28" s="474">
        <f t="shared" si="2"/>
        <v>243</v>
      </c>
      <c r="H28" s="475"/>
      <c r="I28" s="477">
        <f>40+40+20+60+30</f>
        <v>190</v>
      </c>
      <c r="J28" s="478">
        <f t="shared" si="3"/>
        <v>695</v>
      </c>
    </row>
    <row r="29" ht="15.0" customHeight="1">
      <c r="A29" s="471" t="s">
        <v>2441</v>
      </c>
      <c r="B29" s="472"/>
      <c r="C29" s="473"/>
      <c r="D29" s="474">
        <f t="shared" si="1"/>
        <v>4270</v>
      </c>
      <c r="E29" s="475"/>
      <c r="F29" s="476"/>
      <c r="G29" s="474">
        <f t="shared" si="2"/>
        <v>243</v>
      </c>
      <c r="H29" s="475"/>
      <c r="I29" s="477">
        <v>40.0</v>
      </c>
      <c r="J29" s="478">
        <f t="shared" si="3"/>
        <v>655</v>
      </c>
    </row>
    <row r="30" ht="15.0" customHeight="1">
      <c r="A30" s="471" t="s">
        <v>2442</v>
      </c>
      <c r="B30" s="472"/>
      <c r="C30" s="473">
        <v>20.0</v>
      </c>
      <c r="D30" s="474">
        <f t="shared" si="1"/>
        <v>4250</v>
      </c>
      <c r="E30" s="475"/>
      <c r="F30" s="476"/>
      <c r="G30" s="474">
        <f t="shared" si="2"/>
        <v>243</v>
      </c>
      <c r="H30" s="475"/>
      <c r="I30" s="477">
        <f>100+20</f>
        <v>120</v>
      </c>
      <c r="J30" s="478">
        <f t="shared" si="3"/>
        <v>535</v>
      </c>
    </row>
    <row r="31" ht="15.0" customHeight="1">
      <c r="A31" s="471" t="s">
        <v>2443</v>
      </c>
      <c r="B31" s="472"/>
      <c r="C31" s="473"/>
      <c r="D31" s="474">
        <f t="shared" si="1"/>
        <v>4250</v>
      </c>
      <c r="E31" s="475"/>
      <c r="F31" s="476"/>
      <c r="G31" s="474">
        <f t="shared" si="2"/>
        <v>243</v>
      </c>
      <c r="H31" s="475"/>
      <c r="I31" s="477"/>
      <c r="J31" s="478">
        <f t="shared" si="3"/>
        <v>535</v>
      </c>
    </row>
    <row r="32" ht="15.0" customHeight="1">
      <c r="A32" s="471" t="s">
        <v>2444</v>
      </c>
      <c r="B32" s="472"/>
      <c r="C32" s="473"/>
      <c r="D32" s="474">
        <f t="shared" si="1"/>
        <v>4250</v>
      </c>
      <c r="E32" s="475"/>
      <c r="F32" s="476"/>
      <c r="G32" s="474">
        <f t="shared" si="2"/>
        <v>243</v>
      </c>
      <c r="H32" s="475"/>
      <c r="I32" s="477"/>
      <c r="J32" s="478">
        <f t="shared" si="3"/>
        <v>535</v>
      </c>
    </row>
    <row r="33" ht="15.0" customHeight="1">
      <c r="A33" s="471" t="s">
        <v>2445</v>
      </c>
      <c r="B33" s="472"/>
      <c r="C33" s="473"/>
      <c r="D33" s="474">
        <f t="shared" si="1"/>
        <v>4250</v>
      </c>
      <c r="E33" s="475"/>
      <c r="F33" s="476"/>
      <c r="G33" s="474">
        <f t="shared" si="2"/>
        <v>243</v>
      </c>
      <c r="H33" s="475"/>
      <c r="I33" s="477"/>
      <c r="J33" s="478">
        <f t="shared" si="3"/>
        <v>535</v>
      </c>
    </row>
    <row r="34" ht="15.0" customHeight="1">
      <c r="A34" s="471" t="s">
        <v>2446</v>
      </c>
      <c r="B34" s="472"/>
      <c r="C34" s="473"/>
      <c r="D34" s="474">
        <f t="shared" si="1"/>
        <v>4250</v>
      </c>
      <c r="E34" s="475"/>
      <c r="F34" s="476"/>
      <c r="G34" s="474">
        <f t="shared" si="2"/>
        <v>243</v>
      </c>
      <c r="H34" s="475"/>
      <c r="I34" s="477"/>
      <c r="J34" s="478">
        <f t="shared" si="3"/>
        <v>535</v>
      </c>
    </row>
    <row r="35" ht="15.0" customHeight="1">
      <c r="A35" s="471" t="s">
        <v>2447</v>
      </c>
      <c r="B35" s="472"/>
      <c r="C35" s="473"/>
      <c r="D35" s="474">
        <f t="shared" si="1"/>
        <v>4250</v>
      </c>
      <c r="E35" s="475"/>
      <c r="F35" s="476"/>
      <c r="G35" s="474">
        <f t="shared" si="2"/>
        <v>243</v>
      </c>
      <c r="H35" s="475"/>
      <c r="I35" s="477"/>
      <c r="J35" s="478">
        <f t="shared" si="3"/>
        <v>535</v>
      </c>
    </row>
    <row r="36" ht="15.0" customHeight="1">
      <c r="C36" s="90"/>
      <c r="F36" s="90"/>
      <c r="G36" s="90"/>
      <c r="I36" s="90"/>
      <c r="J36" s="459"/>
    </row>
    <row r="37" ht="15.0" customHeight="1">
      <c r="C37" s="90"/>
      <c r="F37" s="90"/>
      <c r="G37" s="90"/>
      <c r="I37" s="90"/>
      <c r="J37" s="459"/>
    </row>
    <row r="38" ht="15.0" customHeight="1">
      <c r="C38" s="90"/>
      <c r="F38" s="90"/>
      <c r="G38" s="90"/>
      <c r="I38" s="90"/>
      <c r="J38" s="459"/>
    </row>
    <row r="39" ht="15.0" customHeight="1">
      <c r="C39" s="90"/>
      <c r="F39" s="90"/>
      <c r="G39" s="90"/>
      <c r="I39" s="90"/>
      <c r="J39" s="459"/>
    </row>
    <row r="40" ht="15.0" customHeight="1">
      <c r="C40" s="90"/>
      <c r="F40" s="90"/>
      <c r="G40" s="90"/>
      <c r="I40" s="90"/>
      <c r="J40" s="459"/>
    </row>
    <row r="41" ht="15.0" customHeight="1">
      <c r="C41" s="90"/>
      <c r="F41" s="90"/>
      <c r="G41" s="90"/>
      <c r="I41" s="90"/>
      <c r="J41" s="459"/>
    </row>
    <row r="42" ht="15.0" customHeight="1">
      <c r="C42" s="90"/>
      <c r="F42" s="90"/>
      <c r="G42" s="90"/>
      <c r="I42" s="90"/>
      <c r="J42" s="459"/>
    </row>
    <row r="43" ht="15.0" customHeight="1">
      <c r="C43" s="90"/>
      <c r="F43" s="90"/>
      <c r="G43" s="90"/>
      <c r="I43" s="90"/>
      <c r="J43" s="459"/>
    </row>
    <row r="44" ht="15.0" customHeight="1">
      <c r="C44" s="90"/>
      <c r="F44" s="90"/>
      <c r="G44" s="90"/>
      <c r="I44" s="90"/>
      <c r="J44" s="459"/>
    </row>
    <row r="45" ht="15.0" customHeight="1">
      <c r="C45" s="90"/>
      <c r="F45" s="90"/>
      <c r="G45" s="90"/>
      <c r="I45" s="90"/>
      <c r="J45" s="459"/>
    </row>
    <row r="46" ht="15.0" customHeight="1">
      <c r="C46" s="90"/>
      <c r="F46" s="90"/>
      <c r="G46" s="90"/>
      <c r="I46" s="90"/>
      <c r="J46" s="459"/>
    </row>
    <row r="47" ht="15.0" customHeight="1">
      <c r="C47" s="90"/>
      <c r="F47" s="90"/>
      <c r="G47" s="90"/>
      <c r="I47" s="90"/>
      <c r="J47" s="459"/>
    </row>
    <row r="48" ht="15.0" customHeight="1">
      <c r="C48" s="90"/>
      <c r="F48" s="90"/>
      <c r="G48" s="90"/>
      <c r="I48" s="90"/>
      <c r="J48" s="459"/>
    </row>
    <row r="49" ht="15.0" customHeight="1">
      <c r="C49" s="90"/>
      <c r="F49" s="90"/>
      <c r="G49" s="90"/>
      <c r="I49" s="90"/>
      <c r="J49" s="459"/>
    </row>
    <row r="50" ht="15.0" customHeight="1">
      <c r="C50" s="90"/>
      <c r="F50" s="90"/>
      <c r="G50" s="90"/>
      <c r="I50" s="90"/>
      <c r="J50" s="459"/>
    </row>
    <row r="51" ht="15.0" customHeight="1">
      <c r="C51" s="90"/>
      <c r="F51" s="90"/>
      <c r="G51" s="90"/>
      <c r="I51" s="90"/>
      <c r="J51" s="459"/>
    </row>
    <row r="52" ht="15.0" customHeight="1">
      <c r="C52" s="90"/>
      <c r="F52" s="90"/>
      <c r="G52" s="90"/>
      <c r="I52" s="90"/>
      <c r="J52" s="459"/>
    </row>
    <row r="53" ht="15.0" customHeight="1">
      <c r="C53" s="90"/>
      <c r="F53" s="90"/>
      <c r="G53" s="90"/>
      <c r="I53" s="90"/>
      <c r="J53" s="459"/>
    </row>
    <row r="54" ht="15.0" customHeight="1">
      <c r="C54" s="90"/>
      <c r="F54" s="90"/>
      <c r="G54" s="90"/>
      <c r="I54" s="90"/>
      <c r="J54" s="459"/>
    </row>
    <row r="55" ht="15.0" customHeight="1">
      <c r="C55" s="90"/>
      <c r="F55" s="90"/>
      <c r="G55" s="90"/>
      <c r="I55" s="90"/>
      <c r="J55" s="459"/>
    </row>
    <row r="56" ht="15.0" customHeight="1">
      <c r="C56" s="90"/>
      <c r="F56" s="90"/>
      <c r="G56" s="90"/>
      <c r="I56" s="90"/>
      <c r="J56" s="459"/>
    </row>
    <row r="57" ht="15.0" customHeight="1">
      <c r="C57" s="90"/>
      <c r="F57" s="90"/>
      <c r="G57" s="90"/>
      <c r="I57" s="90"/>
      <c r="J57" s="459"/>
    </row>
    <row r="58" ht="15.0" customHeight="1">
      <c r="C58" s="90"/>
      <c r="F58" s="90"/>
      <c r="G58" s="90"/>
      <c r="I58" s="90"/>
      <c r="J58" s="459"/>
    </row>
    <row r="59" ht="15.0" customHeight="1">
      <c r="C59" s="90"/>
      <c r="F59" s="90"/>
      <c r="G59" s="90"/>
      <c r="I59" s="90"/>
      <c r="J59" s="459"/>
    </row>
    <row r="60" ht="15.0" customHeight="1">
      <c r="C60" s="90"/>
      <c r="F60" s="90"/>
      <c r="G60" s="90"/>
      <c r="I60" s="90"/>
      <c r="J60" s="459"/>
    </row>
    <row r="61" ht="15.0" customHeight="1">
      <c r="C61" s="90"/>
      <c r="F61" s="90"/>
      <c r="G61" s="90"/>
      <c r="I61" s="90"/>
      <c r="J61" s="459"/>
    </row>
    <row r="62" ht="15.0" customHeight="1">
      <c r="C62" s="90"/>
      <c r="F62" s="90"/>
      <c r="G62" s="90"/>
      <c r="I62" s="90"/>
      <c r="J62" s="459"/>
    </row>
    <row r="63" ht="12.75" customHeight="1">
      <c r="C63" s="90"/>
      <c r="F63" s="90"/>
      <c r="G63" s="90"/>
      <c r="I63" s="90"/>
      <c r="J63" s="459"/>
    </row>
    <row r="64" ht="12.75" customHeight="1">
      <c r="C64" s="90"/>
      <c r="F64" s="90"/>
      <c r="G64" s="90"/>
      <c r="I64" s="90"/>
      <c r="J64" s="459"/>
    </row>
    <row r="65" ht="12.75" customHeight="1">
      <c r="C65" s="90"/>
      <c r="F65" s="90"/>
      <c r="G65" s="90"/>
      <c r="I65" s="90"/>
      <c r="J65" s="459"/>
    </row>
    <row r="66" ht="12.75" customHeight="1">
      <c r="C66" s="90"/>
      <c r="F66" s="90"/>
      <c r="G66" s="90"/>
      <c r="I66" s="90"/>
      <c r="J66" s="459"/>
    </row>
    <row r="67" ht="12.75" customHeight="1">
      <c r="C67" s="90"/>
      <c r="F67" s="90"/>
      <c r="G67" s="90"/>
      <c r="I67" s="90"/>
      <c r="J67" s="459"/>
    </row>
    <row r="68" ht="12.75" customHeight="1">
      <c r="C68" s="90"/>
      <c r="F68" s="90"/>
      <c r="G68" s="90"/>
      <c r="I68" s="90"/>
      <c r="J68" s="459"/>
    </row>
    <row r="69" ht="12.75" customHeight="1">
      <c r="C69" s="90"/>
      <c r="F69" s="90"/>
      <c r="G69" s="90"/>
      <c r="I69" s="90"/>
      <c r="J69" s="459"/>
    </row>
    <row r="70" ht="12.75" customHeight="1">
      <c r="C70" s="90"/>
      <c r="F70" s="90"/>
      <c r="G70" s="90"/>
      <c r="I70" s="90"/>
      <c r="J70" s="459"/>
    </row>
    <row r="71" ht="12.75" customHeight="1">
      <c r="C71" s="90"/>
      <c r="F71" s="90"/>
      <c r="G71" s="90"/>
      <c r="I71" s="90"/>
      <c r="J71" s="459"/>
    </row>
    <row r="72" ht="12.75" customHeight="1">
      <c r="C72" s="90"/>
      <c r="F72" s="90"/>
      <c r="G72" s="90"/>
      <c r="I72" s="90"/>
      <c r="J72" s="459"/>
    </row>
    <row r="73" ht="12.75" customHeight="1">
      <c r="C73" s="90"/>
      <c r="F73" s="90"/>
      <c r="G73" s="90"/>
      <c r="I73" s="90"/>
      <c r="J73" s="459"/>
    </row>
    <row r="74" ht="12.75" customHeight="1">
      <c r="C74" s="90"/>
      <c r="F74" s="90"/>
      <c r="G74" s="90"/>
      <c r="I74" s="90"/>
      <c r="J74" s="459"/>
    </row>
    <row r="75" ht="12.75" customHeight="1">
      <c r="C75" s="90"/>
      <c r="F75" s="90"/>
      <c r="G75" s="90"/>
      <c r="I75" s="90"/>
      <c r="J75" s="459"/>
    </row>
    <row r="76" ht="12.75" customHeight="1">
      <c r="C76" s="90"/>
      <c r="F76" s="90"/>
      <c r="G76" s="90"/>
      <c r="I76" s="90"/>
      <c r="J76" s="459"/>
    </row>
    <row r="77" ht="12.75" customHeight="1">
      <c r="C77" s="90"/>
      <c r="F77" s="90"/>
      <c r="G77" s="90"/>
      <c r="I77" s="90"/>
      <c r="J77" s="459"/>
    </row>
    <row r="78" ht="12.75" customHeight="1">
      <c r="C78" s="90"/>
      <c r="F78" s="90"/>
      <c r="G78" s="90"/>
      <c r="I78" s="90"/>
      <c r="J78" s="459"/>
    </row>
    <row r="79" ht="12.75" customHeight="1">
      <c r="C79" s="90"/>
      <c r="F79" s="90"/>
      <c r="G79" s="90"/>
      <c r="I79" s="90"/>
      <c r="J79" s="459"/>
    </row>
    <row r="80" ht="12.75" customHeight="1">
      <c r="C80" s="90"/>
      <c r="F80" s="90"/>
      <c r="G80" s="90"/>
      <c r="I80" s="90"/>
      <c r="J80" s="459"/>
    </row>
    <row r="81" ht="12.75" customHeight="1">
      <c r="C81" s="90"/>
      <c r="F81" s="90"/>
      <c r="G81" s="90"/>
      <c r="I81" s="90"/>
      <c r="J81" s="459"/>
    </row>
    <row r="82" ht="12.75" customHeight="1">
      <c r="C82" s="90"/>
      <c r="F82" s="90"/>
      <c r="G82" s="90"/>
      <c r="I82" s="90"/>
      <c r="J82" s="459"/>
    </row>
    <row r="83" ht="12.75" customHeight="1">
      <c r="C83" s="90"/>
      <c r="F83" s="90"/>
      <c r="G83" s="90"/>
      <c r="I83" s="90"/>
      <c r="J83" s="459"/>
    </row>
    <row r="84" ht="12.75" customHeight="1">
      <c r="C84" s="90"/>
      <c r="F84" s="90"/>
      <c r="G84" s="90"/>
      <c r="I84" s="90"/>
      <c r="J84" s="459"/>
    </row>
    <row r="85" ht="12.75" customHeight="1">
      <c r="C85" s="90"/>
      <c r="F85" s="90"/>
      <c r="G85" s="90"/>
      <c r="I85" s="90"/>
      <c r="J85" s="459"/>
    </row>
    <row r="86" ht="12.75" customHeight="1">
      <c r="C86" s="90"/>
      <c r="F86" s="90"/>
      <c r="G86" s="90"/>
      <c r="I86" s="90"/>
      <c r="J86" s="459"/>
    </row>
    <row r="87" ht="12.75" customHeight="1">
      <c r="C87" s="90"/>
      <c r="F87" s="90"/>
      <c r="G87" s="90"/>
      <c r="I87" s="90"/>
      <c r="J87" s="459"/>
    </row>
    <row r="88" ht="12.75" customHeight="1">
      <c r="C88" s="90"/>
      <c r="F88" s="90"/>
      <c r="G88" s="90"/>
      <c r="I88" s="90"/>
      <c r="J88" s="459"/>
    </row>
    <row r="89" ht="12.75" customHeight="1">
      <c r="C89" s="90"/>
      <c r="F89" s="90"/>
      <c r="G89" s="90"/>
      <c r="I89" s="90"/>
      <c r="J89" s="459"/>
    </row>
    <row r="90" ht="12.75" customHeight="1">
      <c r="C90" s="90"/>
      <c r="F90" s="90"/>
      <c r="G90" s="90"/>
      <c r="I90" s="90"/>
      <c r="J90" s="459"/>
    </row>
    <row r="91" ht="12.75" customHeight="1">
      <c r="C91" s="90"/>
      <c r="F91" s="90"/>
      <c r="G91" s="90"/>
      <c r="I91" s="90"/>
      <c r="J91" s="459"/>
    </row>
    <row r="92" ht="12.75" customHeight="1">
      <c r="C92" s="90"/>
      <c r="F92" s="90"/>
      <c r="G92" s="90"/>
      <c r="I92" s="90"/>
      <c r="J92" s="459"/>
    </row>
    <row r="93" ht="12.75" customHeight="1">
      <c r="C93" s="90"/>
      <c r="F93" s="90"/>
      <c r="G93" s="90"/>
      <c r="I93" s="90"/>
      <c r="J93" s="459"/>
    </row>
    <row r="94" ht="12.75" customHeight="1">
      <c r="C94" s="90"/>
      <c r="F94" s="90"/>
      <c r="G94" s="90"/>
      <c r="I94" s="90"/>
      <c r="J94" s="459"/>
    </row>
    <row r="95" ht="12.75" customHeight="1">
      <c r="C95" s="90"/>
      <c r="F95" s="90"/>
      <c r="G95" s="90"/>
      <c r="I95" s="90"/>
      <c r="J95" s="459"/>
    </row>
    <row r="96" ht="12.75" customHeight="1">
      <c r="C96" s="90"/>
      <c r="F96" s="90"/>
      <c r="G96" s="90"/>
      <c r="I96" s="90"/>
      <c r="J96" s="459"/>
    </row>
    <row r="97" ht="12.75" customHeight="1">
      <c r="C97" s="90"/>
      <c r="F97" s="90"/>
      <c r="G97" s="90"/>
      <c r="I97" s="90"/>
      <c r="J97" s="459"/>
    </row>
    <row r="98" ht="12.75" customHeight="1">
      <c r="C98" s="90"/>
      <c r="F98" s="90"/>
      <c r="G98" s="90"/>
      <c r="I98" s="90"/>
      <c r="J98" s="459"/>
    </row>
    <row r="99" ht="12.75" customHeight="1">
      <c r="C99" s="90"/>
      <c r="F99" s="90"/>
      <c r="G99" s="90"/>
      <c r="I99" s="90"/>
      <c r="J99" s="459"/>
    </row>
    <row r="100" ht="12.75" customHeight="1">
      <c r="C100" s="90"/>
      <c r="F100" s="90"/>
      <c r="G100" s="90"/>
      <c r="I100" s="90"/>
      <c r="J100" s="459"/>
    </row>
    <row r="101" ht="12.75" customHeight="1">
      <c r="C101" s="90"/>
      <c r="F101" s="90"/>
      <c r="G101" s="90"/>
      <c r="I101" s="90"/>
      <c r="J101" s="459"/>
    </row>
    <row r="102" ht="12.75" customHeight="1">
      <c r="C102" s="90"/>
      <c r="F102" s="90"/>
      <c r="G102" s="90"/>
      <c r="I102" s="90"/>
      <c r="J102" s="459"/>
    </row>
    <row r="103" ht="12.75" customHeight="1">
      <c r="C103" s="90"/>
      <c r="F103" s="90"/>
      <c r="G103" s="90"/>
      <c r="I103" s="90"/>
      <c r="J103" s="459"/>
    </row>
    <row r="104" ht="12.75" customHeight="1">
      <c r="C104" s="90"/>
      <c r="F104" s="90"/>
      <c r="G104" s="90"/>
      <c r="I104" s="90"/>
      <c r="J104" s="459"/>
    </row>
    <row r="105" ht="12.75" customHeight="1">
      <c r="C105" s="90"/>
      <c r="F105" s="90"/>
      <c r="G105" s="90"/>
      <c r="I105" s="90"/>
      <c r="J105" s="459"/>
    </row>
    <row r="106" ht="12.75" customHeight="1">
      <c r="C106" s="90"/>
      <c r="F106" s="90"/>
      <c r="G106" s="90"/>
      <c r="I106" s="90"/>
      <c r="J106" s="459"/>
    </row>
    <row r="107" ht="12.75" customHeight="1">
      <c r="C107" s="90"/>
      <c r="F107" s="90"/>
      <c r="G107" s="90"/>
      <c r="I107" s="90"/>
      <c r="J107" s="459"/>
    </row>
    <row r="108" ht="12.75" customHeight="1">
      <c r="C108" s="90"/>
      <c r="F108" s="90"/>
      <c r="G108" s="90"/>
      <c r="I108" s="90"/>
      <c r="J108" s="459"/>
    </row>
    <row r="109" ht="12.75" customHeight="1">
      <c r="C109" s="90"/>
      <c r="F109" s="90"/>
      <c r="G109" s="90"/>
      <c r="I109" s="90"/>
      <c r="J109" s="459"/>
    </row>
    <row r="110" ht="12.75" customHeight="1">
      <c r="C110" s="90"/>
      <c r="F110" s="90"/>
      <c r="G110" s="90"/>
      <c r="I110" s="90"/>
      <c r="J110" s="459"/>
    </row>
    <row r="111" ht="12.75" customHeight="1">
      <c r="C111" s="90"/>
      <c r="F111" s="90"/>
      <c r="G111" s="90"/>
      <c r="I111" s="90"/>
      <c r="J111" s="459"/>
    </row>
    <row r="112" ht="12.75" customHeight="1">
      <c r="C112" s="90"/>
      <c r="F112" s="90"/>
      <c r="G112" s="90"/>
      <c r="I112" s="90"/>
      <c r="J112" s="459"/>
    </row>
    <row r="113" ht="12.75" customHeight="1">
      <c r="C113" s="90"/>
      <c r="F113" s="90"/>
      <c r="G113" s="90"/>
      <c r="I113" s="90"/>
      <c r="J113" s="459"/>
    </row>
    <row r="114" ht="12.75" customHeight="1">
      <c r="C114" s="90"/>
      <c r="F114" s="90"/>
      <c r="G114" s="90"/>
      <c r="I114" s="90"/>
      <c r="J114" s="459"/>
    </row>
    <row r="115" ht="12.75" customHeight="1">
      <c r="C115" s="90"/>
      <c r="F115" s="90"/>
      <c r="G115" s="90"/>
      <c r="I115" s="90"/>
      <c r="J115" s="459"/>
    </row>
    <row r="116" ht="12.75" customHeight="1">
      <c r="C116" s="90"/>
      <c r="F116" s="90"/>
      <c r="G116" s="90"/>
      <c r="I116" s="90"/>
      <c r="J116" s="459"/>
    </row>
    <row r="117" ht="12.75" customHeight="1">
      <c r="C117" s="90"/>
      <c r="F117" s="90"/>
      <c r="G117" s="90"/>
      <c r="I117" s="90"/>
      <c r="J117" s="459"/>
    </row>
    <row r="118" ht="12.75" customHeight="1">
      <c r="C118" s="90"/>
      <c r="F118" s="90"/>
      <c r="G118" s="90"/>
      <c r="I118" s="90"/>
      <c r="J118" s="459"/>
    </row>
    <row r="119" ht="12.75" customHeight="1">
      <c r="C119" s="90"/>
      <c r="F119" s="90"/>
      <c r="G119" s="90"/>
      <c r="I119" s="90"/>
      <c r="J119" s="459"/>
    </row>
    <row r="120" ht="12.75" customHeight="1">
      <c r="C120" s="90"/>
      <c r="F120" s="90"/>
      <c r="G120" s="90"/>
      <c r="I120" s="90"/>
      <c r="J120" s="459"/>
    </row>
    <row r="121" ht="12.75" customHeight="1">
      <c r="C121" s="90"/>
      <c r="F121" s="90"/>
      <c r="G121" s="90"/>
      <c r="I121" s="90"/>
      <c r="J121" s="459"/>
    </row>
    <row r="122" ht="12.75" customHeight="1">
      <c r="C122" s="90"/>
      <c r="F122" s="90"/>
      <c r="G122" s="90"/>
      <c r="I122" s="90"/>
      <c r="J122" s="459"/>
    </row>
    <row r="123" ht="12.75" customHeight="1">
      <c r="C123" s="90"/>
      <c r="F123" s="90"/>
      <c r="G123" s="90"/>
      <c r="I123" s="90"/>
      <c r="J123" s="459"/>
    </row>
    <row r="124" ht="12.75" customHeight="1">
      <c r="C124" s="90"/>
      <c r="F124" s="90"/>
      <c r="G124" s="90"/>
      <c r="I124" s="90"/>
      <c r="J124" s="459"/>
    </row>
    <row r="125" ht="12.75" customHeight="1">
      <c r="C125" s="90"/>
      <c r="F125" s="90"/>
      <c r="G125" s="90"/>
      <c r="I125" s="90"/>
      <c r="J125" s="459"/>
    </row>
    <row r="126" ht="12.75" customHeight="1">
      <c r="C126" s="90"/>
      <c r="F126" s="90"/>
      <c r="G126" s="90"/>
      <c r="I126" s="90"/>
      <c r="J126" s="459"/>
    </row>
    <row r="127" ht="12.75" customHeight="1">
      <c r="C127" s="90"/>
      <c r="F127" s="90"/>
      <c r="G127" s="90"/>
      <c r="I127" s="90"/>
      <c r="J127" s="459"/>
    </row>
    <row r="128" ht="12.75" customHeight="1">
      <c r="C128" s="90"/>
      <c r="F128" s="90"/>
      <c r="G128" s="90"/>
      <c r="I128" s="90"/>
      <c r="J128" s="459"/>
    </row>
    <row r="129" ht="12.75" customHeight="1">
      <c r="C129" s="90"/>
      <c r="F129" s="90"/>
      <c r="G129" s="90"/>
      <c r="I129" s="90"/>
      <c r="J129" s="459"/>
    </row>
    <row r="130" ht="12.75" customHeight="1">
      <c r="C130" s="90"/>
      <c r="F130" s="90"/>
      <c r="G130" s="90"/>
      <c r="I130" s="90"/>
      <c r="J130" s="459"/>
    </row>
    <row r="131" ht="12.75" customHeight="1">
      <c r="C131" s="90"/>
      <c r="F131" s="90"/>
      <c r="G131" s="90"/>
      <c r="I131" s="90"/>
      <c r="J131" s="459"/>
    </row>
    <row r="132" ht="12.75" customHeight="1">
      <c r="C132" s="90"/>
      <c r="F132" s="90"/>
      <c r="G132" s="90"/>
      <c r="I132" s="90"/>
      <c r="J132" s="459"/>
    </row>
    <row r="133" ht="12.75" customHeight="1">
      <c r="C133" s="90"/>
      <c r="F133" s="90"/>
      <c r="G133" s="90"/>
      <c r="I133" s="90"/>
      <c r="J133" s="459"/>
    </row>
    <row r="134" ht="12.75" customHeight="1">
      <c r="C134" s="90"/>
      <c r="F134" s="90"/>
      <c r="G134" s="90"/>
      <c r="I134" s="90"/>
      <c r="J134" s="459"/>
    </row>
    <row r="135" ht="12.75" customHeight="1">
      <c r="C135" s="90"/>
      <c r="F135" s="90"/>
      <c r="G135" s="90"/>
      <c r="I135" s="90"/>
      <c r="J135" s="459"/>
    </row>
    <row r="136" ht="12.75" customHeight="1">
      <c r="C136" s="90"/>
      <c r="F136" s="90"/>
      <c r="G136" s="90"/>
      <c r="I136" s="90"/>
      <c r="J136" s="459"/>
    </row>
    <row r="137" ht="12.75" customHeight="1">
      <c r="C137" s="90"/>
      <c r="F137" s="90"/>
      <c r="G137" s="90"/>
      <c r="I137" s="90"/>
      <c r="J137" s="459"/>
    </row>
    <row r="138" ht="12.75" customHeight="1">
      <c r="C138" s="90"/>
      <c r="F138" s="90"/>
      <c r="G138" s="90"/>
      <c r="I138" s="90"/>
      <c r="J138" s="459"/>
    </row>
    <row r="139" ht="12.75" customHeight="1">
      <c r="C139" s="90"/>
      <c r="F139" s="90"/>
      <c r="G139" s="90"/>
      <c r="I139" s="90"/>
      <c r="J139" s="459"/>
    </row>
    <row r="140" ht="12.75" customHeight="1">
      <c r="C140" s="90"/>
      <c r="F140" s="90"/>
      <c r="G140" s="90"/>
      <c r="I140" s="90"/>
      <c r="J140" s="459"/>
    </row>
    <row r="141" ht="12.75" customHeight="1">
      <c r="C141" s="90"/>
      <c r="F141" s="90"/>
      <c r="G141" s="90"/>
      <c r="I141" s="90"/>
      <c r="J141" s="459"/>
    </row>
    <row r="142" ht="12.75" customHeight="1">
      <c r="C142" s="90"/>
      <c r="F142" s="90"/>
      <c r="G142" s="90"/>
      <c r="I142" s="90"/>
      <c r="J142" s="459"/>
    </row>
    <row r="143" ht="12.75" customHeight="1">
      <c r="C143" s="90"/>
      <c r="F143" s="90"/>
      <c r="G143" s="90"/>
      <c r="I143" s="90"/>
      <c r="J143" s="459"/>
    </row>
    <row r="144" ht="12.75" customHeight="1">
      <c r="C144" s="90"/>
      <c r="F144" s="90"/>
      <c r="G144" s="90"/>
      <c r="I144" s="90"/>
      <c r="J144" s="459"/>
    </row>
    <row r="145" ht="12.75" customHeight="1">
      <c r="C145" s="90"/>
      <c r="F145" s="90"/>
      <c r="G145" s="90"/>
      <c r="I145" s="90"/>
      <c r="J145" s="459"/>
    </row>
    <row r="146" ht="12.75" customHeight="1">
      <c r="C146" s="90"/>
      <c r="F146" s="90"/>
      <c r="G146" s="90"/>
      <c r="I146" s="90"/>
      <c r="J146" s="459"/>
    </row>
    <row r="147" ht="12.75" customHeight="1">
      <c r="C147" s="90"/>
      <c r="F147" s="90"/>
      <c r="G147" s="90"/>
      <c r="I147" s="90"/>
      <c r="J147" s="459"/>
    </row>
    <row r="148" ht="12.75" customHeight="1">
      <c r="C148" s="90"/>
      <c r="F148" s="90"/>
      <c r="G148" s="90"/>
      <c r="I148" s="90"/>
      <c r="J148" s="459"/>
    </row>
    <row r="149" ht="12.75" customHeight="1">
      <c r="C149" s="90"/>
      <c r="F149" s="90"/>
      <c r="G149" s="90"/>
      <c r="I149" s="90"/>
      <c r="J149" s="459"/>
    </row>
    <row r="150" ht="12.75" customHeight="1">
      <c r="C150" s="90"/>
      <c r="F150" s="90"/>
      <c r="G150" s="90"/>
      <c r="I150" s="90"/>
      <c r="J150" s="459"/>
    </row>
    <row r="151" ht="12.75" customHeight="1">
      <c r="C151" s="90"/>
      <c r="F151" s="90"/>
      <c r="G151" s="90"/>
      <c r="I151" s="90"/>
      <c r="J151" s="459"/>
    </row>
    <row r="152" ht="12.75" customHeight="1">
      <c r="C152" s="90"/>
      <c r="F152" s="90"/>
      <c r="G152" s="90"/>
      <c r="I152" s="90"/>
      <c r="J152" s="459"/>
    </row>
    <row r="153" ht="12.75" customHeight="1">
      <c r="C153" s="90"/>
      <c r="F153" s="90"/>
      <c r="G153" s="90"/>
      <c r="I153" s="90"/>
      <c r="J153" s="459"/>
    </row>
    <row r="154" ht="12.75" customHeight="1">
      <c r="C154" s="90"/>
      <c r="F154" s="90"/>
      <c r="G154" s="90"/>
      <c r="I154" s="90"/>
      <c r="J154" s="459"/>
    </row>
    <row r="155" ht="12.75" customHeight="1">
      <c r="C155" s="90"/>
      <c r="F155" s="90"/>
      <c r="G155" s="90"/>
      <c r="I155" s="90"/>
      <c r="J155" s="459"/>
    </row>
    <row r="156" ht="12.75" customHeight="1">
      <c r="C156" s="90"/>
      <c r="F156" s="90"/>
      <c r="G156" s="90"/>
      <c r="I156" s="90"/>
      <c r="J156" s="459"/>
    </row>
    <row r="157" ht="12.75" customHeight="1">
      <c r="C157" s="90"/>
      <c r="F157" s="90"/>
      <c r="G157" s="90"/>
      <c r="I157" s="90"/>
      <c r="J157" s="459"/>
    </row>
    <row r="158" ht="12.75" customHeight="1">
      <c r="C158" s="90"/>
      <c r="F158" s="90"/>
      <c r="G158" s="90"/>
      <c r="I158" s="90"/>
      <c r="J158" s="459"/>
    </row>
    <row r="159" ht="12.75" customHeight="1">
      <c r="C159" s="90"/>
      <c r="F159" s="90"/>
      <c r="G159" s="90"/>
      <c r="I159" s="90"/>
      <c r="J159" s="459"/>
    </row>
    <row r="160" ht="12.75" customHeight="1">
      <c r="C160" s="90"/>
      <c r="F160" s="90"/>
      <c r="G160" s="90"/>
      <c r="I160" s="90"/>
      <c r="J160" s="459"/>
    </row>
    <row r="161" ht="12.75" customHeight="1">
      <c r="C161" s="90"/>
      <c r="F161" s="90"/>
      <c r="G161" s="90"/>
      <c r="I161" s="90"/>
      <c r="J161" s="459"/>
    </row>
    <row r="162" ht="12.75" customHeight="1">
      <c r="C162" s="90"/>
      <c r="F162" s="90"/>
      <c r="G162" s="90"/>
      <c r="I162" s="90"/>
      <c r="J162" s="459"/>
    </row>
    <row r="163" ht="12.75" customHeight="1">
      <c r="C163" s="90"/>
      <c r="F163" s="90"/>
      <c r="G163" s="90"/>
      <c r="I163" s="90"/>
      <c r="J163" s="459"/>
    </row>
    <row r="164" ht="12.75" customHeight="1">
      <c r="C164" s="90"/>
      <c r="F164" s="90"/>
      <c r="G164" s="90"/>
      <c r="I164" s="90"/>
      <c r="J164" s="459"/>
    </row>
    <row r="165" ht="12.75" customHeight="1">
      <c r="C165" s="90"/>
      <c r="F165" s="90"/>
      <c r="G165" s="90"/>
      <c r="I165" s="90"/>
      <c r="J165" s="459"/>
    </row>
    <row r="166" ht="12.75" customHeight="1">
      <c r="C166" s="90"/>
      <c r="F166" s="90"/>
      <c r="G166" s="90"/>
      <c r="I166" s="90"/>
      <c r="J166" s="459"/>
    </row>
    <row r="167" ht="12.75" customHeight="1">
      <c r="C167" s="90"/>
      <c r="F167" s="90"/>
      <c r="G167" s="90"/>
      <c r="I167" s="90"/>
      <c r="J167" s="459"/>
    </row>
    <row r="168" ht="12.75" customHeight="1">
      <c r="C168" s="90"/>
      <c r="F168" s="90"/>
      <c r="G168" s="90"/>
      <c r="I168" s="90"/>
      <c r="J168" s="459"/>
    </row>
    <row r="169" ht="12.75" customHeight="1">
      <c r="C169" s="90"/>
      <c r="F169" s="90"/>
      <c r="G169" s="90"/>
      <c r="I169" s="90"/>
      <c r="J169" s="459"/>
    </row>
    <row r="170" ht="12.75" customHeight="1">
      <c r="C170" s="90"/>
      <c r="F170" s="90"/>
      <c r="G170" s="90"/>
      <c r="I170" s="90"/>
      <c r="J170" s="459"/>
    </row>
    <row r="171" ht="12.75" customHeight="1">
      <c r="C171" s="90"/>
      <c r="F171" s="90"/>
      <c r="G171" s="90"/>
      <c r="I171" s="90"/>
      <c r="J171" s="459"/>
    </row>
    <row r="172" ht="12.75" customHeight="1">
      <c r="C172" s="90"/>
      <c r="F172" s="90"/>
      <c r="G172" s="90"/>
      <c r="I172" s="90"/>
      <c r="J172" s="459"/>
    </row>
    <row r="173" ht="12.75" customHeight="1">
      <c r="C173" s="90"/>
      <c r="F173" s="90"/>
      <c r="G173" s="90"/>
      <c r="I173" s="90"/>
      <c r="J173" s="459"/>
    </row>
    <row r="174" ht="12.75" customHeight="1">
      <c r="C174" s="90"/>
      <c r="F174" s="90"/>
      <c r="G174" s="90"/>
      <c r="I174" s="90"/>
      <c r="J174" s="459"/>
    </row>
    <row r="175" ht="12.75" customHeight="1">
      <c r="C175" s="90"/>
      <c r="F175" s="90"/>
      <c r="G175" s="90"/>
      <c r="I175" s="90"/>
      <c r="J175" s="459"/>
    </row>
    <row r="176" ht="12.75" customHeight="1">
      <c r="C176" s="90"/>
      <c r="F176" s="90"/>
      <c r="G176" s="90"/>
      <c r="I176" s="90"/>
      <c r="J176" s="459"/>
    </row>
    <row r="177" ht="12.75" customHeight="1">
      <c r="C177" s="90"/>
      <c r="F177" s="90"/>
      <c r="G177" s="90"/>
      <c r="I177" s="90"/>
      <c r="J177" s="459"/>
    </row>
    <row r="178" ht="12.75" customHeight="1">
      <c r="C178" s="90"/>
      <c r="F178" s="90"/>
      <c r="G178" s="90"/>
      <c r="I178" s="90"/>
      <c r="J178" s="459"/>
    </row>
    <row r="179" ht="12.75" customHeight="1">
      <c r="C179" s="90"/>
      <c r="F179" s="90"/>
      <c r="G179" s="90"/>
      <c r="I179" s="90"/>
      <c r="J179" s="459"/>
    </row>
    <row r="180" ht="12.75" customHeight="1">
      <c r="C180" s="90"/>
      <c r="F180" s="90"/>
      <c r="G180" s="90"/>
      <c r="I180" s="90"/>
      <c r="J180" s="459"/>
    </row>
    <row r="181" ht="12.75" customHeight="1">
      <c r="C181" s="90"/>
      <c r="F181" s="90"/>
      <c r="G181" s="90"/>
      <c r="I181" s="90"/>
      <c r="J181" s="459"/>
    </row>
    <row r="182" ht="12.75" customHeight="1">
      <c r="C182" s="90"/>
      <c r="F182" s="90"/>
      <c r="G182" s="90"/>
      <c r="I182" s="90"/>
      <c r="J182" s="459"/>
    </row>
    <row r="183" ht="12.75" customHeight="1">
      <c r="C183" s="90"/>
      <c r="F183" s="90"/>
      <c r="G183" s="90"/>
      <c r="I183" s="90"/>
      <c r="J183" s="459"/>
    </row>
    <row r="184" ht="12.75" customHeight="1">
      <c r="C184" s="90"/>
      <c r="F184" s="90"/>
      <c r="G184" s="90"/>
      <c r="I184" s="90"/>
      <c r="J184" s="459"/>
    </row>
    <row r="185" ht="12.75" customHeight="1">
      <c r="C185" s="90"/>
      <c r="F185" s="90"/>
      <c r="G185" s="90"/>
      <c r="I185" s="90"/>
      <c r="J185" s="459"/>
    </row>
    <row r="186" ht="12.75" customHeight="1">
      <c r="C186" s="90"/>
      <c r="F186" s="90"/>
      <c r="G186" s="90"/>
      <c r="I186" s="90"/>
      <c r="J186" s="459"/>
    </row>
    <row r="187" ht="12.75" customHeight="1">
      <c r="C187" s="90"/>
      <c r="F187" s="90"/>
      <c r="G187" s="90"/>
      <c r="I187" s="90"/>
      <c r="J187" s="459"/>
    </row>
    <row r="188" ht="12.75" customHeight="1">
      <c r="C188" s="90"/>
      <c r="F188" s="90"/>
      <c r="G188" s="90"/>
      <c r="I188" s="90"/>
      <c r="J188" s="459"/>
    </row>
    <row r="189" ht="12.75" customHeight="1">
      <c r="C189" s="90"/>
      <c r="F189" s="90"/>
      <c r="G189" s="90"/>
      <c r="I189" s="90"/>
      <c r="J189" s="459"/>
    </row>
    <row r="190" ht="12.75" customHeight="1">
      <c r="C190" s="90"/>
      <c r="F190" s="90"/>
      <c r="G190" s="90"/>
      <c r="I190" s="90"/>
      <c r="J190" s="459"/>
    </row>
    <row r="191" ht="12.75" customHeight="1">
      <c r="C191" s="90"/>
      <c r="F191" s="90"/>
      <c r="G191" s="90"/>
      <c r="I191" s="90"/>
      <c r="J191" s="459"/>
    </row>
    <row r="192" ht="12.75" customHeight="1">
      <c r="C192" s="90"/>
      <c r="F192" s="90"/>
      <c r="G192" s="90"/>
      <c r="I192" s="90"/>
      <c r="J192" s="459"/>
    </row>
    <row r="193" ht="12.75" customHeight="1">
      <c r="C193" s="90"/>
      <c r="F193" s="90"/>
      <c r="G193" s="90"/>
      <c r="I193" s="90"/>
      <c r="J193" s="459"/>
    </row>
    <row r="194" ht="12.75" customHeight="1">
      <c r="C194" s="90"/>
      <c r="F194" s="90"/>
      <c r="G194" s="90"/>
      <c r="I194" s="90"/>
      <c r="J194" s="459"/>
    </row>
    <row r="195" ht="12.75" customHeight="1">
      <c r="C195" s="90"/>
      <c r="F195" s="90"/>
      <c r="G195" s="90"/>
      <c r="I195" s="90"/>
      <c r="J195" s="459"/>
    </row>
    <row r="196" ht="12.75" customHeight="1">
      <c r="C196" s="90"/>
      <c r="F196" s="90"/>
      <c r="G196" s="90"/>
      <c r="I196" s="90"/>
      <c r="J196" s="459"/>
    </row>
    <row r="197" ht="12.75" customHeight="1">
      <c r="C197" s="90"/>
      <c r="F197" s="90"/>
      <c r="G197" s="90"/>
      <c r="I197" s="90"/>
      <c r="J197" s="459"/>
    </row>
    <row r="198" ht="12.75" customHeight="1">
      <c r="C198" s="90"/>
      <c r="F198" s="90"/>
      <c r="G198" s="90"/>
      <c r="I198" s="90"/>
      <c r="J198" s="459"/>
    </row>
    <row r="199" ht="12.75" customHeight="1">
      <c r="C199" s="90"/>
      <c r="F199" s="90"/>
      <c r="G199" s="90"/>
      <c r="I199" s="90"/>
      <c r="J199" s="459"/>
    </row>
    <row r="200" ht="12.75" customHeight="1">
      <c r="C200" s="90"/>
      <c r="F200" s="90"/>
      <c r="G200" s="90"/>
      <c r="I200" s="90"/>
      <c r="J200" s="459"/>
    </row>
    <row r="201" ht="12.75" customHeight="1">
      <c r="C201" s="90"/>
      <c r="F201" s="90"/>
      <c r="G201" s="90"/>
      <c r="I201" s="90"/>
      <c r="J201" s="459"/>
    </row>
    <row r="202" ht="12.75" customHeight="1">
      <c r="C202" s="90"/>
      <c r="F202" s="90"/>
      <c r="G202" s="90"/>
      <c r="I202" s="90"/>
      <c r="J202" s="459"/>
    </row>
    <row r="203" ht="12.75" customHeight="1">
      <c r="C203" s="90"/>
      <c r="F203" s="90"/>
      <c r="G203" s="90"/>
      <c r="I203" s="90"/>
      <c r="J203" s="459"/>
    </row>
    <row r="204" ht="12.75" customHeight="1">
      <c r="C204" s="90"/>
      <c r="F204" s="90"/>
      <c r="G204" s="90"/>
      <c r="I204" s="90"/>
      <c r="J204" s="459"/>
    </row>
    <row r="205" ht="12.75" customHeight="1">
      <c r="C205" s="90"/>
      <c r="F205" s="90"/>
      <c r="G205" s="90"/>
      <c r="I205" s="90"/>
      <c r="J205" s="459"/>
    </row>
    <row r="206" ht="12.75" customHeight="1">
      <c r="C206" s="90"/>
      <c r="F206" s="90"/>
      <c r="G206" s="90"/>
      <c r="I206" s="90"/>
      <c r="J206" s="459"/>
    </row>
    <row r="207" ht="12.75" customHeight="1">
      <c r="C207" s="90"/>
      <c r="F207" s="90"/>
      <c r="G207" s="90"/>
      <c r="I207" s="90"/>
      <c r="J207" s="459"/>
    </row>
    <row r="208" ht="12.75" customHeight="1">
      <c r="C208" s="90"/>
      <c r="F208" s="90"/>
      <c r="G208" s="90"/>
      <c r="I208" s="90"/>
      <c r="J208" s="459"/>
    </row>
    <row r="209" ht="12.75" customHeight="1">
      <c r="C209" s="90"/>
      <c r="F209" s="90"/>
      <c r="G209" s="90"/>
      <c r="I209" s="90"/>
      <c r="J209" s="459"/>
    </row>
    <row r="210" ht="12.75" customHeight="1">
      <c r="C210" s="90"/>
      <c r="F210" s="90"/>
      <c r="G210" s="90"/>
      <c r="I210" s="90"/>
      <c r="J210" s="459"/>
    </row>
    <row r="211" ht="12.75" customHeight="1">
      <c r="C211" s="90"/>
      <c r="F211" s="90"/>
      <c r="G211" s="90"/>
      <c r="I211" s="90"/>
      <c r="J211" s="459"/>
    </row>
    <row r="212" ht="12.75" customHeight="1">
      <c r="C212" s="90"/>
      <c r="F212" s="90"/>
      <c r="G212" s="90"/>
      <c r="I212" s="90"/>
      <c r="J212" s="459"/>
    </row>
    <row r="213" ht="12.75" customHeight="1">
      <c r="C213" s="90"/>
      <c r="F213" s="90"/>
      <c r="G213" s="90"/>
      <c r="I213" s="90"/>
      <c r="J213" s="459"/>
    </row>
    <row r="214" ht="12.75" customHeight="1">
      <c r="C214" s="90"/>
      <c r="F214" s="90"/>
      <c r="G214" s="90"/>
      <c r="I214" s="90"/>
      <c r="J214" s="459"/>
    </row>
    <row r="215" ht="12.75" customHeight="1">
      <c r="C215" s="90"/>
      <c r="F215" s="90"/>
      <c r="G215" s="90"/>
      <c r="I215" s="90"/>
      <c r="J215" s="459"/>
    </row>
    <row r="216" ht="12.75" customHeight="1">
      <c r="C216" s="90"/>
      <c r="F216" s="90"/>
      <c r="G216" s="90"/>
      <c r="I216" s="90"/>
      <c r="J216" s="459"/>
    </row>
    <row r="217" ht="12.75" customHeight="1">
      <c r="C217" s="90"/>
      <c r="F217" s="90"/>
      <c r="G217" s="90"/>
      <c r="I217" s="90"/>
      <c r="J217" s="459"/>
    </row>
    <row r="218" ht="12.75" customHeight="1">
      <c r="C218" s="90"/>
      <c r="F218" s="90"/>
      <c r="G218" s="90"/>
      <c r="I218" s="90"/>
      <c r="J218" s="459"/>
    </row>
    <row r="219" ht="12.75" customHeight="1">
      <c r="C219" s="90"/>
      <c r="F219" s="90"/>
      <c r="G219" s="90"/>
      <c r="I219" s="90"/>
      <c r="J219" s="459"/>
    </row>
    <row r="220" ht="12.75" customHeight="1">
      <c r="C220" s="90"/>
      <c r="F220" s="90"/>
      <c r="G220" s="90"/>
      <c r="I220" s="90"/>
      <c r="J220" s="459"/>
    </row>
    <row r="221" ht="12.75" customHeight="1">
      <c r="C221" s="90"/>
      <c r="F221" s="90"/>
      <c r="G221" s="90"/>
      <c r="I221" s="90"/>
      <c r="J221" s="459"/>
    </row>
    <row r="222" ht="12.75" customHeight="1">
      <c r="C222" s="90"/>
      <c r="F222" s="90"/>
      <c r="G222" s="90"/>
      <c r="I222" s="90"/>
      <c r="J222" s="459"/>
    </row>
    <row r="223" ht="12.75" customHeight="1">
      <c r="C223" s="90"/>
      <c r="F223" s="90"/>
      <c r="G223" s="90"/>
      <c r="I223" s="90"/>
      <c r="J223" s="459"/>
    </row>
    <row r="224" ht="12.75" customHeight="1">
      <c r="C224" s="90"/>
      <c r="F224" s="90"/>
      <c r="G224" s="90"/>
      <c r="I224" s="90"/>
      <c r="J224" s="459"/>
    </row>
    <row r="225" ht="12.75" customHeight="1">
      <c r="C225" s="90"/>
      <c r="F225" s="90"/>
      <c r="G225" s="90"/>
      <c r="I225" s="90"/>
      <c r="J225" s="459"/>
    </row>
    <row r="226" ht="12.75" customHeight="1">
      <c r="C226" s="90"/>
      <c r="F226" s="90"/>
      <c r="G226" s="90"/>
      <c r="I226" s="90"/>
      <c r="J226" s="459"/>
    </row>
    <row r="227" ht="12.75" customHeight="1">
      <c r="C227" s="90"/>
      <c r="F227" s="90"/>
      <c r="G227" s="90"/>
      <c r="I227" s="90"/>
      <c r="J227" s="459"/>
    </row>
    <row r="228" ht="12.75" customHeight="1">
      <c r="C228" s="90"/>
      <c r="F228" s="90"/>
      <c r="G228" s="90"/>
      <c r="I228" s="90"/>
      <c r="J228" s="459"/>
    </row>
    <row r="229" ht="12.75" customHeight="1">
      <c r="C229" s="90"/>
      <c r="F229" s="90"/>
      <c r="G229" s="90"/>
      <c r="I229" s="90"/>
      <c r="J229" s="459"/>
    </row>
    <row r="230" ht="12.75" customHeight="1">
      <c r="C230" s="90"/>
      <c r="F230" s="90"/>
      <c r="G230" s="90"/>
      <c r="I230" s="90"/>
      <c r="J230" s="459"/>
    </row>
    <row r="231" ht="12.75" customHeight="1">
      <c r="C231" s="90"/>
      <c r="F231" s="90"/>
      <c r="G231" s="90"/>
      <c r="I231" s="90"/>
      <c r="J231" s="459"/>
    </row>
    <row r="232" ht="12.75" customHeight="1">
      <c r="C232" s="90"/>
      <c r="F232" s="90"/>
      <c r="G232" s="90"/>
      <c r="I232" s="90"/>
      <c r="J232" s="459"/>
    </row>
    <row r="233" ht="12.75" customHeight="1">
      <c r="C233" s="90"/>
      <c r="F233" s="90"/>
      <c r="G233" s="90"/>
      <c r="I233" s="90"/>
      <c r="J233" s="459"/>
    </row>
    <row r="234" ht="12.75" customHeight="1">
      <c r="C234" s="90"/>
      <c r="F234" s="90"/>
      <c r="G234" s="90"/>
      <c r="I234" s="90"/>
      <c r="J234" s="459"/>
    </row>
    <row r="235" ht="12.75" customHeight="1">
      <c r="C235" s="90"/>
      <c r="F235" s="90"/>
      <c r="G235" s="90"/>
      <c r="I235" s="90"/>
      <c r="J235" s="45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